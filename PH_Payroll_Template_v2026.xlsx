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eekei\Desktop\Payroll Final\"/>
    </mc:Choice>
  </mc:AlternateContent>
  <xr:revisionPtr revIDLastSave="0" documentId="8_{458C0CA2-4BD8-4EBF-B975-0C927D200794}" xr6:coauthVersionLast="47" xr6:coauthVersionMax="47" xr10:uidLastSave="{00000000-0000-0000-0000-000000000000}"/>
  <bookViews>
    <workbookView xWindow="-120" yWindow="-120" windowWidth="29040" windowHeight="15840" tabRatio="500" firstSheet="4" activeTab="9" xr2:uid="{00000000-000D-0000-FFFF-FFFF00000000}"/>
  </bookViews>
  <sheets>
    <sheet name="Instructions" sheetId="1" r:id="rId1"/>
    <sheet name="Tax_Tables" sheetId="2" r:id="rId2"/>
    <sheet name="SSS_Table" sheetId="3" r:id="rId3"/>
    <sheet name="PhilHealth_Table" sheetId="4" r:id="rId4"/>
    <sheet name="PagIBIG_Table" sheetId="5" r:id="rId5"/>
    <sheet name="Holiday_Schedule" sheetId="6" r:id="rId6"/>
    <sheet name="Employee_Master" sheetId="7" r:id="rId7"/>
    <sheet name="Attendance_Register" sheetId="8" r:id="rId8"/>
    <sheet name="Payroll_Register" sheetId="9" r:id="rId9"/>
    <sheet name="Payslip" sheetId="10" r:id="rId10"/>
  </sheets>
  <definedNames>
    <definedName name="_xlnm.Print_Area" localSheetId="9">Payslip!$A$5:$H$21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6" i="10" l="1"/>
  <c r="C11" i="10"/>
  <c r="C10" i="10"/>
  <c r="G7" i="10"/>
  <c r="C7" i="10"/>
  <c r="G6" i="10"/>
  <c r="C6" i="10"/>
  <c r="T56" i="9"/>
  <c r="R56" i="9"/>
  <c r="Q56" i="9"/>
  <c r="K56" i="9"/>
  <c r="E55" i="9"/>
  <c r="D55" i="9"/>
  <c r="C55" i="9"/>
  <c r="B55" i="9"/>
  <c r="E54" i="9"/>
  <c r="D54" i="9"/>
  <c r="C54" i="9"/>
  <c r="B54" i="9"/>
  <c r="E53" i="9"/>
  <c r="D53" i="9"/>
  <c r="C53" i="9"/>
  <c r="B53" i="9"/>
  <c r="E52" i="9"/>
  <c r="D52" i="9"/>
  <c r="C52" i="9"/>
  <c r="B52" i="9"/>
  <c r="E51" i="9"/>
  <c r="D51" i="9"/>
  <c r="C51" i="9"/>
  <c r="B51" i="9"/>
  <c r="E50" i="9"/>
  <c r="D50" i="9"/>
  <c r="C50" i="9"/>
  <c r="B50" i="9"/>
  <c r="E49" i="9"/>
  <c r="D49" i="9"/>
  <c r="C49" i="9"/>
  <c r="B49" i="9"/>
  <c r="E48" i="9"/>
  <c r="D48" i="9"/>
  <c r="C48" i="9"/>
  <c r="B48" i="9"/>
  <c r="E47" i="9"/>
  <c r="D47" i="9"/>
  <c r="C47" i="9"/>
  <c r="B47" i="9"/>
  <c r="E46" i="9"/>
  <c r="D46" i="9"/>
  <c r="C46" i="9"/>
  <c r="B46" i="9"/>
  <c r="W45" i="9"/>
  <c r="P45" i="9"/>
  <c r="O45" i="9"/>
  <c r="I45" i="9"/>
  <c r="Y45" i="9" s="1"/>
  <c r="H45" i="9"/>
  <c r="X45" i="9" s="1"/>
  <c r="G45" i="9"/>
  <c r="E45" i="9"/>
  <c r="D45" i="9"/>
  <c r="C45" i="9"/>
  <c r="B45" i="9"/>
  <c r="E44" i="9"/>
  <c r="D44" i="9"/>
  <c r="C44" i="9"/>
  <c r="B44" i="9"/>
  <c r="E43" i="9"/>
  <c r="D43" i="9"/>
  <c r="C43" i="9"/>
  <c r="B43" i="9"/>
  <c r="E42" i="9"/>
  <c r="D42" i="9"/>
  <c r="C42" i="9"/>
  <c r="B42" i="9"/>
  <c r="E41" i="9"/>
  <c r="D41" i="9"/>
  <c r="C41" i="9"/>
  <c r="B41" i="9"/>
  <c r="E40" i="9"/>
  <c r="D40" i="9"/>
  <c r="C40" i="9"/>
  <c r="B40" i="9"/>
  <c r="E39" i="9"/>
  <c r="D39" i="9"/>
  <c r="C39" i="9"/>
  <c r="B39" i="9"/>
  <c r="E38" i="9"/>
  <c r="D38" i="9"/>
  <c r="C38" i="9"/>
  <c r="B38" i="9"/>
  <c r="E37" i="9"/>
  <c r="D37" i="9"/>
  <c r="C37" i="9"/>
  <c r="B37" i="9"/>
  <c r="E36" i="9"/>
  <c r="D36" i="9"/>
  <c r="C36" i="9"/>
  <c r="B36" i="9"/>
  <c r="E35" i="9"/>
  <c r="D35" i="9"/>
  <c r="C35" i="9"/>
  <c r="B35" i="9"/>
  <c r="E34" i="9"/>
  <c r="D34" i="9"/>
  <c r="C34" i="9"/>
  <c r="B34" i="9"/>
  <c r="E33" i="9"/>
  <c r="D33" i="9"/>
  <c r="C33" i="9"/>
  <c r="B33" i="9"/>
  <c r="W32" i="9"/>
  <c r="P32" i="9"/>
  <c r="O32" i="9"/>
  <c r="E32" i="9"/>
  <c r="D32" i="9"/>
  <c r="C32" i="9"/>
  <c r="B32" i="9"/>
  <c r="E31" i="9"/>
  <c r="D31" i="9"/>
  <c r="C31" i="9"/>
  <c r="B31" i="9"/>
  <c r="E30" i="9"/>
  <c r="D30" i="9"/>
  <c r="C30" i="9"/>
  <c r="B30" i="9"/>
  <c r="E29" i="9"/>
  <c r="D29" i="9"/>
  <c r="C29" i="9"/>
  <c r="B29" i="9"/>
  <c r="E28" i="9"/>
  <c r="D28" i="9"/>
  <c r="C28" i="9"/>
  <c r="B28" i="9"/>
  <c r="E27" i="9"/>
  <c r="D27" i="9"/>
  <c r="C27" i="9"/>
  <c r="B27" i="9"/>
  <c r="E26" i="9"/>
  <c r="D26" i="9"/>
  <c r="C26" i="9"/>
  <c r="B26" i="9"/>
  <c r="E25" i="9"/>
  <c r="D25" i="9"/>
  <c r="C25" i="9"/>
  <c r="B25" i="9"/>
  <c r="E24" i="9"/>
  <c r="D24" i="9"/>
  <c r="C24" i="9"/>
  <c r="B24" i="9"/>
  <c r="E23" i="9"/>
  <c r="D23" i="9"/>
  <c r="C23" i="9"/>
  <c r="B23" i="9"/>
  <c r="E22" i="9"/>
  <c r="D22" i="9"/>
  <c r="C22" i="9"/>
  <c r="B22" i="9"/>
  <c r="E21" i="9"/>
  <c r="D21" i="9"/>
  <c r="C21" i="9"/>
  <c r="B21" i="9"/>
  <c r="E20" i="9"/>
  <c r="D20" i="9"/>
  <c r="C20" i="9"/>
  <c r="B20" i="9"/>
  <c r="W19" i="9"/>
  <c r="E19" i="9"/>
  <c r="D19" i="9"/>
  <c r="C19" i="9"/>
  <c r="B19" i="9"/>
  <c r="E18" i="9"/>
  <c r="D18" i="9"/>
  <c r="C18" i="9"/>
  <c r="B18" i="9"/>
  <c r="E17" i="9"/>
  <c r="D17" i="9"/>
  <c r="C17" i="9"/>
  <c r="B17" i="9"/>
  <c r="E16" i="9"/>
  <c r="D16" i="9"/>
  <c r="C16" i="9"/>
  <c r="B16" i="9"/>
  <c r="E15" i="9"/>
  <c r="D15" i="9"/>
  <c r="C15" i="9"/>
  <c r="B15" i="9"/>
  <c r="E14" i="9"/>
  <c r="D14" i="9"/>
  <c r="C14" i="9"/>
  <c r="B14" i="9"/>
  <c r="E13" i="9"/>
  <c r="D13" i="9"/>
  <c r="C13" i="9"/>
  <c r="B13" i="9"/>
  <c r="E12" i="9"/>
  <c r="D12" i="9"/>
  <c r="C12" i="9"/>
  <c r="B12" i="9"/>
  <c r="E11" i="9"/>
  <c r="D11" i="9"/>
  <c r="C11" i="9"/>
  <c r="B11" i="9"/>
  <c r="E10" i="9"/>
  <c r="D10" i="9"/>
  <c r="C10" i="9"/>
  <c r="B10" i="9"/>
  <c r="E9" i="9"/>
  <c r="D9" i="9"/>
  <c r="C9" i="9"/>
  <c r="B9" i="9"/>
  <c r="E8" i="9"/>
  <c r="D8" i="9"/>
  <c r="C8" i="9"/>
  <c r="B8" i="9"/>
  <c r="E7" i="9"/>
  <c r="D7" i="9"/>
  <c r="C7" i="9"/>
  <c r="B7" i="9"/>
  <c r="E6" i="9"/>
  <c r="D6" i="9"/>
  <c r="C6" i="9"/>
  <c r="B6" i="9"/>
  <c r="L57" i="8"/>
  <c r="K57" i="8"/>
  <c r="J57" i="8"/>
  <c r="I57" i="8"/>
  <c r="H57" i="8"/>
  <c r="G57" i="8"/>
  <c r="F57" i="8"/>
  <c r="E57" i="8"/>
  <c r="N56" i="8"/>
  <c r="M56" i="8"/>
  <c r="O56" i="8" s="1"/>
  <c r="D56" i="8"/>
  <c r="C56" i="8"/>
  <c r="N55" i="8"/>
  <c r="M55" i="8"/>
  <c r="O55" i="8" s="1"/>
  <c r="D55" i="8"/>
  <c r="C55" i="8"/>
  <c r="N54" i="8"/>
  <c r="M54" i="8"/>
  <c r="O54" i="8" s="1"/>
  <c r="D54" i="8"/>
  <c r="C54" i="8"/>
  <c r="N53" i="8"/>
  <c r="M53" i="8"/>
  <c r="O53" i="8" s="1"/>
  <c r="D53" i="8"/>
  <c r="C53" i="8"/>
  <c r="N52" i="8"/>
  <c r="M52" i="8"/>
  <c r="O52" i="8" s="1"/>
  <c r="D52" i="8"/>
  <c r="C52" i="8"/>
  <c r="N51" i="8"/>
  <c r="M51" i="8"/>
  <c r="O51" i="8" s="1"/>
  <c r="D51" i="8"/>
  <c r="C51" i="8"/>
  <c r="N50" i="8"/>
  <c r="M50" i="8"/>
  <c r="O50" i="8" s="1"/>
  <c r="D50" i="8"/>
  <c r="C50" i="8"/>
  <c r="N49" i="8"/>
  <c r="M49" i="8"/>
  <c r="O49" i="8" s="1"/>
  <c r="D49" i="8"/>
  <c r="C49" i="8"/>
  <c r="N48" i="8"/>
  <c r="M48" i="8"/>
  <c r="O48" i="8" s="1"/>
  <c r="D48" i="8"/>
  <c r="C48" i="8"/>
  <c r="N47" i="8"/>
  <c r="M47" i="8"/>
  <c r="O47" i="8" s="1"/>
  <c r="D47" i="8"/>
  <c r="C47" i="8"/>
  <c r="N46" i="8"/>
  <c r="M46" i="8"/>
  <c r="O46" i="8" s="1"/>
  <c r="D46" i="8"/>
  <c r="C46" i="8"/>
  <c r="N45" i="8"/>
  <c r="M45" i="8"/>
  <c r="O45" i="8" s="1"/>
  <c r="D45" i="8"/>
  <c r="C45" i="8"/>
  <c r="N44" i="8"/>
  <c r="M44" i="8"/>
  <c r="O44" i="8" s="1"/>
  <c r="D44" i="8"/>
  <c r="C44" i="8"/>
  <c r="N43" i="8"/>
  <c r="M43" i="8"/>
  <c r="O43" i="8" s="1"/>
  <c r="D43" i="8"/>
  <c r="C43" i="8"/>
  <c r="N42" i="8"/>
  <c r="M42" i="8"/>
  <c r="O42" i="8" s="1"/>
  <c r="D42" i="8"/>
  <c r="C42" i="8"/>
  <c r="N41" i="8"/>
  <c r="M41" i="8"/>
  <c r="O41" i="8" s="1"/>
  <c r="D41" i="8"/>
  <c r="C41" i="8"/>
  <c r="N40" i="8"/>
  <c r="M40" i="8"/>
  <c r="O40" i="8" s="1"/>
  <c r="D40" i="8"/>
  <c r="C40" i="8"/>
  <c r="N39" i="8"/>
  <c r="M39" i="8"/>
  <c r="O39" i="8" s="1"/>
  <c r="D39" i="8"/>
  <c r="C39" i="8"/>
  <c r="N38" i="8"/>
  <c r="M38" i="8"/>
  <c r="O38" i="8" s="1"/>
  <c r="D38" i="8"/>
  <c r="C38" i="8"/>
  <c r="N37" i="8"/>
  <c r="M37" i="8"/>
  <c r="O37" i="8" s="1"/>
  <c r="D37" i="8"/>
  <c r="C37" i="8"/>
  <c r="N36" i="8"/>
  <c r="M36" i="8"/>
  <c r="O36" i="8" s="1"/>
  <c r="D36" i="8"/>
  <c r="C36" i="8"/>
  <c r="N35" i="8"/>
  <c r="M35" i="8"/>
  <c r="O35" i="8" s="1"/>
  <c r="D35" i="8"/>
  <c r="C35" i="8"/>
  <c r="N34" i="8"/>
  <c r="M34" i="8"/>
  <c r="O34" i="8" s="1"/>
  <c r="D34" i="8"/>
  <c r="C34" i="8"/>
  <c r="N33" i="8"/>
  <c r="M33" i="8"/>
  <c r="O33" i="8" s="1"/>
  <c r="D33" i="8"/>
  <c r="C33" i="8"/>
  <c r="N32" i="8"/>
  <c r="M32" i="8"/>
  <c r="O32" i="8" s="1"/>
  <c r="D32" i="8"/>
  <c r="C32" i="8"/>
  <c r="N31" i="8"/>
  <c r="M31" i="8"/>
  <c r="O31" i="8" s="1"/>
  <c r="D31" i="8"/>
  <c r="C31" i="8"/>
  <c r="N30" i="8"/>
  <c r="M30" i="8"/>
  <c r="O30" i="8" s="1"/>
  <c r="D30" i="8"/>
  <c r="C30" i="8"/>
  <c r="N29" i="8"/>
  <c r="M29" i="8"/>
  <c r="O29" i="8" s="1"/>
  <c r="D29" i="8"/>
  <c r="C29" i="8"/>
  <c r="N28" i="8"/>
  <c r="M28" i="8"/>
  <c r="O28" i="8" s="1"/>
  <c r="D28" i="8"/>
  <c r="C28" i="8"/>
  <c r="N27" i="8"/>
  <c r="M27" i="8"/>
  <c r="O27" i="8" s="1"/>
  <c r="D27" i="8"/>
  <c r="C27" i="8"/>
  <c r="N26" i="8"/>
  <c r="M26" i="8"/>
  <c r="O26" i="8" s="1"/>
  <c r="D26" i="8"/>
  <c r="C26" i="8"/>
  <c r="N25" i="8"/>
  <c r="M25" i="8"/>
  <c r="O25" i="8" s="1"/>
  <c r="D25" i="8"/>
  <c r="C25" i="8"/>
  <c r="N24" i="8"/>
  <c r="M24" i="8"/>
  <c r="O24" i="8" s="1"/>
  <c r="D24" i="8"/>
  <c r="C24" i="8"/>
  <c r="O23" i="8"/>
  <c r="N23" i="8"/>
  <c r="M23" i="8"/>
  <c r="D23" i="8"/>
  <c r="C23" i="8"/>
  <c r="N22" i="8"/>
  <c r="M22" i="8"/>
  <c r="O22" i="8" s="1"/>
  <c r="D22" i="8"/>
  <c r="C22" i="8"/>
  <c r="N21" i="8"/>
  <c r="M21" i="8"/>
  <c r="O21" i="8" s="1"/>
  <c r="D21" i="8"/>
  <c r="C21" i="8"/>
  <c r="N20" i="8"/>
  <c r="M20" i="8"/>
  <c r="O20" i="8" s="1"/>
  <c r="D20" i="8"/>
  <c r="C20" i="8"/>
  <c r="N19" i="8"/>
  <c r="M19" i="8"/>
  <c r="O19" i="8" s="1"/>
  <c r="D19" i="8"/>
  <c r="C19" i="8"/>
  <c r="N18" i="8"/>
  <c r="M18" i="8"/>
  <c r="O18" i="8" s="1"/>
  <c r="D18" i="8"/>
  <c r="C18" i="8"/>
  <c r="N17" i="8"/>
  <c r="M17" i="8"/>
  <c r="O17" i="8" s="1"/>
  <c r="D17" i="8"/>
  <c r="C17" i="8"/>
  <c r="N16" i="8"/>
  <c r="M16" i="8"/>
  <c r="O16" i="8" s="1"/>
  <c r="D16" i="8"/>
  <c r="C16" i="8"/>
  <c r="N15" i="8"/>
  <c r="M15" i="8"/>
  <c r="O15" i="8" s="1"/>
  <c r="D15" i="8"/>
  <c r="C15" i="8"/>
  <c r="N14" i="8"/>
  <c r="M14" i="8"/>
  <c r="O14" i="8" s="1"/>
  <c r="D14" i="8"/>
  <c r="C14" i="8"/>
  <c r="N13" i="8"/>
  <c r="M13" i="8"/>
  <c r="O13" i="8" s="1"/>
  <c r="D13" i="8"/>
  <c r="C13" i="8"/>
  <c r="N12" i="8"/>
  <c r="M12" i="8"/>
  <c r="O12" i="8" s="1"/>
  <c r="D12" i="8"/>
  <c r="C12" i="8"/>
  <c r="N11" i="8"/>
  <c r="M11" i="8"/>
  <c r="O11" i="8" s="1"/>
  <c r="D11" i="8"/>
  <c r="C11" i="8"/>
  <c r="N10" i="8"/>
  <c r="M10" i="8"/>
  <c r="O10" i="8" s="1"/>
  <c r="D10" i="8"/>
  <c r="C10" i="8"/>
  <c r="N9" i="8"/>
  <c r="M9" i="8"/>
  <c r="O9" i="8" s="1"/>
  <c r="D9" i="8"/>
  <c r="C9" i="8"/>
  <c r="N8" i="8"/>
  <c r="M8" i="8"/>
  <c r="O8" i="8" s="1"/>
  <c r="D8" i="8"/>
  <c r="C8" i="8"/>
  <c r="N7" i="8"/>
  <c r="M7" i="8"/>
  <c r="D7" i="8"/>
  <c r="C7" i="8"/>
  <c r="G3" i="8"/>
  <c r="E3" i="8"/>
  <c r="C3" i="8"/>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W55" i="9" l="1"/>
  <c r="I55" i="9"/>
  <c r="Y55" i="9" s="1"/>
  <c r="H55" i="9"/>
  <c r="X55" i="9" s="1"/>
  <c r="G55" i="9"/>
  <c r="O55" i="9"/>
  <c r="P55" i="9"/>
  <c r="H54" i="9"/>
  <c r="X54" i="9" s="1"/>
  <c r="G54" i="9"/>
  <c r="P54" i="9"/>
  <c r="W54" i="9"/>
  <c r="I54" i="9"/>
  <c r="Y54" i="9" s="1"/>
  <c r="O54" i="9"/>
  <c r="I53" i="9"/>
  <c r="Y53" i="9" s="1"/>
  <c r="P53" i="9"/>
  <c r="G53" i="9"/>
  <c r="O53" i="9"/>
  <c r="H53" i="9"/>
  <c r="X53" i="9" s="1"/>
  <c r="W53" i="9"/>
  <c r="G52" i="9"/>
  <c r="H52" i="9"/>
  <c r="X52" i="9" s="1"/>
  <c r="O52" i="9"/>
  <c r="W52" i="9"/>
  <c r="P52" i="9"/>
  <c r="I52" i="9"/>
  <c r="Y52" i="9" s="1"/>
  <c r="G51" i="9"/>
  <c r="H51" i="9"/>
  <c r="X51" i="9" s="1"/>
  <c r="I51" i="9"/>
  <c r="Y51" i="9" s="1"/>
  <c r="W51" i="9"/>
  <c r="Z51" i="9" s="1"/>
  <c r="P51" i="9"/>
  <c r="O51" i="9"/>
  <c r="W50" i="9"/>
  <c r="P50" i="9"/>
  <c r="I50" i="9"/>
  <c r="Y50" i="9" s="1"/>
  <c r="H50" i="9"/>
  <c r="X50" i="9" s="1"/>
  <c r="O50" i="9"/>
  <c r="G50" i="9"/>
  <c r="G49" i="9"/>
  <c r="I49" i="9"/>
  <c r="Y49" i="9" s="1"/>
  <c r="H49" i="9"/>
  <c r="X49" i="9" s="1"/>
  <c r="P49" i="9"/>
  <c r="W49" i="9"/>
  <c r="O49" i="9"/>
  <c r="O48" i="9"/>
  <c r="H48" i="9"/>
  <c r="X48" i="9" s="1"/>
  <c r="W48" i="9"/>
  <c r="P48" i="9"/>
  <c r="G48" i="9"/>
  <c r="I48" i="9"/>
  <c r="Y48" i="9" s="1"/>
  <c r="W47" i="9"/>
  <c r="P47" i="9"/>
  <c r="I47" i="9"/>
  <c r="Y47" i="9" s="1"/>
  <c r="H47" i="9"/>
  <c r="X47" i="9" s="1"/>
  <c r="G47" i="9"/>
  <c r="O47" i="9"/>
  <c r="P46" i="9"/>
  <c r="W46" i="9"/>
  <c r="G46" i="9"/>
  <c r="I46" i="9"/>
  <c r="Y46" i="9" s="1"/>
  <c r="O46" i="9"/>
  <c r="H46" i="9"/>
  <c r="X46" i="9" s="1"/>
  <c r="H44" i="9"/>
  <c r="X44" i="9" s="1"/>
  <c r="G44" i="9"/>
  <c r="W44" i="9"/>
  <c r="P44" i="9"/>
  <c r="O44" i="9"/>
  <c r="I44" i="9"/>
  <c r="Y44" i="9" s="1"/>
  <c r="P43" i="9"/>
  <c r="I43" i="9"/>
  <c r="Y43" i="9" s="1"/>
  <c r="O43" i="9"/>
  <c r="W43" i="9"/>
  <c r="G43" i="9"/>
  <c r="H43" i="9"/>
  <c r="X43" i="9" s="1"/>
  <c r="P42" i="9"/>
  <c r="O42" i="9"/>
  <c r="W42" i="9"/>
  <c r="I42" i="9"/>
  <c r="Y42" i="9" s="1"/>
  <c r="H42" i="9"/>
  <c r="X42" i="9" s="1"/>
  <c r="G42" i="9"/>
  <c r="H41" i="9"/>
  <c r="X41" i="9" s="1"/>
  <c r="G41" i="9"/>
  <c r="I41" i="9"/>
  <c r="Y41" i="9" s="1"/>
  <c r="W41" i="9"/>
  <c r="P41" i="9"/>
  <c r="O41" i="9"/>
  <c r="P40" i="9"/>
  <c r="O40" i="9"/>
  <c r="I40" i="9"/>
  <c r="Y40" i="9" s="1"/>
  <c r="H40" i="9"/>
  <c r="X40" i="9" s="1"/>
  <c r="G40" i="9"/>
  <c r="W40" i="9"/>
  <c r="W39" i="9"/>
  <c r="P39" i="9"/>
  <c r="O39" i="9"/>
  <c r="I39" i="9"/>
  <c r="Y39" i="9" s="1"/>
  <c r="H39" i="9"/>
  <c r="X39" i="9" s="1"/>
  <c r="G39" i="9"/>
  <c r="H38" i="9"/>
  <c r="X38" i="9" s="1"/>
  <c r="P38" i="9"/>
  <c r="W38" i="9"/>
  <c r="G38" i="9"/>
  <c r="O38" i="9"/>
  <c r="I38" i="9"/>
  <c r="Y38" i="9" s="1"/>
  <c r="P37" i="9"/>
  <c r="G37" i="9"/>
  <c r="H37" i="9"/>
  <c r="X37" i="9" s="1"/>
  <c r="O37" i="9"/>
  <c r="W37" i="9"/>
  <c r="I37" i="9"/>
  <c r="Y37" i="9" s="1"/>
  <c r="G36" i="9"/>
  <c r="I36" i="9"/>
  <c r="Y36" i="9" s="1"/>
  <c r="O36" i="9"/>
  <c r="H36" i="9"/>
  <c r="X36" i="9" s="1"/>
  <c r="P36" i="9"/>
  <c r="W36" i="9"/>
  <c r="O35" i="9"/>
  <c r="I35" i="9"/>
  <c r="Y35" i="9" s="1"/>
  <c r="H35" i="9"/>
  <c r="X35" i="9" s="1"/>
  <c r="G35" i="9"/>
  <c r="P35" i="9"/>
  <c r="W35" i="9"/>
  <c r="W34" i="9"/>
  <c r="O34" i="9"/>
  <c r="H34" i="9"/>
  <c r="X34" i="9" s="1"/>
  <c r="P34" i="9"/>
  <c r="I34" i="9"/>
  <c r="Y34" i="9" s="1"/>
  <c r="G34" i="9"/>
  <c r="I33" i="9"/>
  <c r="Y33" i="9" s="1"/>
  <c r="G33" i="9"/>
  <c r="W33" i="9"/>
  <c r="H33" i="9"/>
  <c r="X33" i="9" s="1"/>
  <c r="O33" i="9"/>
  <c r="P33" i="9"/>
  <c r="G32" i="9"/>
  <c r="H32" i="9"/>
  <c r="X32" i="9" s="1"/>
  <c r="I32" i="9"/>
  <c r="Y32" i="9" s="1"/>
  <c r="P31" i="9"/>
  <c r="H31" i="9"/>
  <c r="X31" i="9" s="1"/>
  <c r="G31" i="9"/>
  <c r="O31" i="9"/>
  <c r="I31" i="9"/>
  <c r="Y31" i="9" s="1"/>
  <c r="W31" i="9"/>
  <c r="W30" i="9"/>
  <c r="P30" i="9"/>
  <c r="G30" i="9"/>
  <c r="H30" i="9"/>
  <c r="X30" i="9" s="1"/>
  <c r="I30" i="9"/>
  <c r="Y30" i="9" s="1"/>
  <c r="O30" i="9"/>
  <c r="H29" i="9"/>
  <c r="X29" i="9" s="1"/>
  <c r="I29" i="9"/>
  <c r="Y29" i="9" s="1"/>
  <c r="O29" i="9"/>
  <c r="P29" i="9"/>
  <c r="W29" i="9"/>
  <c r="G29" i="9"/>
  <c r="O28" i="9"/>
  <c r="I28" i="9"/>
  <c r="Y28" i="9" s="1"/>
  <c r="W28" i="9"/>
  <c r="H28" i="9"/>
  <c r="X28" i="9" s="1"/>
  <c r="G28" i="9"/>
  <c r="P28" i="9"/>
  <c r="P27" i="9"/>
  <c r="W27" i="9"/>
  <c r="O27" i="9"/>
  <c r="I27" i="9"/>
  <c r="Y27" i="9" s="1"/>
  <c r="H27" i="9"/>
  <c r="X27" i="9" s="1"/>
  <c r="G27" i="9"/>
  <c r="P26" i="9"/>
  <c r="O26" i="9"/>
  <c r="I26" i="9"/>
  <c r="Y26" i="9" s="1"/>
  <c r="H26" i="9"/>
  <c r="X26" i="9" s="1"/>
  <c r="G26" i="9"/>
  <c r="W26" i="9"/>
  <c r="Z26" i="9" s="1"/>
  <c r="W25" i="9"/>
  <c r="H25" i="9"/>
  <c r="X25" i="9" s="1"/>
  <c r="I25" i="9"/>
  <c r="Y25" i="9" s="1"/>
  <c r="O25" i="9"/>
  <c r="P25" i="9"/>
  <c r="G25" i="9"/>
  <c r="G24" i="9"/>
  <c r="P24" i="9"/>
  <c r="W24" i="9"/>
  <c r="H24" i="9"/>
  <c r="X24" i="9" s="1"/>
  <c r="I24" i="9"/>
  <c r="Y24" i="9" s="1"/>
  <c r="O24" i="9"/>
  <c r="G23" i="9"/>
  <c r="H23" i="9"/>
  <c r="X23" i="9" s="1"/>
  <c r="O23" i="9"/>
  <c r="W23" i="9"/>
  <c r="P23" i="9"/>
  <c r="I23" i="9"/>
  <c r="Y23" i="9" s="1"/>
  <c r="H22" i="9"/>
  <c r="X22" i="9" s="1"/>
  <c r="I22" i="9"/>
  <c r="Y22" i="9" s="1"/>
  <c r="W22" i="9"/>
  <c r="G22" i="9"/>
  <c r="P22" i="9"/>
  <c r="O22" i="9"/>
  <c r="I21" i="9"/>
  <c r="Y21" i="9" s="1"/>
  <c r="H21" i="9"/>
  <c r="X21" i="9" s="1"/>
  <c r="P21" i="9"/>
  <c r="O21" i="9"/>
  <c r="W21" i="9"/>
  <c r="G21" i="9"/>
  <c r="P20" i="9"/>
  <c r="O20" i="9"/>
  <c r="I20" i="9"/>
  <c r="Y20" i="9" s="1"/>
  <c r="H20" i="9"/>
  <c r="X20" i="9" s="1"/>
  <c r="W20" i="9"/>
  <c r="G20" i="9"/>
  <c r="G19" i="9"/>
  <c r="I19" i="9"/>
  <c r="Y19" i="9" s="1"/>
  <c r="O19" i="9"/>
  <c r="P19" i="9"/>
  <c r="H19" i="9"/>
  <c r="X19" i="9" s="1"/>
  <c r="Z19" i="9" s="1"/>
  <c r="O18" i="9"/>
  <c r="H18" i="9"/>
  <c r="X18" i="9" s="1"/>
  <c r="G18" i="9"/>
  <c r="I18" i="9"/>
  <c r="Y18" i="9" s="1"/>
  <c r="W18" i="9"/>
  <c r="P18" i="9"/>
  <c r="P17" i="9"/>
  <c r="W17" i="9"/>
  <c r="O17" i="9"/>
  <c r="I17" i="9"/>
  <c r="Y17" i="9" s="1"/>
  <c r="H17" i="9"/>
  <c r="X17" i="9" s="1"/>
  <c r="G17" i="9"/>
  <c r="H16" i="9"/>
  <c r="X16" i="9" s="1"/>
  <c r="P16" i="9"/>
  <c r="O16" i="9"/>
  <c r="I16" i="9"/>
  <c r="Y16" i="9" s="1"/>
  <c r="G16" i="9"/>
  <c r="W16" i="9"/>
  <c r="G15" i="9"/>
  <c r="H15" i="9"/>
  <c r="X15" i="9" s="1"/>
  <c r="I15" i="9"/>
  <c r="Y15" i="9" s="1"/>
  <c r="P15" i="9"/>
  <c r="W15" i="9"/>
  <c r="O15" i="9"/>
  <c r="G14" i="9"/>
  <c r="O14" i="9"/>
  <c r="W14" i="9"/>
  <c r="P14" i="9"/>
  <c r="H14" i="9"/>
  <c r="X14" i="9" s="1"/>
  <c r="I14" i="9"/>
  <c r="Y14" i="9" s="1"/>
  <c r="O13" i="9"/>
  <c r="H13" i="9"/>
  <c r="X13" i="9" s="1"/>
  <c r="G13" i="9"/>
  <c r="I13" i="9"/>
  <c r="Y13" i="9" s="1"/>
  <c r="W13" i="9"/>
  <c r="P13" i="9"/>
  <c r="H12" i="9"/>
  <c r="X12" i="9" s="1"/>
  <c r="G12" i="9"/>
  <c r="O12" i="9"/>
  <c r="P12" i="9"/>
  <c r="I12" i="9"/>
  <c r="Y12" i="9" s="1"/>
  <c r="W12" i="9"/>
  <c r="P11" i="9"/>
  <c r="O11" i="9"/>
  <c r="W11" i="9"/>
  <c r="I11" i="9"/>
  <c r="Y11" i="9" s="1"/>
  <c r="G11" i="9"/>
  <c r="H11" i="9"/>
  <c r="X11" i="9" s="1"/>
  <c r="W10" i="9"/>
  <c r="G10" i="9"/>
  <c r="H10" i="9"/>
  <c r="X10" i="9" s="1"/>
  <c r="I10" i="9"/>
  <c r="Y10" i="9" s="1"/>
  <c r="P10" i="9"/>
  <c r="W9" i="9"/>
  <c r="H9" i="9"/>
  <c r="X9" i="9" s="1"/>
  <c r="I9" i="9"/>
  <c r="Y9" i="9" s="1"/>
  <c r="P9" i="9"/>
  <c r="G9" i="9"/>
  <c r="H8" i="9"/>
  <c r="X8" i="9" s="1"/>
  <c r="G8" i="9"/>
  <c r="P8" i="9"/>
  <c r="I8" i="9"/>
  <c r="Y8" i="9" s="1"/>
  <c r="W8" i="9"/>
  <c r="I7" i="9"/>
  <c r="Y7" i="9" s="1"/>
  <c r="G7" i="9"/>
  <c r="W7" i="9"/>
  <c r="P7" i="9"/>
  <c r="H7" i="9"/>
  <c r="X7" i="9" s="1"/>
  <c r="G6" i="9"/>
  <c r="P6" i="9"/>
  <c r="H6" i="9"/>
  <c r="W6" i="9"/>
  <c r="I6" i="9"/>
  <c r="N57" i="8"/>
  <c r="O7" i="8"/>
  <c r="M57" i="8"/>
  <c r="U55" i="9"/>
  <c r="J53" i="7"/>
  <c r="P56" i="8" s="1"/>
  <c r="Q56" i="8" s="1"/>
  <c r="J55" i="9" s="1"/>
  <c r="S55" i="9"/>
  <c r="F55" i="9"/>
  <c r="L55" i="9" s="1"/>
  <c r="J52" i="7"/>
  <c r="P55" i="8" s="1"/>
  <c r="Q55" i="8" s="1"/>
  <c r="J54" i="9" s="1"/>
  <c r="U54" i="9"/>
  <c r="F54" i="9"/>
  <c r="S54" i="9"/>
  <c r="J51" i="7"/>
  <c r="P54" i="8" s="1"/>
  <c r="U53" i="9"/>
  <c r="F53" i="9"/>
  <c r="L53" i="9" s="1"/>
  <c r="S53" i="9"/>
  <c r="S52" i="9"/>
  <c r="F52" i="9"/>
  <c r="L52" i="9" s="1"/>
  <c r="J50" i="7"/>
  <c r="P53" i="8" s="1"/>
  <c r="Q53" i="8" s="1"/>
  <c r="J52" i="9" s="1"/>
  <c r="U52" i="9"/>
  <c r="S51" i="9"/>
  <c r="J49" i="7"/>
  <c r="P52" i="8" s="1"/>
  <c r="F51" i="9"/>
  <c r="L51" i="9" s="1"/>
  <c r="U51" i="9"/>
  <c r="F50" i="9"/>
  <c r="J48" i="7"/>
  <c r="P51" i="8" s="1"/>
  <c r="S50" i="9"/>
  <c r="U50" i="9"/>
  <c r="F49" i="9"/>
  <c r="U49" i="9"/>
  <c r="J47" i="7"/>
  <c r="P50" i="8" s="1"/>
  <c r="Q50" i="8" s="1"/>
  <c r="J49" i="9" s="1"/>
  <c r="S49" i="9"/>
  <c r="J46" i="7"/>
  <c r="P49" i="8" s="1"/>
  <c r="U48" i="9"/>
  <c r="F48" i="9"/>
  <c r="L48" i="9" s="1"/>
  <c r="S48" i="9"/>
  <c r="S47" i="9"/>
  <c r="F47" i="9"/>
  <c r="L47" i="9" s="1"/>
  <c r="J45" i="7"/>
  <c r="P48" i="8" s="1"/>
  <c r="Q48" i="8" s="1"/>
  <c r="J47" i="9" s="1"/>
  <c r="U47" i="9"/>
  <c r="U46" i="9"/>
  <c r="J44" i="7"/>
  <c r="P47" i="8" s="1"/>
  <c r="S46" i="9"/>
  <c r="F46" i="9"/>
  <c r="L46" i="9" s="1"/>
  <c r="F45" i="9"/>
  <c r="U45" i="9"/>
  <c r="J43" i="7"/>
  <c r="P46" i="8" s="1"/>
  <c r="Q46" i="8" s="1"/>
  <c r="J45" i="9" s="1"/>
  <c r="S45" i="9"/>
  <c r="J42" i="7"/>
  <c r="P45" i="8" s="1"/>
  <c r="Q45" i="8" s="1"/>
  <c r="J44" i="9" s="1"/>
  <c r="F44" i="9"/>
  <c r="U44" i="9"/>
  <c r="S44" i="9"/>
  <c r="J41" i="7"/>
  <c r="P44" i="8" s="1"/>
  <c r="F43" i="9"/>
  <c r="L43" i="9" s="1"/>
  <c r="U43" i="9"/>
  <c r="S43" i="9"/>
  <c r="J40" i="7"/>
  <c r="P43" i="8" s="1"/>
  <c r="F42" i="9"/>
  <c r="U42" i="9"/>
  <c r="S42" i="9"/>
  <c r="S41" i="9"/>
  <c r="F41" i="9"/>
  <c r="L41" i="9" s="1"/>
  <c r="J39" i="7"/>
  <c r="P42" i="8" s="1"/>
  <c r="Q42" i="8" s="1"/>
  <c r="J41" i="9" s="1"/>
  <c r="U41" i="9"/>
  <c r="F40" i="9"/>
  <c r="L40" i="9" s="1"/>
  <c r="U40" i="9"/>
  <c r="S40" i="9"/>
  <c r="J38" i="7"/>
  <c r="P41" i="8" s="1"/>
  <c r="J37" i="7"/>
  <c r="P40" i="8" s="1"/>
  <c r="S39" i="9"/>
  <c r="F39" i="9"/>
  <c r="L39" i="9" s="1"/>
  <c r="U39" i="9"/>
  <c r="J36" i="7"/>
  <c r="P39" i="8" s="1"/>
  <c r="F38" i="9"/>
  <c r="U38" i="9"/>
  <c r="S38" i="9"/>
  <c r="S37" i="9"/>
  <c r="U37" i="9"/>
  <c r="F37" i="9"/>
  <c r="L37" i="9" s="1"/>
  <c r="J35" i="7"/>
  <c r="P38" i="8" s="1"/>
  <c r="Q38" i="8" s="1"/>
  <c r="J37" i="9" s="1"/>
  <c r="F36" i="9"/>
  <c r="S36" i="9"/>
  <c r="U36" i="9"/>
  <c r="J34" i="7"/>
  <c r="P37" i="8" s="1"/>
  <c r="J33" i="7"/>
  <c r="P36" i="8" s="1"/>
  <c r="Q36" i="8" s="1"/>
  <c r="J35" i="9" s="1"/>
  <c r="U35" i="9"/>
  <c r="S35" i="9"/>
  <c r="F35" i="9"/>
  <c r="L35" i="9" s="1"/>
  <c r="J32" i="7"/>
  <c r="P35" i="8" s="1"/>
  <c r="U34" i="9"/>
  <c r="F34" i="9"/>
  <c r="L34" i="9" s="1"/>
  <c r="S34" i="9"/>
  <c r="J31" i="7"/>
  <c r="P34" i="8" s="1"/>
  <c r="S33" i="9"/>
  <c r="F33" i="9"/>
  <c r="L33" i="9" s="1"/>
  <c r="U33" i="9"/>
  <c r="J30" i="7"/>
  <c r="P33" i="8" s="1"/>
  <c r="Q33" i="8" s="1"/>
  <c r="J32" i="9" s="1"/>
  <c r="U32" i="9"/>
  <c r="S32" i="9"/>
  <c r="F32" i="9"/>
  <c r="L32" i="9" s="1"/>
  <c r="S31" i="9"/>
  <c r="J29" i="7"/>
  <c r="P32" i="8" s="1"/>
  <c r="Q32" i="8" s="1"/>
  <c r="J31" i="9" s="1"/>
  <c r="U31" i="9"/>
  <c r="F31" i="9"/>
  <c r="L31" i="9" s="1"/>
  <c r="U30" i="9"/>
  <c r="S30" i="9"/>
  <c r="F30" i="9"/>
  <c r="L30" i="9" s="1"/>
  <c r="J28" i="7"/>
  <c r="P31" i="8" s="1"/>
  <c r="Q31" i="8" s="1"/>
  <c r="J30" i="9" s="1"/>
  <c r="U29" i="9"/>
  <c r="J27" i="7"/>
  <c r="P30" i="8" s="1"/>
  <c r="F29" i="9"/>
  <c r="L29" i="9" s="1"/>
  <c r="S29" i="9"/>
  <c r="J26" i="7"/>
  <c r="P29" i="8" s="1"/>
  <c r="Q29" i="8" s="1"/>
  <c r="J28" i="9" s="1"/>
  <c r="F28" i="9"/>
  <c r="S28" i="9"/>
  <c r="U28" i="9"/>
  <c r="S27" i="9"/>
  <c r="U27" i="9"/>
  <c r="F27" i="9"/>
  <c r="L27" i="9" s="1"/>
  <c r="J25" i="7"/>
  <c r="P28" i="8" s="1"/>
  <c r="F26" i="9"/>
  <c r="J24" i="7"/>
  <c r="P27" i="8" s="1"/>
  <c r="Q27" i="8" s="1"/>
  <c r="J26" i="9" s="1"/>
  <c r="S26" i="9"/>
  <c r="U26" i="9"/>
  <c r="S25" i="9"/>
  <c r="J23" i="7"/>
  <c r="P26" i="8" s="1"/>
  <c r="Q26" i="8" s="1"/>
  <c r="J25" i="9" s="1"/>
  <c r="U25" i="9"/>
  <c r="F25" i="9"/>
  <c r="L25" i="9" s="1"/>
  <c r="F24" i="9"/>
  <c r="S24" i="9"/>
  <c r="U24" i="9"/>
  <c r="J22" i="7"/>
  <c r="P25" i="8" s="1"/>
  <c r="Q25" i="8" s="1"/>
  <c r="J24" i="9" s="1"/>
  <c r="U23" i="9"/>
  <c r="S23" i="9"/>
  <c r="F23" i="9"/>
  <c r="L23" i="9" s="1"/>
  <c r="J21" i="7"/>
  <c r="P24" i="8" s="1"/>
  <c r="U22" i="9"/>
  <c r="S22" i="9"/>
  <c r="F22" i="9"/>
  <c r="L22" i="9" s="1"/>
  <c r="J20" i="7"/>
  <c r="P23" i="8" s="1"/>
  <c r="Q23" i="8" s="1"/>
  <c r="J22" i="9" s="1"/>
  <c r="U21" i="9"/>
  <c r="F21" i="9"/>
  <c r="J19" i="7"/>
  <c r="P22" i="8" s="1"/>
  <c r="S21" i="9"/>
  <c r="U20" i="9"/>
  <c r="F20" i="9"/>
  <c r="L20" i="9" s="1"/>
  <c r="J18" i="7"/>
  <c r="P21" i="8" s="1"/>
  <c r="Q21" i="8" s="1"/>
  <c r="J20" i="9" s="1"/>
  <c r="S20" i="9"/>
  <c r="U19" i="9"/>
  <c r="F19" i="9"/>
  <c r="L19" i="9" s="1"/>
  <c r="S19" i="9"/>
  <c r="J17" i="7"/>
  <c r="P20" i="8" s="1"/>
  <c r="Q20" i="8" s="1"/>
  <c r="J19" i="9" s="1"/>
  <c r="F18" i="9"/>
  <c r="U18" i="9"/>
  <c r="J16" i="7"/>
  <c r="P19" i="8" s="1"/>
  <c r="S18" i="9"/>
  <c r="S17" i="9"/>
  <c r="F17" i="9"/>
  <c r="L17" i="9" s="1"/>
  <c r="J15" i="7"/>
  <c r="P18" i="8" s="1"/>
  <c r="U17" i="9"/>
  <c r="J14" i="7"/>
  <c r="P17" i="8" s="1"/>
  <c r="Q17" i="8" s="1"/>
  <c r="J16" i="9" s="1"/>
  <c r="U16" i="9"/>
  <c r="S16" i="9"/>
  <c r="F16" i="9"/>
  <c r="L16" i="9" s="1"/>
  <c r="J13" i="7"/>
  <c r="P16" i="8" s="1"/>
  <c r="U15" i="9"/>
  <c r="F15" i="9"/>
  <c r="S15" i="9"/>
  <c r="F14" i="9"/>
  <c r="L14" i="9" s="1"/>
  <c r="U14" i="9"/>
  <c r="S14" i="9"/>
  <c r="J12" i="7"/>
  <c r="P15" i="8" s="1"/>
  <c r="S13" i="9"/>
  <c r="F13" i="9"/>
  <c r="L13" i="9" s="1"/>
  <c r="U13" i="9"/>
  <c r="J11" i="7"/>
  <c r="P14" i="8" s="1"/>
  <c r="Q14" i="8" s="1"/>
  <c r="J13" i="9" s="1"/>
  <c r="U12" i="9"/>
  <c r="S12" i="9"/>
  <c r="F12" i="9"/>
  <c r="L12" i="9" s="1"/>
  <c r="J10" i="7"/>
  <c r="P13" i="8" s="1"/>
  <c r="Q13" i="8" s="1"/>
  <c r="J12" i="9" s="1"/>
  <c r="J9" i="7"/>
  <c r="P12" i="8" s="1"/>
  <c r="Q12" i="8" s="1"/>
  <c r="J11" i="9" s="1"/>
  <c r="U11" i="9"/>
  <c r="S11" i="9"/>
  <c r="F11" i="9"/>
  <c r="L11" i="9" s="1"/>
  <c r="J8" i="7"/>
  <c r="P11" i="8" s="1"/>
  <c r="Q11" i="8" s="1"/>
  <c r="J10" i="9" s="1"/>
  <c r="U10" i="9"/>
  <c r="S10" i="9"/>
  <c r="F10" i="9"/>
  <c r="L10" i="9" s="1"/>
  <c r="F9" i="9"/>
  <c r="J7" i="7"/>
  <c r="P10" i="8" s="1"/>
  <c r="Q10" i="8" s="1"/>
  <c r="J9" i="9" s="1"/>
  <c r="S9" i="9"/>
  <c r="U9" i="9"/>
  <c r="S8" i="9"/>
  <c r="J6" i="7"/>
  <c r="P9" i="8" s="1"/>
  <c r="Q9" i="8" s="1"/>
  <c r="J8" i="9" s="1"/>
  <c r="U8" i="9"/>
  <c r="F8" i="9"/>
  <c r="L8" i="9" s="1"/>
  <c r="J5" i="7"/>
  <c r="P8" i="8" s="1"/>
  <c r="S7" i="9"/>
  <c r="F7" i="9"/>
  <c r="L7" i="9" s="1"/>
  <c r="U7" i="9"/>
  <c r="U6" i="9"/>
  <c r="S6" i="9"/>
  <c r="J4" i="7"/>
  <c r="P7" i="8" s="1"/>
  <c r="P57" i="8" s="1"/>
  <c r="F6" i="9"/>
  <c r="M45" i="9"/>
  <c r="Q52" i="8"/>
  <c r="J51" i="9" s="1"/>
  <c r="Q49" i="8"/>
  <c r="J48" i="9" s="1"/>
  <c r="Q47" i="8"/>
  <c r="J46" i="9" s="1"/>
  <c r="Q44" i="8"/>
  <c r="J43" i="9" s="1"/>
  <c r="Q41" i="8"/>
  <c r="J40" i="9" s="1"/>
  <c r="Q39" i="8"/>
  <c r="J38" i="9" s="1"/>
  <c r="Q34" i="8"/>
  <c r="J33" i="9" s="1"/>
  <c r="Q30" i="8"/>
  <c r="J29" i="9" s="1"/>
  <c r="Q54" i="8"/>
  <c r="J53" i="9" s="1"/>
  <c r="Q51" i="8"/>
  <c r="J50" i="9" s="1"/>
  <c r="Q40" i="8"/>
  <c r="J39" i="9" s="1"/>
  <c r="Q35" i="8"/>
  <c r="J34" i="9" s="1"/>
  <c r="Q24" i="8"/>
  <c r="J23" i="9" s="1"/>
  <c r="Q19" i="8"/>
  <c r="J18" i="9" s="1"/>
  <c r="Q37" i="8"/>
  <c r="J36" i="9" s="1"/>
  <c r="Q22" i="8"/>
  <c r="J21" i="9" s="1"/>
  <c r="Q18" i="8"/>
  <c r="J17" i="9" s="1"/>
  <c r="Q15" i="8"/>
  <c r="J14" i="9" s="1"/>
  <c r="Q8" i="8"/>
  <c r="J7" i="9" s="1"/>
  <c r="Q28" i="8"/>
  <c r="J27" i="9" s="1"/>
  <c r="Q43" i="8"/>
  <c r="J42" i="9" s="1"/>
  <c r="Q16" i="8"/>
  <c r="J15" i="9" s="1"/>
  <c r="Z45" i="9"/>
  <c r="Z15" i="9" l="1"/>
  <c r="Z21" i="9"/>
  <c r="Z13" i="9"/>
  <c r="Z31" i="9"/>
  <c r="Z18" i="9"/>
  <c r="Z22" i="9"/>
  <c r="Z40" i="9"/>
  <c r="Z20" i="9"/>
  <c r="Z29" i="9"/>
  <c r="Z16" i="9"/>
  <c r="Z49" i="9"/>
  <c r="Z12" i="9"/>
  <c r="Z8" i="9"/>
  <c r="Z37" i="9"/>
  <c r="Z23" i="9"/>
  <c r="Z53" i="9"/>
  <c r="Z41" i="9"/>
  <c r="Z47" i="9"/>
  <c r="Z36" i="9"/>
  <c r="Z44" i="9"/>
  <c r="Z35" i="9"/>
  <c r="G56" i="9"/>
  <c r="G9" i="10"/>
  <c r="C14" i="10"/>
  <c r="P56" i="9"/>
  <c r="X6" i="9"/>
  <c r="X56" i="9" s="1"/>
  <c r="G10" i="10"/>
  <c r="H56" i="9"/>
  <c r="W56" i="9"/>
  <c r="Y6" i="9"/>
  <c r="G14" i="10"/>
  <c r="I56" i="9"/>
  <c r="Q7" i="8"/>
  <c r="O57" i="8"/>
  <c r="N55" i="9"/>
  <c r="N53" i="9"/>
  <c r="N52" i="9"/>
  <c r="N51" i="9"/>
  <c r="N48" i="9"/>
  <c r="N47" i="9"/>
  <c r="N46" i="9"/>
  <c r="N43" i="9"/>
  <c r="N41" i="9"/>
  <c r="N40" i="9"/>
  <c r="N39" i="9"/>
  <c r="N37" i="9"/>
  <c r="N35" i="9"/>
  <c r="N34" i="9"/>
  <c r="N33" i="9"/>
  <c r="N32" i="9"/>
  <c r="N31" i="9"/>
  <c r="N30" i="9"/>
  <c r="N29" i="9"/>
  <c r="N27" i="9"/>
  <c r="N25" i="9"/>
  <c r="N23" i="9"/>
  <c r="N22" i="9"/>
  <c r="N20" i="9"/>
  <c r="N19" i="9"/>
  <c r="N17" i="9"/>
  <c r="N16" i="9"/>
  <c r="N14" i="9"/>
  <c r="N13" i="9"/>
  <c r="N12" i="9"/>
  <c r="N11" i="9"/>
  <c r="N10" i="9"/>
  <c r="O10" i="9" s="1"/>
  <c r="M10" i="9" s="1"/>
  <c r="V10" i="9" s="1"/>
  <c r="N8" i="9"/>
  <c r="O8" i="9" s="1"/>
  <c r="M8" i="9" s="1"/>
  <c r="V8" i="9" s="1"/>
  <c r="N7" i="9"/>
  <c r="O7" i="9" s="1"/>
  <c r="M7" i="9" s="1"/>
  <c r="V7" i="9" s="1"/>
  <c r="U56" i="9"/>
  <c r="C13" i="10"/>
  <c r="C12" i="10"/>
  <c r="S56" i="9"/>
  <c r="L6" i="9"/>
  <c r="F56" i="9"/>
  <c r="C9" i="10"/>
  <c r="Z55" i="9"/>
  <c r="M55" i="9"/>
  <c r="V55" i="9" s="1"/>
  <c r="Z54" i="9"/>
  <c r="M53" i="9"/>
  <c r="V53" i="9" s="1"/>
  <c r="M51" i="9"/>
  <c r="V51" i="9" s="1"/>
  <c r="M50" i="9"/>
  <c r="M44" i="9"/>
  <c r="Z42" i="9"/>
  <c r="Z39" i="9"/>
  <c r="M38" i="9"/>
  <c r="M20" i="9"/>
  <c r="V20" i="9" s="1"/>
  <c r="M14" i="9"/>
  <c r="V14" i="9" s="1"/>
  <c r="M12" i="9"/>
  <c r="V12" i="9" s="1"/>
  <c r="L42" i="9"/>
  <c r="Z33" i="9"/>
  <c r="M32" i="9"/>
  <c r="V32" i="9" s="1"/>
  <c r="Z32" i="9"/>
  <c r="M31" i="9"/>
  <c r="V31" i="9" s="1"/>
  <c r="Z30" i="9"/>
  <c r="M30" i="9"/>
  <c r="V30" i="9" s="1"/>
  <c r="M29" i="9"/>
  <c r="V29" i="9" s="1"/>
  <c r="Z28" i="9"/>
  <c r="M28" i="9"/>
  <c r="Z27" i="9"/>
  <c r="M27" i="9"/>
  <c r="V27" i="9" s="1"/>
  <c r="M26" i="9"/>
  <c r="Z25" i="9"/>
  <c r="M21" i="9"/>
  <c r="M13" i="9"/>
  <c r="V13" i="9" s="1"/>
  <c r="L36" i="9"/>
  <c r="Z11" i="9"/>
  <c r="M11" i="9"/>
  <c r="V11" i="9" s="1"/>
  <c r="Z10" i="9"/>
  <c r="Z9" i="9"/>
  <c r="Z7" i="9"/>
  <c r="L28" i="9"/>
  <c r="L15" i="9"/>
  <c r="M49" i="9"/>
  <c r="Z46" i="9"/>
  <c r="M37" i="9"/>
  <c r="V37" i="9" s="1"/>
  <c r="M35" i="9"/>
  <c r="V35" i="9" s="1"/>
  <c r="M33" i="9"/>
  <c r="V33" i="9" s="1"/>
  <c r="L54" i="9"/>
  <c r="Z43" i="9"/>
  <c r="M39" i="9"/>
  <c r="V39" i="9" s="1"/>
  <c r="M17" i="9"/>
  <c r="V17" i="9" s="1"/>
  <c r="L49" i="9"/>
  <c r="L26" i="9"/>
  <c r="M40" i="9"/>
  <c r="V40" i="9" s="1"/>
  <c r="Z24" i="9"/>
  <c r="M22" i="9"/>
  <c r="V22" i="9" s="1"/>
  <c r="L24" i="9"/>
  <c r="L9" i="9"/>
  <c r="M54" i="9"/>
  <c r="Z52" i="9"/>
  <c r="M48" i="9"/>
  <c r="V48" i="9" s="1"/>
  <c r="M47" i="9"/>
  <c r="V47" i="9" s="1"/>
  <c r="M25" i="9"/>
  <c r="V25" i="9" s="1"/>
  <c r="M19" i="9"/>
  <c r="V19" i="9" s="1"/>
  <c r="M18" i="9"/>
  <c r="M16" i="9"/>
  <c r="V16" i="9" s="1"/>
  <c r="Z14" i="9"/>
  <c r="L50" i="9"/>
  <c r="L45" i="9"/>
  <c r="L18" i="9"/>
  <c r="M52" i="9"/>
  <c r="V52" i="9" s="1"/>
  <c r="Z50" i="9"/>
  <c r="Z48" i="9"/>
  <c r="M46" i="9"/>
  <c r="V46" i="9" s="1"/>
  <c r="M42" i="9"/>
  <c r="M36" i="9"/>
  <c r="M34" i="9"/>
  <c r="V34" i="9" s="1"/>
  <c r="M24" i="9"/>
  <c r="M15" i="9"/>
  <c r="L44" i="9"/>
  <c r="M41" i="9"/>
  <c r="V41" i="9" s="1"/>
  <c r="L38" i="9"/>
  <c r="L21" i="9"/>
  <c r="M43" i="9"/>
  <c r="V43" i="9" s="1"/>
  <c r="Z38" i="9"/>
  <c r="Z34" i="9"/>
  <c r="M23" i="9"/>
  <c r="V23" i="9" s="1"/>
  <c r="Z17" i="9"/>
  <c r="Q57" i="8" l="1"/>
  <c r="J6" i="9"/>
  <c r="N6" i="9"/>
  <c r="L56" i="9"/>
  <c r="D18" i="10"/>
  <c r="V42" i="9"/>
  <c r="N42" i="9"/>
  <c r="V36" i="9"/>
  <c r="N36" i="9"/>
  <c r="V28" i="9"/>
  <c r="N28" i="9"/>
  <c r="V15" i="9"/>
  <c r="N15" i="9"/>
  <c r="V54" i="9"/>
  <c r="N54" i="9"/>
  <c r="V49" i="9"/>
  <c r="N49" i="9"/>
  <c r="V26" i="9"/>
  <c r="N26" i="9"/>
  <c r="V24" i="9"/>
  <c r="N24" i="9"/>
  <c r="N9" i="9"/>
  <c r="O9" i="9" s="1"/>
  <c r="M9" i="9" s="1"/>
  <c r="V9" i="9" s="1"/>
  <c r="V50" i="9"/>
  <c r="N50" i="9"/>
  <c r="V45" i="9"/>
  <c r="N45" i="9"/>
  <c r="V18" i="9"/>
  <c r="N18" i="9"/>
  <c r="V44" i="9"/>
  <c r="N44" i="9"/>
  <c r="N38" i="9"/>
  <c r="V38" i="9"/>
  <c r="N21" i="9"/>
  <c r="V21" i="9"/>
  <c r="Y56" i="9"/>
  <c r="Z6" i="9"/>
  <c r="Z56" i="9" s="1"/>
  <c r="G15" i="10" l="1"/>
  <c r="J56" i="9"/>
  <c r="O6" i="9"/>
  <c r="M6" i="9" s="1"/>
  <c r="N56" i="9"/>
  <c r="V6" i="9" l="1"/>
  <c r="M56" i="9"/>
  <c r="G18" i="10"/>
  <c r="G17" i="10"/>
  <c r="O56" i="9"/>
  <c r="D19" i="10" l="1"/>
  <c r="V5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Teekei</author>
  </authors>
  <commentList>
    <comment ref="K3" authorId="0" shapeId="0" xr:uid="{6D330500-9455-4E3D-BA21-9BB199CFA394}">
      <text>
        <r>
          <rPr>
            <b/>
            <sz val="9"/>
            <color indexed="81"/>
            <rFont val="Tahoma"/>
            <family val="2"/>
          </rPr>
          <t>The behavior per selection for Semi-Monthly employees is:
1st Half → deducts only on 1st half payroll (full monthly share), zero on 2nd half
2nd Half → deducts only on 2nd half payroll (full monthly share), zero on 1st half
Every Period → deducts half the semi-monthly amount on both the 1st and 2nd half</t>
        </r>
      </text>
    </comment>
    <comment ref="E6" authorId="0" shapeId="0" xr:uid="{9C0A410B-112D-48E8-B6C6-510EC45C3B25}">
      <text>
        <r>
          <rPr>
            <b/>
            <sz val="9"/>
            <color indexed="81"/>
            <rFont val="Tahoma"/>
            <family val="2"/>
          </rPr>
          <t>ATS:
The default value/formula in E column (Days Worked) is just a starting suggestion based on Pay frequency but it's designed as an input cell (blue), meaning you're expected to overwrite it manually each payroll period with the actual days the employee worked. Refer to the Attendace Register for the actual days worked. All other formulas e.g. Other deductions are automated.</t>
        </r>
      </text>
    </comment>
  </commentList>
</comments>
</file>

<file path=xl/sharedStrings.xml><?xml version="1.0" encoding="utf-8"?>
<sst xmlns="http://schemas.openxmlformats.org/spreadsheetml/2006/main" count="577" uniqueCount="414">
  <si>
    <t>🇵🇭  PHILIPPINE PAYROLL SYSTEM</t>
  </si>
  <si>
    <t>Supports up to 50 employees – User Guide</t>
  </si>
  <si>
    <t>SHEET INDEX</t>
  </si>
  <si>
    <t>1. Instructions</t>
  </si>
  <si>
    <t>This guide – read first</t>
  </si>
  <si>
    <t>2. Tax_Tables</t>
  </si>
  <si>
    <t>BIR TRAIN Law semi-monthly brackets</t>
  </si>
  <si>
    <t>3. SSS_Table</t>
  </si>
  <si>
    <t>SSS contribution schedule (based on the latest 2025 onwards contribution table)</t>
  </si>
  <si>
    <t>4. PhilHealth_Table</t>
  </si>
  <si>
    <t>PhilHealth premium schedule (2026 - latest)</t>
  </si>
  <si>
    <t>5. PagIBIG_Table</t>
  </si>
  <si>
    <t>Pag-IBIG / HDMF contribution schedule (2026 based on employed members)</t>
  </si>
  <si>
    <t>6. Employee_Master</t>
  </si>
  <si>
    <t>Employee database – up to 50 employees, Daily rate is based on a 5 working days per week, Hourly rate is based on 8 hours per 1 working day.</t>
  </si>
  <si>
    <t>7. Payroll_Register</t>
  </si>
  <si>
    <t>Semi-monthly payroll for all active employees</t>
  </si>
  <si>
    <t>8. Payslip</t>
  </si>
  <si>
    <t>Individual payslip – select employee from dropdown</t>
  </si>
  <si>
    <t>HOW TO ADD EMPLOYEES</t>
  </si>
  <si>
    <t>Step 1</t>
  </si>
  <si>
    <t>Go to Employee_Master. Find the next empty row after the samples.</t>
  </si>
  <si>
    <t>*In case you have more than 50 employees you can just continue filling the next empty rows on the Employee_Master sheet and everything will be automatically updated.</t>
  </si>
  <si>
    <t>Step 2</t>
  </si>
  <si>
    <t>Fill in ALL blue cells: Emp No, Name, Position, Dept, Status, Date Hired, Monthly Salary.</t>
  </si>
  <si>
    <t>Step 3</t>
  </si>
  <si>
    <t>Daily Rate and Hourly Rate compute automatically.</t>
  </si>
  <si>
    <t>Step 4</t>
  </si>
  <si>
    <t>Go to Payroll_Register. The new employee row is already there (pre-built for 50 rows).</t>
  </si>
  <si>
    <t>Step 5</t>
  </si>
  <si>
    <t>All deductions and tax compute automatically once salary is in Employee_Master.</t>
  </si>
  <si>
    <t>Step 6</t>
  </si>
  <si>
    <t>For Payslip, choose the employee from the dropdown (row numbers 6–55).</t>
  </si>
  <si>
    <t>COLOR LEGEND</t>
  </si>
  <si>
    <t>🔵 Blue text</t>
  </si>
  <si>
    <t>Hard-coded inputs – cells you fill in</t>
  </si>
  <si>
    <t>⚫ Black text</t>
  </si>
  <si>
    <t>Formula cells – do not edit</t>
  </si>
  <si>
    <t>🟢 Green text</t>
  </si>
  <si>
    <t>Cross-sheet references</t>
  </si>
  <si>
    <t>LEGAL NOTES</t>
  </si>
  <si>
    <t>SSS</t>
  </si>
  <si>
    <t>R.A. 11199 – Social Security Act of 2018 - Circular 2024-006</t>
  </si>
  <si>
    <t>PhilHealth</t>
  </si>
  <si>
    <t>R.A. 11223 – 5% rate (2.5% EE share) effective 2026</t>
  </si>
  <si>
    <t>Pag-IBIG</t>
  </si>
  <si>
    <t>R.A. 9679 – max employee contribution ₱200/month - effective 2026</t>
  </si>
  <si>
    <t>Withholding Tax</t>
  </si>
  <si>
    <t>TRAIN Law R.A. 10963 – semi-monthly brackets</t>
  </si>
  <si>
    <t>13th Month</t>
  </si>
  <si>
    <t>P.D. 851 – mandatory for rank-and-file</t>
  </si>
  <si>
    <t>DISCLAIMER</t>
  </si>
  <si>
    <t>Always verify current rates with BIR, SSS, PhilHealth, Pag-IBIG.</t>
  </si>
  <si>
    <t>BIR WITHHOLDING TAX TABLE – Semi-Monthly (TRAIN Law)</t>
  </si>
  <si>
    <t>Effective Jan 1 2023 | R.A. 10963</t>
  </si>
  <si>
    <t>From (₱)</t>
  </si>
  <si>
    <t>To (₱)</t>
  </si>
  <si>
    <t>Base Tax (₱)</t>
  </si>
  <si>
    <t>Rate on Excess</t>
  </si>
  <si>
    <t>Excess Over (₱)</t>
  </si>
  <si>
    <t>Notes</t>
  </si>
  <si>
    <t>1</t>
  </si>
  <si>
    <t>Tax exempt</t>
  </si>
  <si>
    <t>2</t>
  </si>
  <si>
    <t>15% of excess</t>
  </si>
  <si>
    <t>3</t>
  </si>
  <si>
    <t>₱937.50 + 20% of excess</t>
  </si>
  <si>
    <t>4</t>
  </si>
  <si>
    <t>₱4270.70 + 25% of excess</t>
  </si>
  <si>
    <t>5</t>
  </si>
  <si>
    <t>₱16770.70 + 30% of excess</t>
  </si>
  <si>
    <t>6</t>
  </si>
  <si>
    <t>Above</t>
  </si>
  <si>
    <t>₱91770.70 + 35% of excess</t>
  </si>
  <si>
    <t>SSS CONTRIBUTION TABLE (2023)</t>
  </si>
  <si>
    <t>SSS Circular 2023-002</t>
  </si>
  <si>
    <t>Range From (₱)</t>
  </si>
  <si>
    <t>Range To (₱)</t>
  </si>
  <si>
    <t>EE Share (₱)</t>
  </si>
  <si>
    <t>ER Share (₱)</t>
  </si>
  <si>
    <t>Total (₱)</t>
  </si>
  <si>
    <t>MSC (₱)</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</si>
  <si>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</si>
  <si>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</si>
  <si>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</si>
  <si>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</si>
  <si>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</si>
  <si>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</si>
  <si>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</si>
  <si>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</si>
  <si>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</si>
  <si>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</si>
  <si>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</si>
  <si>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</si>
  <si>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</si>
  <si>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</si>
  <si>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</si>
  <si>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</si>
  <si>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</si>
  <si>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</si>
  <si>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</si>
  <si>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</si>
  <si>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</si>
  <si>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</si>
  <si>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</si>
  <si>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</si>
  <si>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</si>
  <si>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</si>
  <si>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</si>
  <si>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</si>
  <si>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</si>
  <si>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</si>
  <si>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</si>
  <si>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</si>
  <si>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</si>
  <si>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</si>
  <si>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</si>
  <si>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</si>
  <si>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</si>
  <si>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</si>
  <si>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</si>
  <si>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</si>
  <si>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</si>
  <si>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</si>
  <si>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</si>
  <si>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</si>
  <si>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</si>
  <si>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</si>
  <si>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</si>
  <si>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</si>
  <si>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</si>
  <si>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</si>
  <si>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</si>
  <si>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</si>
  <si>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</si>
  <si>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</si>
  <si>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</si>
  <si>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PHILHEALTH PREMIUM TABLE (2024)</t>
  </si>
  <si>
    <t>PhilHealth Circular 2023-0009 | Rate: 5% (EE: 2.5%, ER: 2.5%)</t>
  </si>
  <si>
    <t>EE Share</t>
  </si>
  <si>
    <t>ER Share</t>
  </si>
  <si>
    <t>MIN ₱250.00</t>
  </si>
  <si>
    <t>Minimum monthly: ₱500 total</t>
  </si>
  <si>
    <t>Basic × 2.5%</t>
  </si>
  <si>
    <t>Rate applied on monthly basic salary</t>
  </si>
  <si>
    <t>MAX ₱2,500</t>
  </si>
  <si>
    <t>Maximum monthly: ₱5,000 total (cap ₱100K)</t>
  </si>
  <si>
    <t>Formula: =MIN(MAX(BasicSalary×0.025,137.50),1375) per month. Divide by 2 for semi-monthly.</t>
  </si>
  <si>
    <t>PAG-IBIG / HDMF CONTRIBUTION TABLE</t>
  </si>
  <si>
    <t>HDMF Circular 2021-009 | Max employee contribution: ₱200/month</t>
  </si>
  <si>
    <t>EE Rate</t>
  </si>
  <si>
    <t>ER Rate</t>
  </si>
  <si>
    <t>1%</t>
  </si>
  <si>
    <t>2%</t>
  </si>
  <si>
    <t>1% of monthly comp</t>
  </si>
  <si>
    <t>2%; EE max ₱200/month</t>
  </si>
  <si>
    <t>Formula: =MIN(MonthlySalary×0.02,200)/2 for semi-monthly employee share.</t>
  </si>
  <si>
    <t>🇵🇭  PHILIPPINE HOLIDAY SCHEDULE &amp; PAY RULES</t>
  </si>
  <si>
    <t>Per Labor Code &amp; DOLE | Regular Holiday=200% | Special Non-Working=+30% premium</t>
  </si>
  <si>
    <t>HOLIDAY PAY COMPUTATION RULES  (Labor Code of the Philippines)</t>
  </si>
  <si>
    <t>Regular Holiday – Employee WORKS</t>
  </si>
  <si>
    <t>Daily Rate × 200%</t>
  </si>
  <si>
    <t>Full day + 100% premium</t>
  </si>
  <si>
    <t>Regular Holiday – Employee does NOT work</t>
  </si>
  <si>
    <t>Daily Rate × 100%</t>
  </si>
  <si>
    <t>Entitled even if absent</t>
  </si>
  <si>
    <t>Special Non-Working – Employee WORKS</t>
  </si>
  <si>
    <t>Daily Rate × 130%</t>
  </si>
  <si>
    <t>Basic + 30% premium</t>
  </si>
  <si>
    <t>Special Non-Working – Does NOT work</t>
  </si>
  <si>
    <t>No pay</t>
  </si>
  <si>
    <t>No work, no pay rule</t>
  </si>
  <si>
    <t>Regular Holiday on rest day + works</t>
  </si>
  <si>
    <t>Daily Rate × 260%</t>
  </si>
  <si>
    <t>200% + 30% rest day premium</t>
  </si>
  <si>
    <t>Special Holiday on rest day + works</t>
  </si>
  <si>
    <t>Daily Rate × 150%</t>
  </si>
  <si>
    <t>130% + 50% rest day premium</t>
  </si>
  <si>
    <t>2025 OFFICIAL HOLIDAY LIST  (Update dates annually)</t>
  </si>
  <si>
    <t>Holiday Name</t>
  </si>
  <si>
    <t>Date (YYYY-MM-DD)</t>
  </si>
  <si>
    <t>Type</t>
  </si>
  <si>
    <t>Pay Multiplier</t>
  </si>
  <si>
    <t>New Year's Day</t>
  </si>
  <si>
    <t>2025-01-01</t>
  </si>
  <si>
    <t>Regular Holiday</t>
  </si>
  <si>
    <t>EDSA People Power Revolution</t>
  </si>
  <si>
    <t>2025-02-25</t>
  </si>
  <si>
    <t>Special Non-Working</t>
  </si>
  <si>
    <t>Araw ng Kagitingan</t>
  </si>
  <si>
    <t>2025-04-09</t>
  </si>
  <si>
    <t>Maundy Thursday</t>
  </si>
  <si>
    <t>2025-04-17</t>
  </si>
  <si>
    <t>Good Friday</t>
  </si>
  <si>
    <t>2025-04-18</t>
  </si>
  <si>
    <t>Black Saturday</t>
  </si>
  <si>
    <t>2025-04-19</t>
  </si>
  <si>
    <t>Eid'l Fitr (tentative)</t>
  </si>
  <si>
    <t>2025-03-31</t>
  </si>
  <si>
    <t>Labor Day</t>
  </si>
  <si>
    <t>2025-05-01</t>
  </si>
  <si>
    <t>Eid'l Adha (tentative)</t>
  </si>
  <si>
    <t>2025-06-07</t>
  </si>
  <si>
    <t>Independence Day</t>
  </si>
  <si>
    <t>2025-06-12</t>
  </si>
  <si>
    <t>National Heroes Day</t>
  </si>
  <si>
    <t>2025-08-25</t>
  </si>
  <si>
    <t>Ninoy Aquino Day</t>
  </si>
  <si>
    <t>2025-08-21</t>
  </si>
  <si>
    <t>All Saints' Day</t>
  </si>
  <si>
    <t>2025-11-01</t>
  </si>
  <si>
    <t>All Souls' Day</t>
  </si>
  <si>
    <t>2025-11-02</t>
  </si>
  <si>
    <t>Bonifacio Day</t>
  </si>
  <si>
    <t>2025-11-30</t>
  </si>
  <si>
    <t>Immaculate Conception</t>
  </si>
  <si>
    <t>2025-12-08</t>
  </si>
  <si>
    <t>Christmas Eve</t>
  </si>
  <si>
    <t>2025-12-24</t>
  </si>
  <si>
    <t>Christmas Day</t>
  </si>
  <si>
    <t>2025-12-25</t>
  </si>
  <si>
    <t>Rizal Day</t>
  </si>
  <si>
    <t>2025-12-30</t>
  </si>
  <si>
    <t>Last Day of Year</t>
  </si>
  <si>
    <t>2025-12-31</t>
  </si>
  <si>
    <t>🟡 Regular Holiday (200%)   🔵 Special Non-Working (130%)   Enter days worked in Payroll_Register cols R &amp; T.</t>
  </si>
  <si>
    <t>EMPLOYEE MASTER LIST</t>
  </si>
  <si>
    <t>Supports up to 50 employees – fill blue cells only</t>
  </si>
  <si>
    <t>Emp No.</t>
  </si>
  <si>
    <t>Full Name</t>
  </si>
  <si>
    <t>Position</t>
  </si>
  <si>
    <t>Department</t>
  </si>
  <si>
    <t>Employment Status</t>
  </si>
  <si>
    <t>Date Hired</t>
  </si>
  <si>
    <t>Monthly Basic Salary (₱)</t>
  </si>
  <si>
    <t>Daily Rate (₱)</t>
  </si>
  <si>
    <t>Hourly Rate (₱)</t>
  </si>
  <si>
    <t>SSS No.</t>
  </si>
  <si>
    <t>PhilHealth No.</t>
  </si>
  <si>
    <t>TIN</t>
  </si>
  <si>
    <t>Pag-IBIG MID</t>
  </si>
  <si>
    <t>Tax Status</t>
  </si>
  <si>
    <t>Pay Frequency</t>
  </si>
  <si>
    <t>EMP-001</t>
  </si>
  <si>
    <t>Juan dela Cruz</t>
  </si>
  <si>
    <t>Accountant</t>
  </si>
  <si>
    <t>Finance</t>
  </si>
  <si>
    <t>Regular</t>
  </si>
  <si>
    <t>2020-01-15</t>
  </si>
  <si>
    <t>ME</t>
  </si>
  <si>
    <t>EMP-002</t>
  </si>
  <si>
    <t>Maria Santos</t>
  </si>
  <si>
    <t>HR Officer</t>
  </si>
  <si>
    <t>HR</t>
  </si>
  <si>
    <t>2021-03-01</t>
  </si>
  <si>
    <t>EMP-003</t>
  </si>
  <si>
    <t>Pedro Reyes</t>
  </si>
  <si>
    <t>IT Specialist</t>
  </si>
  <si>
    <t>IT</t>
  </si>
  <si>
    <t>2022-06-01</t>
  </si>
  <si>
    <t>EMP-004</t>
  </si>
  <si>
    <t>Ana Gonzales</t>
  </si>
  <si>
    <t>Sales Associate</t>
  </si>
  <si>
    <t>Sales</t>
  </si>
  <si>
    <t>Probationary</t>
  </si>
  <si>
    <t>2024-01-01</t>
  </si>
  <si>
    <t>EMP-005</t>
  </si>
  <si>
    <t>Jose Bautista</t>
  </si>
  <si>
    <t>Driver</t>
  </si>
  <si>
    <t>Operations</t>
  </si>
  <si>
    <t>2019-07-01</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</si>
  <si>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</si>
  <si>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</si>
  <si>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</si>
  <si>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</si>
  <si>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</si>
  <si>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</si>
  <si>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</si>
  <si>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</si>
  <si>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</si>
  <si>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</si>
  <si>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</si>
  <si>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</si>
  <si>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</si>
  <si>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</si>
  <si>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</si>
  <si>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</si>
  <si>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</si>
  <si>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</si>
  <si>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</si>
  <si>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</si>
  <si>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</si>
  <si>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</si>
  <si>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</si>
  <si>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</si>
  <si>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</si>
  <si>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</si>
  <si>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</si>
  <si>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</si>
  <si>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</si>
  <si>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</si>
  <si>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</si>
  <si>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</si>
  <si>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</si>
  <si>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</si>
  <si>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</si>
  <si>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</si>
  <si>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</si>
  <si>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</si>
  <si>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</si>
  <si>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</si>
  <si>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</si>
  <si>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</si>
  <si>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</si>
  <si>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</si>
  <si>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</si>
  <si>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  ATTENDANCE REGISTER — Philippine Payroll System</t>
  </si>
  <si>
    <t>Blue cells = input. Attendance totals auto-scale to the employee's Pay Frequency set in Employee_Master. Deductions flow automatically to Payroll_Register col J (Absences/Late).</t>
  </si>
  <si>
    <t>Period:</t>
  </si>
  <si>
    <t>Month:</t>
  </si>
  <si>
    <t>Year:</t>
  </si>
  <si>
    <t>Std Working Days/Period:</t>
  </si>
  <si>
    <t>See col D per employee →</t>
  </si>
  <si>
    <t>Standard days: Weekly=5 | Semi-Monthly=11 | Monthly=22  |  Deductions use Daily Rate from Employee_Master col I.</t>
  </si>
  <si>
    <t>EMPLOYEE INFO</t>
  </si>
  <si>
    <t>ABSENCES (Days)</t>
  </si>
  <si>
    <t>LEAVES (Days)</t>
  </si>
  <si>
    <t>LATE / UNDERTIME</t>
  </si>
  <si>
    <t>PERIOD SUMMARY</t>
  </si>
  <si>
    <t>DEDUCTIONS (₱)</t>
  </si>
  <si>
    <t>NET DEDUCTION → PR</t>
  </si>
  <si>
    <t>#</t>
  </si>
  <si>
    <t>Employee Name</t>
  </si>
  <si>
    <t>Pay Freq / Std Days</t>
  </si>
  <si>
    <t>Unexcused
Absent (Days)</t>
  </si>
  <si>
    <t>AWOL
(Days)</t>
  </si>
  <si>
    <t>Absent w/o
Pay (Days)</t>
  </si>
  <si>
    <t>Sick Leave
w/ Pay (Days)</t>
  </si>
  <si>
    <t>Vacation
Leave (Days)</t>
  </si>
  <si>
    <t>Other
Leave (Days)</t>
  </si>
  <si>
    <t>Late
(Hours)</t>
  </si>
  <si>
    <t>Undertime
(Hours)</t>
  </si>
  <si>
    <t>Total Absent
Days</t>
  </si>
  <si>
    <t>Total Late/UT
(Hours)</t>
  </si>
  <si>
    <t>Absence
Deduction (₱)</t>
  </si>
  <si>
    <t>Late/UT
Deduction (₱)</t>
  </si>
  <si>
    <t>Total Deduction
→ PR (₱)</t>
  </si>
  <si>
    <t>PERIOD TOTALS</t>
  </si>
  <si>
    <t>📘 NOTES:  Absent w/ Pay (sick/vacation leaves) do NOT trigger a deduction — only unexcused, AWOL &amp; absent w/o pay days are deducted.  |  Late/Undertime uses Hourly Rate from Employee_Master.  |  Col Q (Total Deduction) flows automatically into Payroll_Register col J (Absences/Late ₱).</t>
  </si>
  <si>
    <t>PAYROLL REGISTER</t>
  </si>
  <si>
    <t>Company Name:</t>
  </si>
  <si>
    <t>[Enter Company Name]</t>
  </si>
  <si>
    <t>Payroll Period:</t>
  </si>
  <si>
    <t>1st Half</t>
  </si>
  <si>
    <t>January</t>
  </si>
  <si>
    <t>Working Days:</t>
  </si>
  <si>
    <t>Deduct Mandatory:</t>
  </si>
  <si>
    <t>← Semi-monthly only. 'Every Period' applies to weekly &amp; monthly.</t>
  </si>
  <si>
    <t>EARNINGS</t>
  </si>
  <si>
    <t>MANDATORY DEDUCTIONS (EE Share)</t>
  </si>
  <si>
    <t>OTHER DEDUCTIONS</t>
  </si>
  <si>
    <t>GROSS / TAX / NET</t>
  </si>
  <si>
    <t>OTHER</t>
  </si>
  <si>
    <t>HOLIDAY PAY</t>
  </si>
  <si>
    <t>EMPLOYER CONTRIBUTIONS</t>
  </si>
  <si>
    <t>Basic Salary
(Monthly ₱)</t>
  </si>
  <si>
    <t>Days
Worked</t>
  </si>
  <si>
    <t>Basic Pay
(₱)</t>
  </si>
  <si>
    <t>SSS
(₱)</t>
  </si>
  <si>
    <t>PhilHealth
(₱)</t>
  </si>
  <si>
    <t>Pag-IBIG
(₱)</t>
  </si>
  <si>
    <t>Absences/
Late (₱)</t>
  </si>
  <si>
    <t>Loans &amp;
Other (₱)</t>
  </si>
  <si>
    <t>Gross Pay
(₱)</t>
  </si>
  <si>
    <t>Total Ded.
(₱)</t>
  </si>
  <si>
    <t>Taxable
Comp. (₱)</t>
  </si>
  <si>
    <t>W/Tax
(₱)</t>
  </si>
  <si>
    <t>13th Mo.
Prov. (₱)</t>
  </si>
  <si>
    <t>OT/
Night Diff (₱)</t>
  </si>
  <si>
    <t>Reg. Hol.
Days Worked</t>
  </si>
  <si>
    <t>Reg. Hol.
Pay (₱)</t>
  </si>
  <si>
    <t>Spec. Hol.
Days Worked</t>
  </si>
  <si>
    <t>Spec. Hol.
Pay (₱)</t>
  </si>
  <si>
    <t>Net Pay
(₱)</t>
  </si>
  <si>
    <t>SSS ER
(₱)</t>
  </si>
  <si>
    <t>PH ER
(₱)</t>
  </si>
  <si>
    <t>HDMF ER
(₱)</t>
  </si>
  <si>
    <t>Total ER
Cost (₱)</t>
  </si>
  <si>
    <t>TOTALS</t>
  </si>
  <si>
    <t>PAYSLIP GENERATOR</t>
  </si>
  <si>
    <t>Select employee row (rows 6–55 in Payroll_Register)</t>
  </si>
  <si>
    <t>Select Payroll Row:</t>
  </si>
  <si>
    <t>PAYSLIP</t>
  </si>
  <si>
    <t>Company:</t>
  </si>
  <si>
    <t>Employee Name:</t>
  </si>
  <si>
    <t>Emp No.:</t>
  </si>
  <si>
    <t>DEDUCTIONS</t>
  </si>
  <si>
    <t>Basic Pay</t>
  </si>
  <si>
    <t>SSS Contribution</t>
  </si>
  <si>
    <t>OT / Night Diff</t>
  </si>
  <si>
    <t>Reg. Holiday Pay</t>
  </si>
  <si>
    <t>Spec. Holiday Pay</t>
  </si>
  <si>
    <t>13th Month Provision</t>
  </si>
  <si>
    <t>Absences / Late</t>
  </si>
  <si>
    <t>Loans &amp; Other</t>
  </si>
  <si>
    <t>GROSS PAY</t>
  </si>
  <si>
    <t>TOTAL DEDUCTIONS</t>
  </si>
  <si>
    <t>NET PAY</t>
  </si>
  <si>
    <t>Prepared by:</t>
  </si>
  <si>
    <t>Received by:</t>
  </si>
  <si>
    <t>HR / Payroll Officer</t>
  </si>
  <si>
    <t>Employee Signature &amp; Date</t>
  </si>
  <si>
    <t>Semi-Monthly</t>
  </si>
  <si>
    <t>Every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</si>
</sst>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42" x14ac:knownFonts="1">
    <font>
      <sz val="11"/>
      <color theme="1"/>
      <name val="Calibri"/>
      <family val="2"/>
      <charset val="1"/>
    </font>
    <font>
      <b/>
      <sz val="16"/>
      <color rgb="FFFFFFFF"/>
      <name val="Arial"/>
      <family val="2"/>
    </font>
    <font>
      <b/>
      <sz val="11"/>
      <color rgb="FFFFFFFF"/>
      <name val="Arial"/>
      <family val="2"/>
    </font>
    <font>
      <b/>
      <sz val="10"/>
      <color rgb="FFFFFFFF"/>
      <name val="Arial"/>
      <family val="2"/>
    </font>
    <font>
      <b/>
      <sz val="10"/>
      <color rgb="FF000000"/>
      <name val="Arial"/>
      <family val="2"/>
    </font>
    <font>
      <sz val="10"/>
      <color rgb="FF000000"/>
      <name val="Arial"/>
      <family val="2"/>
    </font>
    <font>
      <sz val="10"/>
      <color theme="1"/>
      <name val="Calibri"/>
      <family val="2"/>
      <charset val="1"/>
    </font>
    <font>
      <b/>
      <sz val="13"/>
      <color rgb="FFFFFFFF"/>
      <name val="Arial"/>
      <family val="2"/>
    </font>
    <font>
      <i/>
      <sz val="9"/>
      <color rgb="FF555555"/>
      <name val="Arial"/>
      <family val="2"/>
    </font>
    <font>
      <b/>
      <sz val="13"/>
      <color rgb="FFFFFFFF"/>
      <name val="Calibri"/>
      <family val="2"/>
    </font>
    <font>
      <sz val="9"/>
      <color rgb="FFFFFFFF"/>
      <name val="Calibri"/>
      <family val="2"/>
    </font>
    <font>
      <b/>
      <sz val="10"/>
      <color rgb="FFFFFFFF"/>
      <name val="Calibri"/>
      <family val="2"/>
    </font>
    <font>
      <b/>
      <sz val="9"/>
      <color rgb="FF000000"/>
      <name val="Calibri"/>
      <family val="2"/>
    </font>
    <font>
      <sz val="9"/>
      <color rgb="FF000000"/>
      <name val="Calibri"/>
      <family val="2"/>
    </font>
    <font>
      <b/>
      <sz val="9"/>
      <color rgb="FFFFFFFF"/>
      <name val="Calibri"/>
      <family val="2"/>
    </font>
    <font>
      <i/>
      <sz val="8"/>
      <color rgb="FF595959"/>
      <name val="Calibri"/>
      <family val="2"/>
    </font>
    <font>
      <b/>
      <sz val="14"/>
      <color rgb="FFFFFFFF"/>
      <name val="Arial"/>
      <family val="2"/>
    </font>
    <font>
      <b/>
      <sz val="9"/>
      <color rgb="FF000000"/>
      <name val="Arial"/>
      <family val="2"/>
    </font>
    <font>
      <sz val="10"/>
      <color rgb="FF0000FF"/>
      <name val="Arial"/>
      <family val="2"/>
    </font>
    <font>
      <b/>
      <sz val="10"/>
      <color rgb="FF0000FF"/>
      <name val="Arial"/>
      <family val="2"/>
    </font>
    <font>
      <b/>
      <sz val="14"/>
      <color rgb="FFFFFFFF"/>
      <name val="Calibri"/>
      <family val="2"/>
    </font>
    <font>
      <i/>
      <sz val="9"/>
      <color rgb="FF1F6B75"/>
      <name val="Calibri"/>
      <family val="2"/>
    </font>
    <font>
      <b/>
      <sz val="10"/>
      <color rgb="FF1F6B75"/>
      <name val="Calibri"/>
      <family val="2"/>
    </font>
    <font>
      <i/>
      <sz val="9"/>
      <color rgb="FFBF8F00"/>
      <name val="Calibri"/>
      <family val="2"/>
    </font>
    <font>
      <b/>
      <sz val="10"/>
      <color rgb="FF000000"/>
      <name val="Calibri"/>
      <family val="2"/>
    </font>
    <font>
      <sz val="9"/>
      <color rgb="FF1F6B75"/>
      <name val="Calibri"/>
      <family val="2"/>
    </font>
    <font>
      <b/>
      <sz val="10"/>
      <color rgb="FF00008B"/>
      <name val="Calibri"/>
      <family val="2"/>
    </font>
    <font>
      <sz val="10"/>
      <color rgb="FF1F6B75"/>
      <name val="Calibri"/>
      <family val="2"/>
    </font>
    <font>
      <sz val="10"/>
      <color rgb="FF000000"/>
      <name val="Calibri"/>
      <family val="2"/>
    </font>
    <font>
      <i/>
      <sz val="8"/>
      <color rgb="FFBF8F00"/>
      <name val="Calibri"/>
      <family val="2"/>
    </font>
    <font>
      <b/>
      <sz val="11"/>
      <color rgb="FF0000FF"/>
      <name val="Arial"/>
      <family val="2"/>
    </font>
    <font>
      <b/>
      <sz val="10"/>
      <color rgb="FFBF8F00"/>
      <name val="Calibri"/>
      <family val="2"/>
    </font>
    <font>
      <b/>
      <sz val="8"/>
      <color rgb="FF000000"/>
      <name val="Arial"/>
      <family val="2"/>
    </font>
    <font>
      <sz val="10"/>
      <color rgb="FF008000"/>
      <name val="Arial"/>
      <family val="2"/>
    </font>
    <font>
      <b/>
      <sz val="10"/>
      <color rgb="FF008000"/>
      <name val="Arial"/>
      <family val="2"/>
    </font>
    <font>
      <b/>
      <sz val="10"/>
      <color rgb="FF0000FF"/>
      <name val="Calibri"/>
      <family val="2"/>
    </font>
    <font>
      <b/>
      <sz val="12"/>
      <color rgb="FF0000FF"/>
      <name val="Arial"/>
      <family val="2"/>
    </font>
    <font>
      <b/>
      <sz val="11"/>
      <color rgb="FF008000"/>
      <name val="Arial"/>
      <family val="2"/>
    </font>
    <font>
      <b/>
      <sz val="12"/>
      <color rgb="FFFFFFFF"/>
      <name val="Arial"/>
      <family val="2"/>
    </font>
    <font>
      <b/>
      <sz val="12"/>
      <color rgb="FF000000"/>
      <name val="Arial"/>
      <family val="2"/>
    </font>
    <font>
      <b/>
      <sz val="10"/>
      <color rgb="FF555555"/>
      <name val="Arial"/>
      <family val="2"/>
    </font>
    <font>
      <b/>
      <sz val="9"/>
      <color indexed="81"/>
      <name val="Tahoma"/>
      <family val="2"/>
    </font>
  </fonts>
  <fills count="27">
    <fill>
      <patternFill patternType="none"/>
    </fill>
    <fill>
      <patternFill patternType="gray125"/>
    </fill>
    <fill>
      <patternFill patternType="solid">
        <fgColor rgb="FF1F3864"/>
        <bgColor rgb="FF4A235A"/>
      </patternFill>
    </fill>
    <fill>
      <patternFill patternType="solid">
        <fgColor rgb="FF2E75B6"/>
        <bgColor rgb="FF1F6B75"/>
      </patternFill>
    </fill>
    <fill>
      <patternFill patternType="solid">
        <fgColor rgb="FFD6E4F0"/>
        <bgColor rgb="FFDEEAF1"/>
      </patternFill>
    </fill>
    <fill>
      <patternFill patternType="solid">
        <fgColor rgb="FFFFFFFF"/>
        <bgColor rgb="FFFDFEFE"/>
      </patternFill>
    </fill>
    <fill>
      <patternFill patternType="solid">
        <fgColor rgb="FFF0F4F8"/>
        <bgColor rgb="FFF2F2F2"/>
      </patternFill>
    </fill>
    <fill>
      <patternFill patternType="solid">
        <fgColor rgb="FFDEEAF1"/>
        <bgColor rgb="FFD9EEF1"/>
      </patternFill>
    </fill>
    <fill>
      <patternFill patternType="solid">
        <fgColor rgb="FFFFF2CC"/>
        <bgColor rgb="FFFDEBD0"/>
      </patternFill>
    </fill>
    <fill>
      <patternFill patternType="solid">
        <fgColor rgb="FFEBF5FB"/>
        <bgColor rgb="FFF0F4F8"/>
      </patternFill>
    </fill>
    <fill>
      <patternFill patternType="solid">
        <fgColor rgb="FFF5F8FC"/>
        <bgColor rgb="FFF8F9FA"/>
      </patternFill>
    </fill>
    <fill>
      <patternFill patternType="solid">
        <fgColor rgb="FF1F6B75"/>
        <bgColor rgb="FF008080"/>
      </patternFill>
    </fill>
    <fill>
      <patternFill patternType="solid">
        <fgColor rgb="FFD9EEF1"/>
        <bgColor rgb="FFDEEAF1"/>
      </patternFill>
    </fill>
    <fill>
      <patternFill patternType="solid">
        <fgColor rgb="FFC00000"/>
        <bgColor rgb="FF8B0000"/>
      </patternFill>
    </fill>
    <fill>
      <patternFill patternType="solid">
        <fgColor rgb="FFC55A11"/>
        <bgColor rgb="FFC0392B"/>
      </patternFill>
    </fill>
    <fill>
      <patternFill patternType="solid">
        <fgColor rgb="FF8B0000"/>
        <bgColor rgb="FF800000"/>
      </patternFill>
    </fill>
    <fill>
      <patternFill patternType="solid">
        <fgColor rgb="FFF2F2F2"/>
        <bgColor rgb="FFF0F4F8"/>
      </patternFill>
    </fill>
    <fill>
      <patternFill patternType="solid">
        <fgColor rgb="FFDBEFFF"/>
        <bgColor rgb="FFD9EEF1"/>
      </patternFill>
    </fill>
    <fill>
      <patternFill patternType="solid">
        <fgColor rgb="FFFCE4D6"/>
        <bgColor rgb="FFFDEBD0"/>
      </patternFill>
    </fill>
    <fill>
      <patternFill patternType="solid">
        <fgColor rgb="FF375623"/>
        <bgColor rgb="FF555555"/>
      </patternFill>
    </fill>
    <fill>
      <patternFill patternType="solid">
        <fgColor rgb="FF4A235A"/>
        <bgColor rgb="FF1F3864"/>
      </patternFill>
    </fill>
    <fill>
      <patternFill patternType="solid">
        <fgColor rgb="FFFDEBD0"/>
        <bgColor rgb="FFFFF2CC"/>
      </patternFill>
    </fill>
    <fill>
      <patternFill patternType="solid">
        <fgColor rgb="FFEBFBFF"/>
        <bgColor rgb="FFEBF5FB"/>
      </patternFill>
    </fill>
    <fill>
      <patternFill patternType="solid">
        <fgColor rgb="FFD5F5E3"/>
        <bgColor rgb="FFD9EEF1"/>
      </patternFill>
    </fill>
    <fill>
      <patternFill patternType="solid">
        <fgColor rgb="FFFDFEFE"/>
        <bgColor rgb="FFFFFFFF"/>
      </patternFill>
    </fill>
    <fill>
      <patternFill patternType="solid">
        <fgColor rgb="FFC0392B"/>
        <bgColor rgb="FFC55A11"/>
      </patternFill>
    </fill>
    <fill>
      <patternFill patternType="solid">
        <fgColor rgb="FFF8F9FA"/>
        <bgColor rgb="FFF5F8FC"/>
      </patternFill>
    </fill>
  </fills>
  <borders count="5">
    <border>
      <left/>
      <right/>
      <top/>
      <bottom/>
      <diagonal/>
    </border>
    <border>
      <left style="thin">
        <color rgb="FFAEB6BF"/>
      </left>
      <right style="thin">
        <color rgb="FFAEB6BF"/>
      </right>
      <top style="thin">
        <color rgb="FFAEB6BF"/>
      </top>
      <bottom style="thin">
        <color rgb="FFAEB6B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auto="1"/>
      </bottom>
      <diagonal/>
    </border>
  </borders>
  <cellStyleXfs count="1">
    <xf numFmtId="0" fontId="0" fillId="0" borderId="0"/>
  </cellStyleXfs>
  <cellXfs count="121">
    <xf numFmtId="0" fontId="0" fillId="0" borderId="0" xfId="0"/>
    <xf numFmtId="0" fontId="21" fillId="12" borderId="0" xfId="0" applyFont="1" applyFill="1" applyAlignment="1">
      <alignment horizontal="left" vertical="center"/>
    </xf>
    <xf numFmtId="0" fontId="20" fillId="11" borderId="0" xfId="0" applyFont="1" applyFill="1" applyAlignment="1">
      <alignment horizontal="center" vertical="center"/>
    </xf>
    <xf numFmtId="0" fontId="15" fillId="0" borderId="0" xfId="0" applyFont="1" applyAlignment="1">
      <alignment horizontal="left" vertical="center"/>
    </xf>
    <xf numFmtId="0" fontId="13" fillId="5" borderId="2" xfId="0" applyFont="1" applyFill="1" applyBorder="1" applyAlignment="1">
      <alignment horizontal="left" vertical="center"/>
    </xf>
    <xf numFmtId="0" fontId="13" fillId="7" borderId="2" xfId="0" applyFont="1" applyFill="1" applyBorder="1" applyAlignment="1">
      <alignment horizontal="left" vertical="center"/>
    </xf>
    <xf numFmtId="0" fontId="11" fillId="2" borderId="0" xfId="0" applyFont="1" applyFill="1" applyAlignment="1">
      <alignment horizontal="left" vertical="center"/>
    </xf>
    <xf numFmtId="0" fontId="10" fillId="3" borderId="0" xfId="0" applyFont="1" applyFill="1" applyAlignment="1">
      <alignment horizontal="center" vertical="center"/>
    </xf>
    <xf numFmtId="0" fontId="9" fillId="2" borderId="0" xfId="0" applyFont="1" applyFill="1" applyAlignment="1">
      <alignment horizontal="center" vertical="center"/>
    </xf>
    <xf numFmtId="0" fontId="8" fillId="0" borderId="0" xfId="0" applyFont="1"/>
    <xf numFmtId="0" fontId="7"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0" borderId="0" xfId="0" applyFont="1" applyAlignment="1">
      <alignment vertical="top"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4" fontId="0" fillId="5" borderId="1" xfId="0" applyNumberFormat="1" applyFill="1" applyBorder="1" applyAlignment="1">
      <alignment horizontal="right" vertical="center"/>
    </xf>
    <xf numFmtId="9" fontId="0" fillId="5" borderId="1" xfId="0" applyNumberFormat="1" applyFill="1" applyBorder="1" applyAlignment="1">
      <alignment horizontal="right" vertical="center"/>
    </xf>
    <xf numFmtId="0" fontId="4" fillId="6" borderId="1" xfId="0" applyFont="1" applyFill="1" applyBorder="1" applyAlignment="1">
      <alignment horizontal="center" vertical="center" wrapText="1"/>
    </xf>
    <xf numFmtId="4" fontId="0" fillId="6" borderId="1" xfId="0" applyNumberFormat="1" applyFill="1" applyBorder="1" applyAlignment="1">
      <alignment horizontal="right" vertical="center"/>
    </xf>
    <xf numFmtId="9" fontId="0" fillId="6" borderId="1" xfId="0" applyNumberFormat="1" applyFill="1" applyBorder="1" applyAlignment="1">
      <alignment horizontal="right" vertical="center"/>
    </xf>
    <xf numFmtId="0" fontId="5" fillId="6" borderId="1" xfId="0" applyFont="1" applyFill="1" applyBorder="1" applyAlignment="1">
      <alignment horizontal="left"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12" fillId="7" borderId="2" xfId="0" applyFont="1" applyFill="1" applyBorder="1" applyAlignment="1">
      <alignment horizontal="left" vertical="center"/>
    </xf>
    <xf numFmtId="0" fontId="12" fillId="5" borderId="2" xfId="0" applyFont="1" applyFill="1" applyBorder="1" applyAlignment="1">
      <alignment horizontal="left" vertical="center"/>
    </xf>
    <xf numFmtId="0" fontId="14" fillId="3" borderId="2" xfId="0" applyFont="1" applyFill="1" applyBorder="1" applyAlignment="1">
      <alignment horizontal="center" vertical="center" wrapText="1"/>
    </xf>
    <xf numFmtId="0" fontId="12" fillId="8" borderId="2" xfId="0" applyFont="1" applyFill="1" applyBorder="1" applyAlignment="1">
      <alignment horizontal="left" vertical="center"/>
    </xf>
    <xf numFmtId="0" fontId="13" fillId="8" borderId="2" xfId="0" applyFont="1" applyFill="1" applyBorder="1" applyAlignment="1">
      <alignment horizontal="center" vertical="center"/>
    </xf>
    <xf numFmtId="164" fontId="13" fillId="8" borderId="2" xfId="0" applyNumberFormat="1" applyFont="1" applyFill="1" applyBorder="1" applyAlignment="1">
      <alignment horizontal="center" vertical="center"/>
    </xf>
    <xf numFmtId="0" fontId="13" fillId="7" borderId="2" xfId="0" applyFont="1" applyFill="1" applyBorder="1" applyAlignment="1">
      <alignment horizontal="center" vertical="center"/>
    </xf>
    <xf numFmtId="164" fontId="13" fillId="7" borderId="2" xfId="0" applyNumberFormat="1" applyFont="1" applyFill="1" applyBorder="1" applyAlignment="1">
      <alignment horizontal="center" vertical="center"/>
    </xf>
    <xf numFmtId="0" fontId="15" fillId="0" borderId="0" xfId="0" applyFont="1" applyAlignment="1">
      <alignment horizontal="left" vertical="center"/>
    </xf>
    <xf numFmtId="0" fontId="17"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8" fillId="9" borderId="1" xfId="0" applyFont="1" applyFill="1" applyBorder="1" applyAlignment="1">
      <alignment horizontal="center" vertical="center"/>
    </xf>
    <xf numFmtId="0" fontId="19" fillId="9" borderId="1" xfId="0" applyFont="1" applyFill="1" applyBorder="1"/>
    <xf numFmtId="0" fontId="18" fillId="9" borderId="1" xfId="0" applyFont="1" applyFill="1" applyBorder="1"/>
    <xf numFmtId="165" fontId="18" fillId="9" borderId="1" xfId="0" applyNumberFormat="1" applyFont="1" applyFill="1" applyBorder="1" applyAlignment="1">
      <alignment horizontal="center" vertical="center"/>
    </xf>
    <xf numFmtId="4" fontId="18" fillId="9" borderId="1" xfId="0" applyNumberFormat="1" applyFont="1" applyFill="1" applyBorder="1" applyAlignment="1">
      <alignment horizontal="right" vertical="center"/>
    </xf>
    <xf numFmtId="4" fontId="5" fillId="5" borderId="1" xfId="0" applyNumberFormat="1" applyFont="1" applyFill="1" applyBorder="1" applyAlignment="1">
      <alignment horizontal="right" vertical="center"/>
    </xf>
    <xf numFmtId="0" fontId="5" fillId="10" borderId="1" xfId="0" applyFont="1" applyFill="1" applyBorder="1" applyAlignment="1">
      <alignment horizontal="center" vertical="center" wrapText="1"/>
    </xf>
    <xf numFmtId="4" fontId="5" fillId="10" borderId="1" xfId="0" applyNumberFormat="1" applyFont="1" applyFill="1" applyBorder="1" applyAlignment="1">
      <alignment horizontal="right" vertical="center"/>
    </xf>
    <xf numFmtId="0" fontId="11" fillId="11" borderId="2" xfId="0" applyFont="1" applyFill="1" applyBorder="1" applyAlignment="1">
      <alignment horizontal="right" vertical="center"/>
    </xf>
    <xf numFmtId="0" fontId="22" fillId="12" borderId="2" xfId="0" applyFont="1" applyFill="1" applyBorder="1" applyAlignment="1">
      <alignment horizontal="right" vertical="center"/>
    </xf>
    <xf numFmtId="0" fontId="14" fillId="15"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24" fillId="16" borderId="2" xfId="0" applyFont="1" applyFill="1" applyBorder="1" applyAlignment="1">
      <alignment horizontal="center" vertical="center"/>
    </xf>
    <xf numFmtId="0" fontId="24" fillId="16" borderId="2" xfId="0" applyFont="1" applyFill="1" applyBorder="1" applyAlignment="1">
      <alignment horizontal="left" vertical="center"/>
    </xf>
    <xf numFmtId="0" fontId="25" fillId="12" borderId="2" xfId="0" applyFont="1" applyFill="1" applyBorder="1" applyAlignment="1">
      <alignment horizontal="center" vertical="center"/>
    </xf>
    <xf numFmtId="0" fontId="26" fillId="17" borderId="2" xfId="0" applyFont="1" applyFill="1" applyBorder="1" applyAlignment="1">
      <alignment horizontal="center" vertical="center"/>
    </xf>
    <xf numFmtId="2" fontId="27" fillId="12" borderId="2" xfId="0" applyNumberFormat="1" applyFont="1" applyFill="1" applyBorder="1" applyAlignment="1">
      <alignment horizontal="center" vertical="center"/>
    </xf>
    <xf numFmtId="4" fontId="28" fillId="18" borderId="2" xfId="0" applyNumberFormat="1" applyFont="1" applyFill="1" applyBorder="1" applyAlignment="1">
      <alignment horizontal="center" vertical="center"/>
    </xf>
    <xf numFmtId="4" fontId="11" fillId="13" borderId="2" xfId="0" applyNumberFormat="1" applyFont="1" applyFill="1" applyBorder="1" applyAlignment="1">
      <alignment horizontal="center" vertical="center"/>
    </xf>
    <xf numFmtId="0" fontId="24" fillId="5" borderId="2" xfId="0" applyFont="1" applyFill="1" applyBorder="1" applyAlignment="1">
      <alignment horizontal="center" vertical="center"/>
    </xf>
    <xf numFmtId="0" fontId="24" fillId="5" borderId="2" xfId="0" applyFont="1" applyFill="1" applyBorder="1" applyAlignment="1">
      <alignment horizontal="left" vertical="center"/>
    </xf>
    <xf numFmtId="0" fontId="11" fillId="11" borderId="2" xfId="0" applyFont="1" applyFill="1" applyBorder="1" applyAlignment="1">
      <alignment horizontal="center" vertical="center"/>
    </xf>
    <xf numFmtId="2" fontId="11" fillId="11" borderId="2" xfId="0" applyNumberFormat="1" applyFont="1" applyFill="1" applyBorder="1" applyAlignment="1">
      <alignment horizontal="center" vertical="center"/>
    </xf>
    <xf numFmtId="4" fontId="11" fillId="11" borderId="2" xfId="0" applyNumberFormat="1" applyFont="1" applyFill="1" applyBorder="1" applyAlignment="1">
      <alignment horizontal="center" vertical="center"/>
    </xf>
    <xf numFmtId="0" fontId="14" fillId="3" borderId="2" xfId="0" applyFont="1" applyFill="1" applyBorder="1" applyAlignment="1">
      <alignment horizontal="right" vertical="center"/>
    </xf>
    <xf numFmtId="0" fontId="31" fillId="8" borderId="2" xfId="0" applyFont="1" applyFill="1" applyBorder="1" applyAlignment="1">
      <alignment horizontal="center" vertical="center"/>
    </xf>
    <xf numFmtId="4" fontId="0" fillId="0" borderId="0" xfId="0" applyNumberFormat="1"/>
    <xf numFmtId="0" fontId="3" fillId="19" borderId="2"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14" fillId="19" borderId="2"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33" fillId="5" borderId="1" xfId="0" applyFont="1" applyFill="1" applyBorder="1" applyAlignment="1">
      <alignment horizontal="center" vertical="center"/>
    </xf>
    <xf numFmtId="0" fontId="34" fillId="5" borderId="1" xfId="0" applyFont="1" applyFill="1" applyBorder="1" applyAlignment="1">
      <alignment horizontal="left" vertical="center"/>
    </xf>
    <xf numFmtId="4" fontId="33" fillId="5" borderId="1" xfId="0" applyNumberFormat="1" applyFont="1" applyFill="1" applyBorder="1" applyAlignment="1">
      <alignment horizontal="right" vertical="center"/>
    </xf>
    <xf numFmtId="4" fontId="5" fillId="21" borderId="1" xfId="0" applyNumberFormat="1" applyFont="1" applyFill="1" applyBorder="1" applyAlignment="1">
      <alignment horizontal="right" vertical="center"/>
    </xf>
    <xf numFmtId="0" fontId="35" fillId="22" borderId="2" xfId="0" applyFont="1" applyFill="1" applyBorder="1" applyAlignment="1">
      <alignment horizontal="center" vertical="center"/>
    </xf>
    <xf numFmtId="4" fontId="0" fillId="18" borderId="2" xfId="0" applyNumberFormat="1" applyFill="1" applyBorder="1" applyAlignment="1">
      <alignment horizontal="center" vertical="center"/>
    </xf>
    <xf numFmtId="4" fontId="4" fillId="23" borderId="1" xfId="0" applyNumberFormat="1" applyFont="1" applyFill="1" applyBorder="1" applyAlignment="1">
      <alignment horizontal="right" vertical="center"/>
    </xf>
    <xf numFmtId="4" fontId="5" fillId="24" borderId="1" xfId="0" applyNumberFormat="1" applyFont="1" applyFill="1" applyBorder="1" applyAlignment="1">
      <alignment horizontal="right" vertical="center"/>
    </xf>
    <xf numFmtId="0" fontId="33" fillId="10" borderId="1" xfId="0" applyFont="1" applyFill="1" applyBorder="1" applyAlignment="1">
      <alignment horizontal="center" vertical="center"/>
    </xf>
    <xf numFmtId="0" fontId="34" fillId="10" borderId="1" xfId="0" applyFont="1" applyFill="1" applyBorder="1" applyAlignment="1">
      <alignment horizontal="left" vertical="center"/>
    </xf>
    <xf numFmtId="4" fontId="33" fillId="10" borderId="1" xfId="0" applyNumberFormat="1" applyFont="1" applyFill="1" applyBorder="1" applyAlignment="1">
      <alignment horizontal="right" vertical="center"/>
    </xf>
    <xf numFmtId="4" fontId="3" fillId="2" borderId="1" xfId="0" applyNumberFormat="1" applyFont="1" applyFill="1" applyBorder="1" applyAlignment="1">
      <alignment horizontal="right" vertical="center"/>
    </xf>
    <xf numFmtId="0" fontId="36" fillId="9" borderId="1" xfId="0" applyFont="1" applyFill="1" applyBorder="1" applyAlignment="1">
      <alignment horizontal="center" vertical="center"/>
    </xf>
    <xf numFmtId="0" fontId="4" fillId="4" borderId="1" xfId="0" applyFont="1" applyFill="1" applyBorder="1" applyAlignment="1">
      <alignment horizontal="left" vertical="center"/>
    </xf>
    <xf numFmtId="0" fontId="33" fillId="5" borderId="1" xfId="0" applyFont="1" applyFill="1" applyBorder="1"/>
    <xf numFmtId="0" fontId="3" fillId="25"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0" fillId="5" borderId="1" xfId="0" applyFill="1" applyBorder="1"/>
    <xf numFmtId="0" fontId="5" fillId="26" borderId="1" xfId="0" applyFont="1" applyFill="1" applyBorder="1" applyAlignment="1">
      <alignment horizontal="left" vertical="center"/>
    </xf>
    <xf numFmtId="4" fontId="5" fillId="26" borderId="1" xfId="0" applyNumberFormat="1" applyFont="1" applyFill="1" applyBorder="1" applyAlignment="1">
      <alignment horizontal="right" vertical="center"/>
    </xf>
    <xf numFmtId="0" fontId="0" fillId="26" borderId="1" xfId="0" applyFill="1" applyBorder="1"/>
    <xf numFmtId="4" fontId="4" fillId="21" borderId="1" xfId="0" applyNumberFormat="1" applyFont="1" applyFill="1" applyBorder="1" applyAlignment="1">
      <alignment horizontal="right" vertical="center"/>
    </xf>
    <xf numFmtId="0" fontId="0" fillId="21" borderId="1" xfId="0" applyFill="1" applyBorder="1"/>
    <xf numFmtId="0" fontId="0" fillId="0" borderId="4" xfId="0" applyBorder="1"/>
    <xf numFmtId="0" fontId="14" fillId="11" borderId="3" xfId="0" applyFont="1" applyFill="1" applyBorder="1" applyAlignment="1">
      <alignment horizontal="left" vertical="center"/>
    </xf>
    <xf numFmtId="0" fontId="21" fillId="12" borderId="3" xfId="0" applyFont="1" applyFill="1" applyBorder="1" applyAlignment="1">
      <alignment horizontal="left" vertical="center"/>
    </xf>
    <xf numFmtId="0" fontId="23" fillId="8" borderId="3" xfId="0" applyFont="1" applyFill="1" applyBorder="1" applyAlignment="1">
      <alignment horizontal="left" vertical="center"/>
    </xf>
    <xf numFmtId="0" fontId="14" fillId="2" borderId="2" xfId="0" applyFont="1" applyFill="1" applyBorder="1" applyAlignment="1">
      <alignment horizontal="center" vertical="center"/>
    </xf>
    <xf numFmtId="0" fontId="14" fillId="13" borderId="2" xfId="0" applyFont="1" applyFill="1" applyBorder="1" applyAlignment="1">
      <alignment horizontal="center" vertical="center"/>
    </xf>
    <xf numFmtId="0" fontId="14" fillId="3" borderId="2" xfId="0" applyFont="1" applyFill="1" applyBorder="1" applyAlignment="1">
      <alignment horizontal="center" vertical="center"/>
    </xf>
    <xf numFmtId="0" fontId="14" fillId="14" borderId="2" xfId="0" applyFont="1" applyFill="1" applyBorder="1" applyAlignment="1">
      <alignment horizontal="center" vertical="center"/>
    </xf>
    <xf numFmtId="0" fontId="14" fillId="11" borderId="2" xfId="0" applyFont="1" applyFill="1" applyBorder="1" applyAlignment="1">
      <alignment horizontal="center" vertical="center"/>
    </xf>
    <xf numFmtId="0" fontId="11" fillId="11" borderId="3" xfId="0" applyFont="1" applyFill="1" applyBorder="1" applyAlignment="1">
      <alignment horizontal="center" vertical="center"/>
    </xf>
    <xf numFmtId="0" fontId="29" fillId="8" borderId="0" xfId="0" applyFont="1" applyFill="1" applyAlignment="1">
      <alignment horizontal="left" vertical="center"/>
    </xf>
    <xf numFmtId="0" fontId="20" fillId="2"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30" fillId="9" borderId="1" xfId="0" applyFont="1" applyFill="1" applyBorder="1"/>
    <xf numFmtId="0" fontId="14" fillId="20"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34" fillId="5" borderId="1" xfId="0" applyFont="1" applyFill="1" applyBorder="1"/>
    <xf numFmtId="0" fontId="37" fillId="5" borderId="1" xfId="0" applyFont="1" applyFill="1" applyBorder="1"/>
    <xf numFmtId="0" fontId="3" fillId="25"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4" fontId="39" fillId="23" borderId="1" xfId="0" applyNumberFormat="1" applyFont="1" applyFill="1" applyBorder="1" applyAlignment="1">
      <alignment horizontal="right" vertical="center"/>
    </xf>
    <xf numFmtId="0" fontId="4" fillId="5" borderId="1" xfId="0" applyFont="1" applyFill="1" applyBorder="1" applyAlignment="1">
      <alignment horizontal="center" vertical="center" wrapText="1"/>
    </xf>
    <xf numFmtId="0" fontId="40"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8F9FA"/>
      <rgbColor rgb="FFFF00FF"/>
      <rgbColor rgb="FF00FFFF"/>
      <rgbColor rgb="FF8B0000"/>
      <rgbColor rgb="FF008000"/>
      <rgbColor rgb="FF00008B"/>
      <rgbColor rgb="FF808000"/>
      <rgbColor rgb="FF800080"/>
      <rgbColor rgb="FF1F6B75"/>
      <rgbColor rgb="FFAEB6BF"/>
      <rgbColor rgb="FF808080"/>
      <rgbColor rgb="FFEBF5FB"/>
      <rgbColor rgb="FF993366"/>
      <rgbColor rgb="FFFFF2CC"/>
      <rgbColor rgb="FFDBEFFF"/>
      <rgbColor rgb="FF660066"/>
      <rgbColor rgb="FFFF8080"/>
      <rgbColor rgb="FF0066CC"/>
      <rgbColor rgb="FFD6E4F0"/>
      <rgbColor rgb="FF000080"/>
      <rgbColor rgb="FFFF00FF"/>
      <rgbColor rgb="FFF5F8FC"/>
      <rgbColor rgb="FF00FFFF"/>
      <rgbColor rgb="FF800080"/>
      <rgbColor rgb="FF800000"/>
      <rgbColor rgb="FF008080"/>
      <rgbColor rgb="FF0000FF"/>
      <rgbColor rgb="FF00CCFF"/>
      <rgbColor rgb="FFD9EEF1"/>
      <rgbColor rgb="FFD5F5E3"/>
      <rgbColor rgb="FFFDEBD0"/>
      <rgbColor rgb="FFDEEAF1"/>
      <rgbColor rgb="FFF2F2F2"/>
      <rgbColor rgb="FFF0F4F8"/>
      <rgbColor rgb="FFFCE4D6"/>
      <rgbColor rgb="FF2E75B6"/>
      <rgbColor rgb="FF33CCCC"/>
      <rgbColor rgb="FF99CC00"/>
      <rgbColor rgb="FFFDFEFE"/>
      <rgbColor rgb="FFBF8F00"/>
      <rgbColor rgb="FFC55A11"/>
      <rgbColor rgb="FF595959"/>
      <rgbColor rgb="FFEBFBFF"/>
      <rgbColor rgb="FF1F3864"/>
      <rgbColor rgb="FF339966"/>
      <rgbColor rgb="FF003300"/>
      <rgbColor rgb="FF375623"/>
      <rgbColor rgb="FFC0392B"/>
      <rgbColor rgb="FF993366"/>
      <rgbColor rgb="FF555555"/>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showGridLines="0" zoomScaleNormal="100" workbookViewId="0">
      <selection activeCell="D16" sqref="D16"/>
    </sheetView>
  </sheetViews>
  <sheetFormatPr defaultColWidth="8.7109375" defaultRowHeight="15" x14ac:dyDescent="0.25"/>
  <cols>
    <col min="1" max="1" width="3" customWidth="1"/>
    <col min="2" max="2" width="30" customWidth="1"/>
    <col min="3" max="3" width="70" customWidth="1"/>
    <col min="4" max="4" width="70.5703125" customWidth="1"/>
  </cols>
  <sheetData>
    <row r="1" spans="1:4" ht="19.5" customHeight="1" x14ac:dyDescent="0.25">
      <c r="A1" s="12" t="s">
        <v>0</v>
      </c>
      <c r="B1" s="12"/>
      <c r="C1" s="12"/>
    </row>
    <row r="2" spans="1:4" ht="15" customHeight="1" x14ac:dyDescent="0.25">
      <c r="A2" s="11" t="s">
        <v>1</v>
      </c>
      <c r="B2" s="11"/>
      <c r="C2" s="11"/>
    </row>
    <row r="3" spans="1:4" ht="27.75" customHeight="1" x14ac:dyDescent="0.25">
      <c r="B3" s="15" t="s">
        <v>2</v>
      </c>
      <c r="C3" s="16"/>
    </row>
    <row r="4" spans="1:4" ht="27.75" customHeight="1" x14ac:dyDescent="0.25">
      <c r="B4" s="17" t="s">
        <v>3</v>
      </c>
      <c r="C4" s="18" t="s">
        <v>4</v>
      </c>
    </row>
    <row r="5" spans="1:4" ht="27.75" customHeight="1" x14ac:dyDescent="0.25">
      <c r="B5" s="17" t="s">
        <v>5</v>
      </c>
      <c r="C5" s="18" t="s">
        <v>6</v>
      </c>
    </row>
    <row r="6" spans="1:4" ht="27.75" customHeight="1" x14ac:dyDescent="0.25">
      <c r="B6" s="17" t="s">
        <v>7</v>
      </c>
      <c r="C6" s="18" t="s">
        <v>8</v>
      </c>
    </row>
    <row r="7" spans="1:4" ht="27.75" customHeight="1" x14ac:dyDescent="0.25">
      <c r="B7" s="17" t="s">
        <v>9</v>
      </c>
      <c r="C7" s="18" t="s">
        <v>10</v>
      </c>
    </row>
    <row r="8" spans="1:4" ht="27.75" customHeight="1" x14ac:dyDescent="0.25">
      <c r="B8" s="17" t="s">
        <v>11</v>
      </c>
      <c r="C8" s="18" t="s">
        <v>12</v>
      </c>
    </row>
    <row r="9" spans="1:4" ht="27.75" customHeight="1" x14ac:dyDescent="0.25">
      <c r="B9" s="17" t="s">
        <v>13</v>
      </c>
      <c r="C9" s="18" t="s">
        <v>14</v>
      </c>
    </row>
    <row r="10" spans="1:4" ht="27.75" customHeight="1" x14ac:dyDescent="0.25">
      <c r="B10" s="17" t="s">
        <v>15</v>
      </c>
      <c r="C10" s="18" t="s">
        <v>16</v>
      </c>
    </row>
    <row r="11" spans="1:4" ht="27.75" customHeight="1" x14ac:dyDescent="0.25">
      <c r="B11" s="17" t="s">
        <v>17</v>
      </c>
      <c r="C11" s="18" t="s">
        <v>18</v>
      </c>
    </row>
    <row r="12" spans="1:4" ht="6" customHeight="1" x14ac:dyDescent="0.25"/>
    <row r="13" spans="1:4" ht="27.75" customHeight="1" x14ac:dyDescent="0.25">
      <c r="B13" s="15" t="s">
        <v>19</v>
      </c>
      <c r="C13" s="16"/>
    </row>
    <row r="14" spans="1:4" ht="27.75" customHeight="1" x14ac:dyDescent="0.25">
      <c r="B14" s="17" t="s">
        <v>20</v>
      </c>
      <c r="C14" s="18" t="s">
        <v>21</v>
      </c>
      <c r="D14" s="19" t="s">
        <v>22</v>
      </c>
    </row>
    <row r="15" spans="1:4" ht="27.75" customHeight="1" x14ac:dyDescent="0.25">
      <c r="B15" s="17" t="s">
        <v>23</v>
      </c>
      <c r="C15" s="18" t="s">
        <v>24</v>
      </c>
    </row>
    <row r="16" spans="1:4" ht="27.75" customHeight="1" x14ac:dyDescent="0.25">
      <c r="B16" s="17" t="s">
        <v>25</v>
      </c>
      <c r="C16" s="18" t="s">
        <v>26</v>
      </c>
    </row>
    <row r="17" spans="2:3" ht="27.75" customHeight="1" x14ac:dyDescent="0.25">
      <c r="B17" s="17" t="s">
        <v>27</v>
      </c>
      <c r="C17" s="18" t="s">
        <v>28</v>
      </c>
    </row>
    <row r="18" spans="2:3" ht="27.75" customHeight="1" x14ac:dyDescent="0.25">
      <c r="B18" s="17" t="s">
        <v>29</v>
      </c>
      <c r="C18" s="18" t="s">
        <v>30</v>
      </c>
    </row>
    <row r="19" spans="2:3" ht="27.75" customHeight="1" x14ac:dyDescent="0.25">
      <c r="B19" s="17" t="s">
        <v>31</v>
      </c>
      <c r="C19" s="18" t="s">
        <v>32</v>
      </c>
    </row>
    <row r="20" spans="2:3" ht="6" customHeight="1" x14ac:dyDescent="0.25"/>
    <row r="21" spans="2:3" ht="27.75" customHeight="1" x14ac:dyDescent="0.25">
      <c r="B21" s="15" t="s">
        <v>33</v>
      </c>
      <c r="C21" s="16"/>
    </row>
    <row r="22" spans="2:3" ht="27.75" customHeight="1" x14ac:dyDescent="0.25">
      <c r="B22" s="17" t="s">
        <v>34</v>
      </c>
      <c r="C22" s="18" t="s">
        <v>35</v>
      </c>
    </row>
    <row r="23" spans="2:3" ht="27.75" customHeight="1" x14ac:dyDescent="0.25">
      <c r="B23" s="17" t="s">
        <v>36</v>
      </c>
      <c r="C23" s="18" t="s">
        <v>37</v>
      </c>
    </row>
    <row r="24" spans="2:3" ht="27.75" customHeight="1" x14ac:dyDescent="0.25">
      <c r="B24" s="17" t="s">
        <v>38</v>
      </c>
      <c r="C24" s="18" t="s">
        <v>39</v>
      </c>
    </row>
    <row r="25" spans="2:3" ht="6" customHeight="1" x14ac:dyDescent="0.25"/>
    <row r="26" spans="2:3" ht="27.75" customHeight="1" x14ac:dyDescent="0.25">
      <c r="B26" s="15" t="s">
        <v>40</v>
      </c>
      <c r="C26" s="16"/>
    </row>
    <row r="27" spans="2:3" ht="27.75" customHeight="1" x14ac:dyDescent="0.25">
      <c r="B27" s="17" t="s">
        <v>41</v>
      </c>
      <c r="C27" s="18" t="s">
        <v>42</v>
      </c>
    </row>
    <row r="28" spans="2:3" ht="27.75" customHeight="1" x14ac:dyDescent="0.25">
      <c r="B28" s="17" t="s">
        <v>43</v>
      </c>
      <c r="C28" s="18" t="s">
        <v>44</v>
      </c>
    </row>
    <row r="29" spans="2:3" ht="27.75" customHeight="1" x14ac:dyDescent="0.25">
      <c r="B29" s="17" t="s">
        <v>45</v>
      </c>
      <c r="C29" s="18" t="s">
        <v>46</v>
      </c>
    </row>
    <row r="30" spans="2:3" ht="27.75" customHeight="1" x14ac:dyDescent="0.25">
      <c r="B30" s="17" t="s">
        <v>47</v>
      </c>
      <c r="C30" s="18" t="s">
        <v>48</v>
      </c>
    </row>
    <row r="31" spans="2:3" ht="27.75" customHeight="1" x14ac:dyDescent="0.25">
      <c r="B31" s="17" t="s">
        <v>49</v>
      </c>
      <c r="C31" s="18" t="s">
        <v>50</v>
      </c>
    </row>
    <row r="32" spans="2:3" ht="27.75" customHeight="1" x14ac:dyDescent="0.25">
      <c r="B32" s="15" t="s">
        <v>51</v>
      </c>
      <c r="C32" s="16" t="s">
        <v>52</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showGridLines="0" zoomScaleNormal="100" workbookViewId="0">
      <selection activeCell="D17" sqref="D17"/>
    </sheetView>
  </sheetViews>
  <sheetFormatPr defaultColWidth="8.7109375" defaultRowHeight="15" x14ac:dyDescent="0.25"/>
  <cols>
    <col min="1" max="1" width="3" customWidth="1"/>
    <col min="2" max="6" width="22" customWidth="1"/>
    <col min="7" max="7" width="35" customWidth="1"/>
  </cols>
  <sheetData>
    <row r="1" spans="1:7" ht="15.75" customHeight="1" x14ac:dyDescent="0.25">
      <c r="A1" s="10" t="s">
        <v>53</v>
      </c>
      <c r="B1" s="10"/>
      <c r="C1" s="10"/>
      <c r="D1" s="10"/>
      <c r="E1" s="10"/>
      <c r="F1" s="10"/>
      <c r="G1" s="10"/>
    </row>
    <row r="2" spans="1:7" ht="15" customHeight="1" x14ac:dyDescent="0.25">
      <c r="A2" s="13" t="s">
        <v>54</v>
      </c>
      <c r="B2" s="13"/>
      <c r="C2" s="13"/>
      <c r="D2" s="13"/>
      <c r="E2" s="13"/>
      <c r="F2" s="13"/>
      <c r="G2" s="13"/>
    </row>
    <row r="3" spans="1:7" ht="15" customHeight="1" x14ac:dyDescent="0.25">
      <c r="A3" s="20"/>
      <c r="B3" s="20" t="s">
        <v>55</v>
      </c>
      <c r="C3" s="20" t="s">
        <v>56</v>
      </c>
      <c r="D3" s="20" t="s">
        <v>57</v>
      </c>
      <c r="E3" s="20" t="s">
        <v>58</v>
      </c>
      <c r="F3" s="20" t="s">
        <v>59</v>
      </c>
      <c r="G3" s="20" t="s">
        <v>60</v>
      </c>
    </row>
    <row r="4" spans="1:7" ht="19.5" customHeight="1" x14ac:dyDescent="0.25">
      <c r="A4" s="21" t="s">
        <v>61</v>
      </c>
      <c r="B4" s="22">
        <v>0</v>
      </c>
      <c r="C4" s="22">
        <v>10417</v>
      </c>
      <c r="D4" s="22">
        <v>0</v>
      </c>
      <c r="E4" s="23">
        <v>0</v>
      </c>
      <c r="F4" s="22">
        <v>0</v>
      </c>
      <c r="G4" s="18" t="s">
        <v>62</v>
      </c>
    </row>
    <row r="5" spans="1:7" ht="19.5" customHeight="1" x14ac:dyDescent="0.25">
      <c r="A5" s="24" t="s">
        <v>63</v>
      </c>
      <c r="B5" s="25">
        <v>10417</v>
      </c>
      <c r="C5" s="25">
        <v>16666</v>
      </c>
      <c r="D5" s="25">
        <v>0</v>
      </c>
      <c r="E5" s="26">
        <v>0.15</v>
      </c>
      <c r="F5" s="25">
        <v>10417</v>
      </c>
      <c r="G5" s="27" t="s">
        <v>64</v>
      </c>
    </row>
    <row r="6" spans="1:7" ht="19.5" customHeight="1" x14ac:dyDescent="0.25">
      <c r="A6" s="21" t="s">
        <v>65</v>
      </c>
      <c r="B6" s="22">
        <v>16667</v>
      </c>
      <c r="C6" s="22">
        <v>33332</v>
      </c>
      <c r="D6" s="22">
        <v>937.5</v>
      </c>
      <c r="E6" s="23">
        <v>0.2</v>
      </c>
      <c r="F6" s="22">
        <v>16667</v>
      </c>
      <c r="G6" s="18" t="s">
        <v>66</v>
      </c>
    </row>
    <row r="7" spans="1:7" ht="19.5" customHeight="1" x14ac:dyDescent="0.25">
      <c r="A7" s="24" t="s">
        <v>67</v>
      </c>
      <c r="B7" s="25">
        <v>33333</v>
      </c>
      <c r="C7" s="25">
        <v>83332</v>
      </c>
      <c r="D7" s="25">
        <v>4270.7</v>
      </c>
      <c r="E7" s="26">
        <v>0.25</v>
      </c>
      <c r="F7" s="25">
        <v>33333</v>
      </c>
      <c r="G7" s="27" t="s">
        <v>68</v>
      </c>
    </row>
    <row r="8" spans="1:7" ht="19.5" customHeight="1" x14ac:dyDescent="0.25">
      <c r="A8" s="21" t="s">
        <v>69</v>
      </c>
      <c r="B8" s="22">
        <v>83333</v>
      </c>
      <c r="C8" s="22">
        <v>333332</v>
      </c>
      <c r="D8" s="22">
        <v>16770.7</v>
      </c>
      <c r="E8" s="23">
        <v>0.3</v>
      </c>
      <c r="F8" s="22">
        <v>83333</v>
      </c>
      <c r="G8" s="18" t="s">
        <v>70</v>
      </c>
    </row>
    <row r="9" spans="1:7" ht="19.5" customHeight="1" x14ac:dyDescent="0.25">
      <c r="A9" s="24" t="s">
        <v>71</v>
      </c>
      <c r="B9" s="25">
        <v>333333</v>
      </c>
      <c r="C9" s="25" t="s">
        <v>72</v>
      </c>
      <c r="D9" s="25">
        <v>91770.7</v>
      </c>
      <c r="E9" s="26">
        <v>0.35</v>
      </c>
      <c r="F9" s="25">
        <v>333333</v>
      </c>
      <c r="G9" s="27" t="s">
        <v>73</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showGridLines="0" zoomScaleNormal="100" workbookViewId="0">
      <selection activeCell="B5" sqref="B5"/>
    </sheetView>
  </sheetViews>
  <sheetFormatPr defaultColWidth="8.7109375" defaultRowHeight="15" x14ac:dyDescent="0.25"/>
  <cols>
    <col min="1" max="1" width="3" customWidth="1"/>
    <col min="2" max="3" width="22" customWidth="1"/>
    <col min="4" max="6" width="18" customWidth="1"/>
    <col min="7" max="7" width="22" customWidth="1"/>
  </cols>
  <sheetData>
    <row r="1" spans="1:7" ht="15.75" customHeight="1" x14ac:dyDescent="0.25">
      <c r="A1" s="10" t="s">
        <v>74</v>
      </c>
      <c r="B1" s="10"/>
      <c r="C1" s="10"/>
      <c r="D1" s="10"/>
      <c r="E1" s="10"/>
      <c r="F1" s="10"/>
      <c r="G1" s="10"/>
    </row>
    <row r="2" spans="1:7" ht="15" customHeight="1" x14ac:dyDescent="0.25">
      <c r="A2" s="13" t="s">
        <v>75</v>
      </c>
      <c r="B2" s="13"/>
      <c r="C2" s="13"/>
      <c r="D2" s="13"/>
      <c r="E2" s="13"/>
      <c r="F2" s="13"/>
      <c r="G2" s="13"/>
    </row>
    <row r="3" spans="1:7" ht="15" customHeight="1" x14ac:dyDescent="0.25">
      <c r="A3" s="20"/>
      <c r="B3" s="20" t="s">
        <v>76</v>
      </c>
      <c r="C3" s="20" t="s">
        <v>77</v>
      </c>
      <c r="D3" s="20" t="s">
        <v>78</v>
      </c>
      <c r="E3" s="20" t="s">
        <v>79</v>
      </c>
      <c r="F3" s="20" t="s">
        <v>80</v>
      </c>
      <c r="G3" s="20" t="s">
        <v>81</v>
      </c>
    </row>
    <row r="4" spans="1:7" ht="18" customHeight="1" x14ac:dyDescent="0.25">
      <c r="A4" s="21" t="s">
        <v>61</v>
      </c>
      <c r="B4" s="22">
        <v>1</v>
      </c>
      <c r="C4" s="22">
        <v>5249.99</v>
      </c>
      <c r="D4" s="22">
        <v>250</v>
      </c>
      <c r="E4" s="22">
        <v>510</v>
      </c>
      <c r="F4" s="22">
        <v>760</v>
      </c>
      <c r="G4" s="22">
        <v>5000</v>
      </c>
    </row>
    <row r="5" spans="1:7" ht="18" customHeight="1" x14ac:dyDescent="0.25">
      <c r="A5" s="24" t="s">
        <v>63</v>
      </c>
      <c r="B5" s="25">
        <v>5250</v>
      </c>
      <c r="C5" s="25">
        <v>5749.99</v>
      </c>
      <c r="D5" s="25">
        <v>275</v>
      </c>
      <c r="E5" s="25">
        <v>560</v>
      </c>
      <c r="F5" s="25">
        <v>835</v>
      </c>
      <c r="G5" s="25">
        <v>5500</v>
      </c>
    </row>
    <row r="6" spans="1:7" ht="18" customHeight="1" x14ac:dyDescent="0.25">
      <c r="A6" s="21" t="s">
        <v>65</v>
      </c>
      <c r="B6" s="22">
        <v>5750</v>
      </c>
      <c r="C6" s="22">
        <v>6249.99</v>
      </c>
      <c r="D6" s="22">
        <v>300</v>
      </c>
      <c r="E6" s="22">
        <v>610</v>
      </c>
      <c r="F6" s="22">
        <v>910</v>
      </c>
      <c r="G6" s="22">
        <v>6000</v>
      </c>
    </row>
    <row r="7" spans="1:7" ht="18" customHeight="1" x14ac:dyDescent="0.25">
      <c r="A7" s="24" t="s">
        <v>67</v>
      </c>
      <c r="B7" s="25">
        <v>6250</v>
      </c>
      <c r="C7" s="25">
        <v>6749.99</v>
      </c>
      <c r="D7" s="25">
        <v>325</v>
      </c>
      <c r="E7" s="25">
        <v>660</v>
      </c>
      <c r="F7" s="25">
        <v>985</v>
      </c>
      <c r="G7" s="25">
        <v>6500</v>
      </c>
    </row>
    <row r="8" spans="1:7" ht="18" customHeight="1" x14ac:dyDescent="0.25">
      <c r="A8" s="21" t="s">
        <v>69</v>
      </c>
      <c r="B8" s="22">
        <v>6750</v>
      </c>
      <c r="C8" s="22">
        <v>7249.99</v>
      </c>
      <c r="D8" s="22">
        <v>350</v>
      </c>
      <c r="E8" s="22">
        <v>710</v>
      </c>
      <c r="F8" s="22">
        <v>1060</v>
      </c>
      <c r="G8" s="22">
        <v>7000</v>
      </c>
    </row>
    <row r="9" spans="1:7" ht="18" customHeight="1" x14ac:dyDescent="0.25">
      <c r="A9" s="24" t="s">
        <v>71</v>
      </c>
      <c r="B9" s="25">
        <v>7250</v>
      </c>
      <c r="C9" s="25">
        <v>7749.99</v>
      </c>
      <c r="D9" s="25">
        <v>375</v>
      </c>
      <c r="E9" s="25">
        <v>760</v>
      </c>
      <c r="F9" s="25">
        <v>1135</v>
      </c>
      <c r="G9" s="25">
        <v>7500</v>
      </c>
    </row>
    <row r="10" spans="1:7" ht="18" customHeight="1" x14ac:dyDescent="0.25">
      <c r="A10" s="21" t="s">
        <v>82</v>
      </c>
      <c r="B10" s="22">
        <v>7750</v>
      </c>
      <c r="C10" s="22">
        <v>8249.99</v>
      </c>
      <c r="D10" s="22">
        <v>400</v>
      </c>
      <c r="E10" s="22">
        <v>810</v>
      </c>
      <c r="F10" s="22">
        <v>1210</v>
      </c>
      <c r="G10" s="22">
        <v>8000</v>
      </c>
    </row>
    <row r="11" spans="1:7" ht="18" customHeight="1" x14ac:dyDescent="0.25">
      <c r="A11" s="24" t="s">
        <v>83</v>
      </c>
      <c r="B11" s="25">
        <v>8250</v>
      </c>
      <c r="C11" s="25">
        <v>8749.99</v>
      </c>
      <c r="D11" s="25">
        <v>425</v>
      </c>
      <c r="E11" s="25">
        <v>860</v>
      </c>
      <c r="F11" s="25">
        <v>1285</v>
      </c>
      <c r="G11" s="25">
        <v>8500</v>
      </c>
    </row>
    <row r="12" spans="1:7" ht="18" customHeight="1" x14ac:dyDescent="0.25">
      <c r="A12" s="21" t="s">
        <v>84</v>
      </c>
      <c r="B12" s="22">
        <v>8750</v>
      </c>
      <c r="C12" s="22">
        <v>9249.99</v>
      </c>
      <c r="D12" s="22">
        <v>450</v>
      </c>
      <c r="E12" s="22">
        <v>910</v>
      </c>
      <c r="F12" s="22">
        <v>1360</v>
      </c>
      <c r="G12" s="22">
        <v>9000</v>
      </c>
    </row>
    <row r="13" spans="1:7" ht="18" customHeight="1" x14ac:dyDescent="0.25">
      <c r="A13" s="24" t="s">
        <v>85</v>
      </c>
      <c r="B13" s="25">
        <v>9250</v>
      </c>
      <c r="C13" s="25">
        <v>9749.99</v>
      </c>
      <c r="D13" s="25">
        <v>475</v>
      </c>
      <c r="E13" s="25">
        <v>960</v>
      </c>
      <c r="F13" s="25">
        <v>1435</v>
      </c>
      <c r="G13" s="25">
        <v>9500</v>
      </c>
    </row>
    <row r="14" spans="1:7" ht="18" customHeight="1" x14ac:dyDescent="0.25">
      <c r="A14" s="21" t="s">
        <v>86</v>
      </c>
      <c r="B14" s="22">
        <v>9750</v>
      </c>
      <c r="C14" s="22">
        <v>10249.99</v>
      </c>
      <c r="D14" s="22">
        <v>500</v>
      </c>
      <c r="E14" s="22">
        <v>1010</v>
      </c>
      <c r="F14" s="22">
        <v>1510</v>
      </c>
      <c r="G14" s="22">
        <v>10000</v>
      </c>
    </row>
    <row r="15" spans="1:7" ht="18" customHeight="1" x14ac:dyDescent="0.25">
      <c r="A15" s="24" t="s">
        <v>87</v>
      </c>
      <c r="B15" s="25">
        <v>10250</v>
      </c>
      <c r="C15" s="25">
        <v>10749.99</v>
      </c>
      <c r="D15" s="25">
        <v>525</v>
      </c>
      <c r="E15" s="25">
        <v>1060</v>
      </c>
      <c r="F15" s="25">
        <v>1585</v>
      </c>
      <c r="G15" s="25">
        <v>10500</v>
      </c>
    </row>
    <row r="16" spans="1:7" ht="18" customHeight="1" x14ac:dyDescent="0.25">
      <c r="A16" s="21" t="s">
        <v>88</v>
      </c>
      <c r="B16" s="22">
        <v>10750</v>
      </c>
      <c r="C16" s="22">
        <v>11249.99</v>
      </c>
      <c r="D16" s="22">
        <v>550</v>
      </c>
      <c r="E16" s="22">
        <v>1110</v>
      </c>
      <c r="F16" s="22">
        <v>1660</v>
      </c>
      <c r="G16" s="22">
        <v>11000</v>
      </c>
    </row>
    <row r="17" spans="1:7" ht="18" customHeight="1" x14ac:dyDescent="0.25">
      <c r="A17" s="24" t="s">
        <v>89</v>
      </c>
      <c r="B17" s="25">
        <v>11250</v>
      </c>
      <c r="C17" s="25">
        <v>11749.99</v>
      </c>
      <c r="D17" s="25">
        <v>575</v>
      </c>
      <c r="E17" s="25">
        <v>1160</v>
      </c>
      <c r="F17" s="25">
        <v>1735</v>
      </c>
      <c r="G17" s="25">
        <v>11500</v>
      </c>
    </row>
    <row r="18" spans="1:7" ht="18" customHeight="1" x14ac:dyDescent="0.25">
      <c r="A18" s="21" t="s">
        <v>90</v>
      </c>
      <c r="B18" s="22">
        <v>11750</v>
      </c>
      <c r="C18" s="22">
        <v>12249.99</v>
      </c>
      <c r="D18" s="22">
        <v>600</v>
      </c>
      <c r="E18" s="22">
        <v>1210</v>
      </c>
      <c r="F18" s="22">
        <v>1810</v>
      </c>
      <c r="G18" s="22">
        <v>12000</v>
      </c>
    </row>
    <row r="19" spans="1:7" ht="18" customHeight="1" x14ac:dyDescent="0.25">
      <c r="A19" s="24" t="s">
        <v>91</v>
      </c>
      <c r="B19" s="25">
        <v>12250</v>
      </c>
      <c r="C19" s="25">
        <v>12749.99</v>
      </c>
      <c r="D19" s="25">
        <v>625</v>
      </c>
      <c r="E19" s="25">
        <v>1260</v>
      </c>
      <c r="F19" s="25">
        <v>1885</v>
      </c>
      <c r="G19" s="25">
        <v>12500</v>
      </c>
    </row>
    <row r="20" spans="1:7" ht="18" customHeight="1" x14ac:dyDescent="0.25">
      <c r="A20" s="21" t="s">
        <v>92</v>
      </c>
      <c r="B20" s="22">
        <v>12750</v>
      </c>
      <c r="C20" s="22">
        <v>13249.99</v>
      </c>
      <c r="D20" s="22">
        <v>650</v>
      </c>
      <c r="E20" s="22">
        <v>1310</v>
      </c>
      <c r="F20" s="22">
        <v>1960</v>
      </c>
      <c r="G20" s="22">
        <v>13000</v>
      </c>
    </row>
    <row r="21" spans="1:7" ht="18" customHeight="1" x14ac:dyDescent="0.25">
      <c r="A21" s="24" t="s">
        <v>93</v>
      </c>
      <c r="B21" s="25">
        <v>13250</v>
      </c>
      <c r="C21" s="25">
        <v>13749.99</v>
      </c>
      <c r="D21" s="25">
        <v>675</v>
      </c>
      <c r="E21" s="25">
        <v>1360</v>
      </c>
      <c r="F21" s="25">
        <v>2035</v>
      </c>
      <c r="G21" s="25">
        <v>13500</v>
      </c>
    </row>
    <row r="22" spans="1:7" ht="18" customHeight="1" x14ac:dyDescent="0.25">
      <c r="A22" s="21" t="s">
        <v>94</v>
      </c>
      <c r="B22" s="22">
        <v>13750</v>
      </c>
      <c r="C22" s="22">
        <v>14249.99</v>
      </c>
      <c r="D22" s="22">
        <v>700</v>
      </c>
      <c r="E22" s="22">
        <v>1410</v>
      </c>
      <c r="F22" s="22">
        <v>2110</v>
      </c>
      <c r="G22" s="22">
        <v>14000</v>
      </c>
    </row>
    <row r="23" spans="1:7" ht="18" customHeight="1" x14ac:dyDescent="0.25">
      <c r="A23" s="24" t="s">
        <v>95</v>
      </c>
      <c r="B23" s="25">
        <v>14250</v>
      </c>
      <c r="C23" s="25">
        <v>14749.99</v>
      </c>
      <c r="D23" s="25">
        <v>725</v>
      </c>
      <c r="E23" s="25">
        <v>1460</v>
      </c>
      <c r="F23" s="25">
        <v>2185</v>
      </c>
      <c r="G23" s="25">
        <v>14500</v>
      </c>
    </row>
    <row r="24" spans="1:7" ht="18" customHeight="1" x14ac:dyDescent="0.25">
      <c r="A24" s="24" t="s">
        <v>96</v>
      </c>
      <c r="B24" s="25">
        <v>14750</v>
      </c>
      <c r="C24" s="25">
        <v>15249.99</v>
      </c>
      <c r="D24" s="25">
        <v>750</v>
      </c>
      <c r="E24" s="25">
        <v>1530</v>
      </c>
      <c r="F24" s="25">
        <v>2280</v>
      </c>
      <c r="G24" s="25">
        <v>15000</v>
      </c>
    </row>
    <row r="25" spans="1:7" ht="18" customHeight="1" x14ac:dyDescent="0.25">
      <c r="A25" s="24" t="s">
        <v>97</v>
      </c>
      <c r="B25" s="25">
        <v>15250</v>
      </c>
      <c r="C25" s="25">
        <v>15749.99</v>
      </c>
      <c r="D25" s="25">
        <v>775</v>
      </c>
      <c r="E25" s="25">
        <v>1580</v>
      </c>
      <c r="F25" s="25">
        <v>2355</v>
      </c>
      <c r="G25" s="25">
        <v>15500</v>
      </c>
    </row>
    <row r="26" spans="1:7" ht="18" customHeight="1" x14ac:dyDescent="0.25">
      <c r="A26" s="24" t="s">
        <v>98</v>
      </c>
      <c r="B26" s="25">
        <v>15750</v>
      </c>
      <c r="C26" s="25">
        <v>16249.99</v>
      </c>
      <c r="D26" s="25">
        <v>800</v>
      </c>
      <c r="E26" s="25">
        <v>1630</v>
      </c>
      <c r="F26" s="25">
        <v>2430</v>
      </c>
      <c r="G26" s="25">
        <v>16000</v>
      </c>
    </row>
    <row r="27" spans="1:7" ht="18" customHeight="1" x14ac:dyDescent="0.25">
      <c r="A27" s="24" t="s">
        <v>99</v>
      </c>
      <c r="B27" s="25">
        <v>16250</v>
      </c>
      <c r="C27" s="25">
        <v>16749.990000000002</v>
      </c>
      <c r="D27" s="25">
        <v>825</v>
      </c>
      <c r="E27" s="25">
        <v>1680</v>
      </c>
      <c r="F27" s="25">
        <v>2505</v>
      </c>
      <c r="G27" s="25">
        <v>16500</v>
      </c>
    </row>
    <row r="28" spans="1:7" ht="18" customHeight="1" x14ac:dyDescent="0.25">
      <c r="A28" s="24" t="s">
        <v>100</v>
      </c>
      <c r="B28" s="25">
        <v>16750</v>
      </c>
      <c r="C28" s="25">
        <v>17249.990000000002</v>
      </c>
      <c r="D28" s="25">
        <v>850</v>
      </c>
      <c r="E28" s="25">
        <v>1730</v>
      </c>
      <c r="F28" s="25">
        <v>2580</v>
      </c>
      <c r="G28" s="25">
        <v>17000</v>
      </c>
    </row>
    <row r="29" spans="1:7" ht="18" customHeight="1" x14ac:dyDescent="0.25">
      <c r="A29" s="24" t="s">
        <v>101</v>
      </c>
      <c r="B29" s="25">
        <v>17250</v>
      </c>
      <c r="C29" s="25">
        <v>17749.990000000002</v>
      </c>
      <c r="D29" s="25">
        <v>875</v>
      </c>
      <c r="E29" s="25">
        <v>1780</v>
      </c>
      <c r="F29" s="25">
        <v>2655</v>
      </c>
      <c r="G29" s="25">
        <v>17500</v>
      </c>
    </row>
    <row r="30" spans="1:7" ht="18" customHeight="1" x14ac:dyDescent="0.25">
      <c r="A30" s="24" t="s">
        <v>102</v>
      </c>
      <c r="B30" s="25">
        <v>17750</v>
      </c>
      <c r="C30" s="25">
        <v>18249.990000000002</v>
      </c>
      <c r="D30" s="25">
        <v>900</v>
      </c>
      <c r="E30" s="25">
        <v>1830</v>
      </c>
      <c r="F30" s="25">
        <v>2730</v>
      </c>
      <c r="G30" s="25">
        <v>18000</v>
      </c>
    </row>
    <row r="31" spans="1:7" ht="18" customHeight="1" x14ac:dyDescent="0.25">
      <c r="A31" s="24" t="s">
        <v>103</v>
      </c>
      <c r="B31" s="25">
        <v>18250</v>
      </c>
      <c r="C31" s="25">
        <v>18749.990000000002</v>
      </c>
      <c r="D31" s="25">
        <v>925</v>
      </c>
      <c r="E31" s="25">
        <v>1880</v>
      </c>
      <c r="F31" s="25">
        <v>2805</v>
      </c>
      <c r="G31" s="25">
        <v>18500</v>
      </c>
    </row>
    <row r="32" spans="1:7" ht="18" customHeight="1" x14ac:dyDescent="0.25">
      <c r="A32" s="24" t="s">
        <v>104</v>
      </c>
      <c r="B32" s="25">
        <v>18750</v>
      </c>
      <c r="C32" s="25">
        <v>19249.990000000002</v>
      </c>
      <c r="D32" s="25">
        <v>950</v>
      </c>
      <c r="E32" s="25">
        <v>1930</v>
      </c>
      <c r="F32" s="25">
        <v>2880</v>
      </c>
      <c r="G32" s="25">
        <v>19000</v>
      </c>
    </row>
    <row r="33" spans="1:7" ht="18" customHeight="1" x14ac:dyDescent="0.25">
      <c r="A33" s="24" t="s">
        <v>105</v>
      </c>
      <c r="B33" s="25">
        <v>19250</v>
      </c>
      <c r="C33" s="25">
        <v>19749.990000000002</v>
      </c>
      <c r="D33" s="25">
        <v>975</v>
      </c>
      <c r="E33" s="25">
        <v>1980</v>
      </c>
      <c r="F33" s="25">
        <v>2955</v>
      </c>
      <c r="G33" s="25">
        <v>19500</v>
      </c>
    </row>
    <row r="34" spans="1:7" ht="18" customHeight="1" x14ac:dyDescent="0.25">
      <c r="A34" s="24" t="s">
        <v>106</v>
      </c>
      <c r="B34" s="25">
        <v>19750</v>
      </c>
      <c r="C34" s="25">
        <v>20249.990000000002</v>
      </c>
      <c r="D34" s="25">
        <v>1000</v>
      </c>
      <c r="E34" s="25">
        <v>2030</v>
      </c>
      <c r="F34" s="25">
        <v>3030</v>
      </c>
      <c r="G34" s="25">
        <v>20000</v>
      </c>
    </row>
    <row r="35" spans="1:7" ht="18" customHeight="1" x14ac:dyDescent="0.25">
      <c r="A35" s="24" t="s">
        <v>107</v>
      </c>
      <c r="B35" s="25">
        <v>20250</v>
      </c>
      <c r="C35" s="25">
        <v>20749.990000000002</v>
      </c>
      <c r="D35" s="25">
        <v>1025</v>
      </c>
      <c r="E35" s="25">
        <v>2080</v>
      </c>
      <c r="F35" s="25">
        <v>3105</v>
      </c>
      <c r="G35" s="25">
        <v>20500</v>
      </c>
    </row>
    <row r="36" spans="1:7" ht="18" customHeight="1" x14ac:dyDescent="0.25">
      <c r="A36" s="24" t="s">
        <v>108</v>
      </c>
      <c r="B36" s="25">
        <v>20750</v>
      </c>
      <c r="C36" s="25">
        <v>21249.99</v>
      </c>
      <c r="D36" s="25">
        <v>1050</v>
      </c>
      <c r="E36" s="25">
        <v>2130</v>
      </c>
      <c r="F36" s="25">
        <v>3180</v>
      </c>
      <c r="G36" s="25">
        <v>21000</v>
      </c>
    </row>
    <row r="37" spans="1:7" ht="18" customHeight="1" x14ac:dyDescent="0.25">
      <c r="A37" s="24" t="s">
        <v>109</v>
      </c>
      <c r="B37" s="25">
        <v>21250</v>
      </c>
      <c r="C37" s="25">
        <v>21749.99</v>
      </c>
      <c r="D37" s="25">
        <v>1075</v>
      </c>
      <c r="E37" s="25">
        <v>2180</v>
      </c>
      <c r="F37" s="25">
        <v>3255</v>
      </c>
      <c r="G37" s="25">
        <v>21500</v>
      </c>
    </row>
    <row r="38" spans="1:7" ht="18" customHeight="1" x14ac:dyDescent="0.25">
      <c r="A38" s="24" t="s">
        <v>110</v>
      </c>
      <c r="B38" s="25">
        <v>21750</v>
      </c>
      <c r="C38" s="25">
        <v>22249.99</v>
      </c>
      <c r="D38" s="25">
        <v>1100</v>
      </c>
      <c r="E38" s="25">
        <v>2230</v>
      </c>
      <c r="F38" s="25">
        <v>3330</v>
      </c>
      <c r="G38" s="25">
        <v>22000</v>
      </c>
    </row>
    <row r="39" spans="1:7" ht="18" customHeight="1" x14ac:dyDescent="0.25">
      <c r="A39" s="24" t="s">
        <v>111</v>
      </c>
      <c r="B39" s="25">
        <v>22250</v>
      </c>
      <c r="C39" s="25">
        <v>22749.99</v>
      </c>
      <c r="D39" s="25">
        <v>1125</v>
      </c>
      <c r="E39" s="25">
        <v>2280</v>
      </c>
      <c r="F39" s="25">
        <v>3405</v>
      </c>
      <c r="G39" s="25">
        <v>22500</v>
      </c>
    </row>
    <row r="40" spans="1:7" ht="18" customHeight="1" x14ac:dyDescent="0.25">
      <c r="A40" s="24" t="s">
        <v>112</v>
      </c>
      <c r="B40" s="25">
        <v>22750</v>
      </c>
      <c r="C40" s="25">
        <v>23249.99</v>
      </c>
      <c r="D40" s="25">
        <v>1150</v>
      </c>
      <c r="E40" s="25">
        <v>2330</v>
      </c>
      <c r="F40" s="25">
        <v>3480</v>
      </c>
      <c r="G40" s="25">
        <v>23000</v>
      </c>
    </row>
    <row r="41" spans="1:7" ht="18" customHeight="1" x14ac:dyDescent="0.25">
      <c r="A41" s="24" t="s">
        <v>113</v>
      </c>
      <c r="B41" s="25">
        <v>23250</v>
      </c>
      <c r="C41" s="25">
        <v>23749.99</v>
      </c>
      <c r="D41" s="25">
        <v>1175</v>
      </c>
      <c r="E41" s="25">
        <v>2380</v>
      </c>
      <c r="F41" s="25">
        <v>3555</v>
      </c>
      <c r="G41" s="25">
        <v>23500</v>
      </c>
    </row>
    <row r="42" spans="1:7" ht="18" customHeight="1" x14ac:dyDescent="0.25">
      <c r="A42" s="24" t="s">
        <v>114</v>
      </c>
      <c r="B42" s="25">
        <v>23750</v>
      </c>
      <c r="C42" s="25">
        <v>24249.99</v>
      </c>
      <c r="D42" s="25">
        <v>1200</v>
      </c>
      <c r="E42" s="25">
        <v>2430</v>
      </c>
      <c r="F42" s="25">
        <v>3630</v>
      </c>
      <c r="G42" s="25">
        <v>24000</v>
      </c>
    </row>
    <row r="43" spans="1:7" ht="18" customHeight="1" x14ac:dyDescent="0.25">
      <c r="A43" s="24" t="s">
        <v>115</v>
      </c>
      <c r="B43" s="25">
        <v>24250</v>
      </c>
      <c r="C43" s="25">
        <v>24749.99</v>
      </c>
      <c r="D43" s="25">
        <v>1225</v>
      </c>
      <c r="E43" s="25">
        <v>2480</v>
      </c>
      <c r="F43" s="25">
        <v>3705</v>
      </c>
      <c r="G43" s="25">
        <v>24500</v>
      </c>
    </row>
    <row r="44" spans="1:7" ht="18" customHeight="1" x14ac:dyDescent="0.25">
      <c r="A44" s="24" t="s">
        <v>116</v>
      </c>
      <c r="B44" s="25">
        <v>24750</v>
      </c>
      <c r="C44" s="25">
        <v>25249.99</v>
      </c>
      <c r="D44" s="25">
        <v>1250</v>
      </c>
      <c r="E44" s="25">
        <v>2530</v>
      </c>
      <c r="F44" s="25">
        <v>3780</v>
      </c>
      <c r="G44" s="25">
        <v>25000</v>
      </c>
    </row>
    <row r="45" spans="1:7" ht="18" customHeight="1" x14ac:dyDescent="0.25">
      <c r="A45" s="24" t="s">
        <v>117</v>
      </c>
      <c r="B45" s="25">
        <v>25250</v>
      </c>
      <c r="C45" s="25">
        <v>25749.99</v>
      </c>
      <c r="D45" s="25">
        <v>1275</v>
      </c>
      <c r="E45" s="25">
        <v>2580</v>
      </c>
      <c r="F45" s="25">
        <v>3855</v>
      </c>
      <c r="G45" s="25">
        <v>25500</v>
      </c>
    </row>
    <row r="46" spans="1:7" ht="18" customHeight="1" x14ac:dyDescent="0.25">
      <c r="A46" s="24" t="s">
        <v>118</v>
      </c>
      <c r="B46" s="25">
        <v>25750</v>
      </c>
      <c r="C46" s="25">
        <v>26249.99</v>
      </c>
      <c r="D46" s="25">
        <v>1300</v>
      </c>
      <c r="E46" s="25">
        <v>2630</v>
      </c>
      <c r="F46" s="25">
        <v>3930</v>
      </c>
      <c r="G46" s="25">
        <v>26000</v>
      </c>
    </row>
    <row r="47" spans="1:7" ht="18" customHeight="1" x14ac:dyDescent="0.25">
      <c r="A47" s="24" t="s">
        <v>119</v>
      </c>
      <c r="B47" s="25">
        <v>26250</v>
      </c>
      <c r="C47" s="25">
        <v>26749.99</v>
      </c>
      <c r="D47" s="25">
        <v>1325</v>
      </c>
      <c r="E47" s="25">
        <v>2680</v>
      </c>
      <c r="F47" s="25">
        <v>4005</v>
      </c>
      <c r="G47" s="25">
        <v>26500</v>
      </c>
    </row>
    <row r="48" spans="1:7" ht="18" customHeight="1" x14ac:dyDescent="0.25">
      <c r="A48" s="24" t="s">
        <v>120</v>
      </c>
      <c r="B48" s="25">
        <v>26750</v>
      </c>
      <c r="C48" s="25">
        <v>27249.99</v>
      </c>
      <c r="D48" s="25">
        <v>1350</v>
      </c>
      <c r="E48" s="25">
        <v>2730</v>
      </c>
      <c r="F48" s="25">
        <v>4080</v>
      </c>
      <c r="G48" s="25">
        <v>27000</v>
      </c>
    </row>
    <row r="49" spans="1:7" ht="18" customHeight="1" x14ac:dyDescent="0.25">
      <c r="A49" s="24" t="s">
        <v>121</v>
      </c>
      <c r="B49" s="25">
        <v>27250</v>
      </c>
      <c r="C49" s="25">
        <v>27749.99</v>
      </c>
      <c r="D49" s="25">
        <v>1375</v>
      </c>
      <c r="E49" s="25">
        <v>2780</v>
      </c>
      <c r="F49" s="25">
        <v>4155</v>
      </c>
      <c r="G49" s="25">
        <v>27500</v>
      </c>
    </row>
    <row r="50" spans="1:7" ht="18" customHeight="1" x14ac:dyDescent="0.25">
      <c r="A50" s="24" t="s">
        <v>122</v>
      </c>
      <c r="B50" s="25">
        <v>27750</v>
      </c>
      <c r="C50" s="25">
        <v>28249.99</v>
      </c>
      <c r="D50" s="25">
        <v>1400</v>
      </c>
      <c r="E50" s="25">
        <v>2830</v>
      </c>
      <c r="F50" s="25">
        <v>4230</v>
      </c>
      <c r="G50" s="25">
        <v>28000</v>
      </c>
    </row>
    <row r="51" spans="1:7" ht="18" customHeight="1" x14ac:dyDescent="0.25">
      <c r="A51" s="24" t="s">
        <v>123</v>
      </c>
      <c r="B51" s="25">
        <v>28250</v>
      </c>
      <c r="C51" s="25">
        <v>28749.99</v>
      </c>
      <c r="D51" s="25">
        <v>1425</v>
      </c>
      <c r="E51" s="25">
        <v>2880</v>
      </c>
      <c r="F51" s="25">
        <v>4305</v>
      </c>
      <c r="G51" s="25">
        <v>28500</v>
      </c>
    </row>
    <row r="52" spans="1:7" ht="18" customHeight="1" x14ac:dyDescent="0.25">
      <c r="A52" s="24" t="s">
        <v>124</v>
      </c>
      <c r="B52" s="25">
        <v>28750</v>
      </c>
      <c r="C52" s="25">
        <v>29249.99</v>
      </c>
      <c r="D52" s="25">
        <v>1450</v>
      </c>
      <c r="E52" s="25">
        <v>2930</v>
      </c>
      <c r="F52" s="25">
        <v>4380</v>
      </c>
      <c r="G52" s="25">
        <v>29000</v>
      </c>
    </row>
    <row r="53" spans="1:7" ht="18" customHeight="1" x14ac:dyDescent="0.25">
      <c r="A53" s="24" t="s">
        <v>125</v>
      </c>
      <c r="B53" s="25">
        <v>29250</v>
      </c>
      <c r="C53" s="25">
        <v>29749.99</v>
      </c>
      <c r="D53" s="25">
        <v>1475</v>
      </c>
      <c r="E53" s="25">
        <v>2980</v>
      </c>
      <c r="F53" s="25">
        <v>4455</v>
      </c>
      <c r="G53" s="25">
        <v>29500</v>
      </c>
    </row>
    <row r="54" spans="1:7" ht="18" customHeight="1" x14ac:dyDescent="0.25">
      <c r="A54" s="24" t="s">
        <v>126</v>
      </c>
      <c r="B54" s="22">
        <v>29750</v>
      </c>
      <c r="C54" s="22">
        <v>30249.99</v>
      </c>
      <c r="D54" s="22">
        <v>1500</v>
      </c>
      <c r="E54" s="22">
        <v>3030</v>
      </c>
      <c r="F54" s="22">
        <v>4530</v>
      </c>
      <c r="G54" s="22">
        <v>30000</v>
      </c>
    </row>
    <row r="55" spans="1:7" ht="18" customHeight="1" x14ac:dyDescent="0.25">
      <c r="A55" s="24" t="s">
        <v>127</v>
      </c>
      <c r="B55" s="25">
        <v>30250</v>
      </c>
      <c r="C55" s="25">
        <v>30749.99</v>
      </c>
      <c r="D55" s="25">
        <v>1525</v>
      </c>
      <c r="E55" s="25">
        <v>3080</v>
      </c>
      <c r="F55" s="25">
        <v>4605</v>
      </c>
      <c r="G55" s="25">
        <v>30500</v>
      </c>
    </row>
    <row r="56" spans="1:7" ht="18" customHeight="1" x14ac:dyDescent="0.25">
      <c r="A56" s="24" t="s">
        <v>128</v>
      </c>
      <c r="B56" s="22">
        <v>30750</v>
      </c>
      <c r="C56" s="22">
        <v>31249.99</v>
      </c>
      <c r="D56" s="22">
        <v>1550</v>
      </c>
      <c r="E56" s="22">
        <v>3130</v>
      </c>
      <c r="F56" s="22">
        <v>4680</v>
      </c>
      <c r="G56" s="22">
        <v>31000</v>
      </c>
    </row>
    <row r="57" spans="1:7" ht="18" customHeight="1" x14ac:dyDescent="0.25">
      <c r="A57" s="24" t="s">
        <v>129</v>
      </c>
      <c r="B57" s="25">
        <v>31250</v>
      </c>
      <c r="C57" s="25">
        <v>31749.99</v>
      </c>
      <c r="D57" s="25">
        <v>1575</v>
      </c>
      <c r="E57" s="25">
        <v>3180</v>
      </c>
      <c r="F57" s="25">
        <v>4755</v>
      </c>
      <c r="G57" s="25">
        <v>31500</v>
      </c>
    </row>
    <row r="58" spans="1:7" ht="18" customHeight="1" x14ac:dyDescent="0.25">
      <c r="A58" s="24" t="s">
        <v>130</v>
      </c>
      <c r="B58" s="22">
        <v>31750</v>
      </c>
      <c r="C58" s="22">
        <v>32249.99</v>
      </c>
      <c r="D58" s="22">
        <v>1600</v>
      </c>
      <c r="E58" s="22">
        <v>3230</v>
      </c>
      <c r="F58" s="22">
        <v>4830</v>
      </c>
      <c r="G58" s="22">
        <v>32000</v>
      </c>
    </row>
    <row r="59" spans="1:7" ht="18" customHeight="1" x14ac:dyDescent="0.25">
      <c r="A59" s="24" t="s">
        <v>131</v>
      </c>
      <c r="B59" s="25">
        <v>32250</v>
      </c>
      <c r="C59" s="25">
        <v>32749.99</v>
      </c>
      <c r="D59" s="25">
        <v>1625</v>
      </c>
      <c r="E59" s="25">
        <v>3280</v>
      </c>
      <c r="F59" s="25">
        <v>4905</v>
      </c>
      <c r="G59" s="25">
        <v>32500</v>
      </c>
    </row>
    <row r="60" spans="1:7" ht="18" customHeight="1" x14ac:dyDescent="0.25">
      <c r="A60" s="24" t="s">
        <v>132</v>
      </c>
      <c r="B60" s="22">
        <v>32750</v>
      </c>
      <c r="C60" s="22">
        <v>33249.99</v>
      </c>
      <c r="D60" s="22">
        <v>1650</v>
      </c>
      <c r="E60" s="22">
        <v>3330</v>
      </c>
      <c r="F60" s="22">
        <v>4980</v>
      </c>
      <c r="G60" s="22">
        <v>33000</v>
      </c>
    </row>
    <row r="61" spans="1:7" ht="18" customHeight="1" x14ac:dyDescent="0.25">
      <c r="A61" s="24" t="s">
        <v>133</v>
      </c>
      <c r="B61" s="25">
        <v>33250</v>
      </c>
      <c r="C61" s="25">
        <v>33749.99</v>
      </c>
      <c r="D61" s="25">
        <v>1675</v>
      </c>
      <c r="E61" s="25">
        <v>3380</v>
      </c>
      <c r="F61" s="25">
        <v>5055</v>
      </c>
      <c r="G61" s="25">
        <v>33500</v>
      </c>
    </row>
    <row r="62" spans="1:7" ht="18" customHeight="1" x14ac:dyDescent="0.25">
      <c r="A62" s="24" t="s">
        <v>134</v>
      </c>
      <c r="B62" s="22">
        <v>33750</v>
      </c>
      <c r="C62" s="22">
        <v>34249.99</v>
      </c>
      <c r="D62" s="22">
        <v>1700</v>
      </c>
      <c r="E62" s="22">
        <v>3430</v>
      </c>
      <c r="F62" s="22">
        <v>5130</v>
      </c>
      <c r="G62" s="22">
        <v>34000</v>
      </c>
    </row>
    <row r="63" spans="1:7" ht="18" customHeight="1" x14ac:dyDescent="0.25">
      <c r="A63" s="24" t="s">
        <v>135</v>
      </c>
      <c r="B63" s="25">
        <v>34250</v>
      </c>
      <c r="C63" s="25">
        <v>34749.99</v>
      </c>
      <c r="D63" s="25">
        <v>1725</v>
      </c>
      <c r="E63" s="25">
        <v>3480</v>
      </c>
      <c r="F63" s="25">
        <v>5205</v>
      </c>
      <c r="G63" s="25">
        <v>34500</v>
      </c>
    </row>
    <row r="64" spans="1:7" ht="18" customHeight="1" x14ac:dyDescent="0.25">
      <c r="A64" s="24" t="s">
        <v>136</v>
      </c>
      <c r="B64" s="22">
        <v>34750</v>
      </c>
      <c r="C64" s="22">
        <v>100000000</v>
      </c>
      <c r="D64" s="22">
        <v>1750</v>
      </c>
      <c r="E64" s="22">
        <v>3530</v>
      </c>
      <c r="F64" s="22">
        <v>5280</v>
      </c>
      <c r="G64" s="22">
        <v>35000</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zoomScaleNormal="100" workbookViewId="0">
      <selection activeCell="K21" sqref="K21"/>
    </sheetView>
  </sheetViews>
  <sheetFormatPr defaultColWidth="8.7109375" defaultRowHeight="15" x14ac:dyDescent="0.25"/>
  <cols>
    <col min="1" max="1" width="3" customWidth="1"/>
    <col min="2" max="3" width="25" customWidth="1"/>
    <col min="4" max="5" width="22" customWidth="1"/>
    <col min="6" max="6" width="35" customWidth="1"/>
  </cols>
  <sheetData>
    <row r="1" spans="1:6" ht="15.75" customHeight="1" x14ac:dyDescent="0.25">
      <c r="A1" s="10" t="s">
        <v>137</v>
      </c>
      <c r="B1" s="10"/>
      <c r="C1" s="10"/>
      <c r="D1" s="10"/>
      <c r="E1" s="10"/>
      <c r="F1" s="10"/>
    </row>
    <row r="2" spans="1:6" ht="15" customHeight="1" x14ac:dyDescent="0.25">
      <c r="A2" s="13" t="s">
        <v>138</v>
      </c>
      <c r="B2" s="13"/>
      <c r="C2" s="13"/>
      <c r="D2" s="13"/>
      <c r="E2" s="13"/>
      <c r="F2" s="13"/>
    </row>
    <row r="3" spans="1:6" ht="15" customHeight="1" x14ac:dyDescent="0.25">
      <c r="A3" s="20"/>
      <c r="B3" s="20" t="s">
        <v>55</v>
      </c>
      <c r="C3" s="20" t="s">
        <v>56</v>
      </c>
      <c r="D3" s="20" t="s">
        <v>139</v>
      </c>
      <c r="E3" s="20" t="s">
        <v>140</v>
      </c>
      <c r="F3" s="20" t="s">
        <v>60</v>
      </c>
    </row>
    <row r="4" spans="1:6" ht="21.75" customHeight="1" x14ac:dyDescent="0.25">
      <c r="A4" s="21" t="s">
        <v>61</v>
      </c>
      <c r="B4" s="22">
        <v>0</v>
      </c>
      <c r="C4" s="22">
        <v>9999.99</v>
      </c>
      <c r="D4" s="28" t="s">
        <v>141</v>
      </c>
      <c r="E4" s="28" t="s">
        <v>141</v>
      </c>
      <c r="F4" s="18" t="s">
        <v>142</v>
      </c>
    </row>
    <row r="5" spans="1:6" ht="21.75" customHeight="1" x14ac:dyDescent="0.25">
      <c r="A5" s="24" t="s">
        <v>63</v>
      </c>
      <c r="B5" s="25">
        <v>10000</v>
      </c>
      <c r="C5" s="25">
        <v>99999.99</v>
      </c>
      <c r="D5" s="29" t="s">
        <v>143</v>
      </c>
      <c r="E5" s="29" t="s">
        <v>143</v>
      </c>
      <c r="F5" s="27" t="s">
        <v>144</v>
      </c>
    </row>
    <row r="6" spans="1:6" ht="21.75" customHeight="1" x14ac:dyDescent="0.25">
      <c r="A6" s="21" t="s">
        <v>65</v>
      </c>
      <c r="B6" s="22">
        <v>100000</v>
      </c>
      <c r="C6" s="22">
        <v>9999999</v>
      </c>
      <c r="D6" s="28" t="s">
        <v>145</v>
      </c>
      <c r="E6" s="28" t="s">
        <v>145</v>
      </c>
      <c r="F6" s="18" t="s">
        <v>146</v>
      </c>
    </row>
    <row r="8" spans="1:6" ht="15" customHeight="1" x14ac:dyDescent="0.25">
      <c r="B8" s="9" t="s">
        <v>147</v>
      </c>
      <c r="C8" s="9"/>
      <c r="D8" s="9"/>
      <c r="E8" s="9"/>
      <c r="F8" s="9"/>
    </row>
  </sheetData>
  <mergeCells count="3">
    <mergeCell ref="A1:F1"/>
    <mergeCell ref="A2:F2"/>
    <mergeCell ref="B8:F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showGridLines="0" zoomScaleNormal="100" workbookViewId="0">
      <selection activeCell="B5" sqref="B5"/>
    </sheetView>
  </sheetViews>
  <sheetFormatPr defaultColWidth="8.7109375" defaultRowHeight="15" x14ac:dyDescent="0.25"/>
  <cols>
    <col min="1" max="1" width="3" customWidth="1"/>
    <col min="2" max="3" width="22" customWidth="1"/>
    <col min="4" max="5" width="18" customWidth="1"/>
    <col min="6" max="6" width="35" customWidth="1"/>
  </cols>
  <sheetData>
    <row r="1" spans="1:6" ht="15.75" customHeight="1" x14ac:dyDescent="0.25">
      <c r="A1" s="10" t="s">
        <v>148</v>
      </c>
      <c r="B1" s="10"/>
      <c r="C1" s="10"/>
      <c r="D1" s="10"/>
      <c r="E1" s="10"/>
      <c r="F1" s="10"/>
    </row>
    <row r="2" spans="1:6" ht="15" customHeight="1" x14ac:dyDescent="0.25">
      <c r="A2" s="13" t="s">
        <v>149</v>
      </c>
      <c r="B2" s="13"/>
      <c r="C2" s="13"/>
      <c r="D2" s="13"/>
      <c r="E2" s="13"/>
      <c r="F2" s="13"/>
    </row>
    <row r="3" spans="1:6" ht="15" customHeight="1" x14ac:dyDescent="0.25">
      <c r="A3" s="20"/>
      <c r="B3" s="20" t="s">
        <v>55</v>
      </c>
      <c r="C3" s="20" t="s">
        <v>56</v>
      </c>
      <c r="D3" s="20" t="s">
        <v>150</v>
      </c>
      <c r="E3" s="20" t="s">
        <v>151</v>
      </c>
      <c r="F3" s="20" t="s">
        <v>60</v>
      </c>
    </row>
    <row r="4" spans="1:6" ht="21.75" customHeight="1" x14ac:dyDescent="0.25">
      <c r="A4" s="21" t="s">
        <v>61</v>
      </c>
      <c r="B4" s="22">
        <v>1</v>
      </c>
      <c r="C4" s="22">
        <v>1499.99</v>
      </c>
      <c r="D4" s="28" t="s">
        <v>152</v>
      </c>
      <c r="E4" s="28" t="s">
        <v>153</v>
      </c>
      <c r="F4" s="18" t="s">
        <v>154</v>
      </c>
    </row>
    <row r="5" spans="1:6" ht="21.75" customHeight="1" x14ac:dyDescent="0.25">
      <c r="A5" s="24" t="s">
        <v>63</v>
      </c>
      <c r="B5" s="25">
        <v>1500</v>
      </c>
      <c r="C5" s="25">
        <v>9999999</v>
      </c>
      <c r="D5" s="29" t="s">
        <v>153</v>
      </c>
      <c r="E5" s="29" t="s">
        <v>153</v>
      </c>
      <c r="F5" s="27" t="s">
        <v>155</v>
      </c>
    </row>
    <row r="7" spans="1:6" ht="15" customHeight="1" x14ac:dyDescent="0.25">
      <c r="B7" s="9" t="s">
        <v>156</v>
      </c>
      <c r="C7" s="9"/>
      <c r="D7" s="9"/>
      <c r="E7" s="9"/>
      <c r="F7" s="9"/>
    </row>
  </sheetData>
  <mergeCells count="3">
    <mergeCell ref="A1:F1"/>
    <mergeCell ref="A2:F2"/>
    <mergeCell ref="B7:F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B1:E35"/>
  <sheetViews>
    <sheetView showGridLines="0" zoomScaleNormal="100" workbookViewId="0"/>
  </sheetViews>
  <sheetFormatPr defaultColWidth="8.7109375" defaultRowHeight="15" x14ac:dyDescent="0.25"/>
  <cols>
    <col min="1" max="1" width="4" customWidth="1"/>
    <col min="2" max="2" width="38" customWidth="1"/>
    <col min="3" max="3" width="20" customWidth="1"/>
    <col min="4" max="4" width="26" customWidth="1"/>
    <col min="5" max="5" width="16" customWidth="1"/>
  </cols>
  <sheetData>
    <row r="1" spans="2:5" ht="30" customHeight="1" x14ac:dyDescent="0.25">
      <c r="B1" s="8" t="s">
        <v>157</v>
      </c>
      <c r="C1" s="8"/>
      <c r="D1" s="8"/>
      <c r="E1" s="8"/>
    </row>
    <row r="2" spans="2:5" ht="15.75" customHeight="1" x14ac:dyDescent="0.25">
      <c r="B2" s="7" t="s">
        <v>158</v>
      </c>
      <c r="C2" s="7"/>
      <c r="D2" s="7"/>
      <c r="E2" s="7"/>
    </row>
    <row r="3" spans="2:5" ht="7.5" customHeight="1" x14ac:dyDescent="0.25"/>
    <row r="4" spans="2:5" ht="19.5" customHeight="1" x14ac:dyDescent="0.25">
      <c r="B4" s="6" t="s">
        <v>159</v>
      </c>
      <c r="C4" s="6"/>
      <c r="D4" s="6"/>
      <c r="E4" s="6"/>
    </row>
    <row r="5" spans="2:5" ht="18" customHeight="1" x14ac:dyDescent="0.25">
      <c r="B5" s="30" t="s">
        <v>160</v>
      </c>
      <c r="C5" s="30" t="s">
        <v>161</v>
      </c>
      <c r="D5" s="5" t="s">
        <v>162</v>
      </c>
      <c r="E5" s="5"/>
    </row>
    <row r="6" spans="2:5" ht="18" customHeight="1" x14ac:dyDescent="0.25">
      <c r="B6" s="31" t="s">
        <v>163</v>
      </c>
      <c r="C6" s="31" t="s">
        <v>164</v>
      </c>
      <c r="D6" s="4" t="s">
        <v>165</v>
      </c>
      <c r="E6" s="4"/>
    </row>
    <row r="7" spans="2:5" ht="18" customHeight="1" x14ac:dyDescent="0.25">
      <c r="B7" s="30" t="s">
        <v>166</v>
      </c>
      <c r="C7" s="30" t="s">
        <v>167</v>
      </c>
      <c r="D7" s="5" t="s">
        <v>168</v>
      </c>
      <c r="E7" s="5"/>
    </row>
    <row r="8" spans="2:5" ht="18" customHeight="1" x14ac:dyDescent="0.25">
      <c r="B8" s="31" t="s">
        <v>169</v>
      </c>
      <c r="C8" s="31" t="s">
        <v>170</v>
      </c>
      <c r="D8" s="4" t="s">
        <v>171</v>
      </c>
      <c r="E8" s="4"/>
    </row>
    <row r="9" spans="2:5" ht="18" customHeight="1" x14ac:dyDescent="0.25">
      <c r="B9" s="30" t="s">
        <v>172</v>
      </c>
      <c r="C9" s="30" t="s">
        <v>173</v>
      </c>
      <c r="D9" s="5" t="s">
        <v>174</v>
      </c>
      <c r="E9" s="5"/>
    </row>
    <row r="10" spans="2:5" ht="18" customHeight="1" x14ac:dyDescent="0.25">
      <c r="B10" s="31" t="s">
        <v>175</v>
      </c>
      <c r="C10" s="31" t="s">
        <v>176</v>
      </c>
      <c r="D10" s="4" t="s">
        <v>177</v>
      </c>
      <c r="E10" s="4"/>
    </row>
    <row r="11" spans="2:5" ht="7.5" customHeight="1" x14ac:dyDescent="0.25"/>
    <row r="12" spans="2:5" ht="19.5" customHeight="1" x14ac:dyDescent="0.25">
      <c r="B12" s="6" t="s">
        <v>178</v>
      </c>
      <c r="C12" s="6"/>
      <c r="D12" s="6"/>
      <c r="E12" s="6"/>
    </row>
    <row r="13" spans="2:5" ht="36" customHeight="1" x14ac:dyDescent="0.25">
      <c r="B13" s="32" t="s">
        <v>179</v>
      </c>
      <c r="C13" s="32" t="s">
        <v>180</v>
      </c>
      <c r="D13" s="32" t="s">
        <v>181</v>
      </c>
      <c r="E13" s="32" t="s">
        <v>182</v>
      </c>
    </row>
    <row r="14" spans="2:5" ht="18" customHeight="1" x14ac:dyDescent="0.25">
      <c r="B14" s="33" t="s">
        <v>183</v>
      </c>
      <c r="C14" s="34" t="s">
        <v>184</v>
      </c>
      <c r="D14" s="34" t="s">
        <v>185</v>
      </c>
      <c r="E14" s="35">
        <v>2</v>
      </c>
    </row>
    <row r="15" spans="2:5" ht="18" customHeight="1" x14ac:dyDescent="0.25">
      <c r="B15" s="30" t="s">
        <v>186</v>
      </c>
      <c r="C15" s="36" t="s">
        <v>187</v>
      </c>
      <c r="D15" s="36" t="s">
        <v>188</v>
      </c>
      <c r="E15" s="37">
        <v>1.3</v>
      </c>
    </row>
    <row r="16" spans="2:5" ht="18" customHeight="1" x14ac:dyDescent="0.25">
      <c r="B16" s="33" t="s">
        <v>189</v>
      </c>
      <c r="C16" s="34" t="s">
        <v>190</v>
      </c>
      <c r="D16" s="34" t="s">
        <v>185</v>
      </c>
      <c r="E16" s="35">
        <v>2</v>
      </c>
    </row>
    <row r="17" spans="2:5" ht="18" customHeight="1" x14ac:dyDescent="0.25">
      <c r="B17" s="33" t="s">
        <v>191</v>
      </c>
      <c r="C17" s="34" t="s">
        <v>192</v>
      </c>
      <c r="D17" s="34" t="s">
        <v>185</v>
      </c>
      <c r="E17" s="35">
        <v>2</v>
      </c>
    </row>
    <row r="18" spans="2:5" ht="18" customHeight="1" x14ac:dyDescent="0.25">
      <c r="B18" s="33" t="s">
        <v>193</v>
      </c>
      <c r="C18" s="34" t="s">
        <v>194</v>
      </c>
      <c r="D18" s="34" t="s">
        <v>185</v>
      </c>
      <c r="E18" s="35">
        <v>2</v>
      </c>
    </row>
    <row r="19" spans="2:5" ht="18" customHeight="1" x14ac:dyDescent="0.25">
      <c r="B19" s="30" t="s">
        <v>195</v>
      </c>
      <c r="C19" s="36" t="s">
        <v>196</v>
      </c>
      <c r="D19" s="36" t="s">
        <v>188</v>
      </c>
      <c r="E19" s="37">
        <v>1.3</v>
      </c>
    </row>
    <row r="20" spans="2:5" ht="18" customHeight="1" x14ac:dyDescent="0.25">
      <c r="B20" s="33" t="s">
        <v>197</v>
      </c>
      <c r="C20" s="34" t="s">
        <v>198</v>
      </c>
      <c r="D20" s="34" t="s">
        <v>185</v>
      </c>
      <c r="E20" s="35">
        <v>2</v>
      </c>
    </row>
    <row r="21" spans="2:5" ht="18" customHeight="1" x14ac:dyDescent="0.25">
      <c r="B21" s="33" t="s">
        <v>199</v>
      </c>
      <c r="C21" s="34" t="s">
        <v>200</v>
      </c>
      <c r="D21" s="34" t="s">
        <v>185</v>
      </c>
      <c r="E21" s="35">
        <v>2</v>
      </c>
    </row>
    <row r="22" spans="2:5" ht="18" customHeight="1" x14ac:dyDescent="0.25">
      <c r="B22" s="33" t="s">
        <v>201</v>
      </c>
      <c r="C22" s="34" t="s">
        <v>202</v>
      </c>
      <c r="D22" s="34" t="s">
        <v>185</v>
      </c>
      <c r="E22" s="35">
        <v>2</v>
      </c>
    </row>
    <row r="23" spans="2:5" ht="18" customHeight="1" x14ac:dyDescent="0.25">
      <c r="B23" s="33" t="s">
        <v>203</v>
      </c>
      <c r="C23" s="34" t="s">
        <v>204</v>
      </c>
      <c r="D23" s="34" t="s">
        <v>185</v>
      </c>
      <c r="E23" s="35">
        <v>2</v>
      </c>
    </row>
    <row r="24" spans="2:5" ht="18" customHeight="1" x14ac:dyDescent="0.25">
      <c r="B24" s="33" t="s">
        <v>205</v>
      </c>
      <c r="C24" s="34" t="s">
        <v>206</v>
      </c>
      <c r="D24" s="34" t="s">
        <v>185</v>
      </c>
      <c r="E24" s="35">
        <v>2</v>
      </c>
    </row>
    <row r="25" spans="2:5" ht="18" customHeight="1" x14ac:dyDescent="0.25">
      <c r="B25" s="30" t="s">
        <v>207</v>
      </c>
      <c r="C25" s="36" t="s">
        <v>208</v>
      </c>
      <c r="D25" s="36" t="s">
        <v>188</v>
      </c>
      <c r="E25" s="37">
        <v>1.3</v>
      </c>
    </row>
    <row r="26" spans="2:5" ht="18" customHeight="1" x14ac:dyDescent="0.25">
      <c r="B26" s="30" t="s">
        <v>209</v>
      </c>
      <c r="C26" s="36" t="s">
        <v>210</v>
      </c>
      <c r="D26" s="36" t="s">
        <v>188</v>
      </c>
      <c r="E26" s="37">
        <v>1.3</v>
      </c>
    </row>
    <row r="27" spans="2:5" ht="18" customHeight="1" x14ac:dyDescent="0.25">
      <c r="B27" s="30" t="s">
        <v>211</v>
      </c>
      <c r="C27" s="36" t="s">
        <v>212</v>
      </c>
      <c r="D27" s="36" t="s">
        <v>188</v>
      </c>
      <c r="E27" s="37">
        <v>1.3</v>
      </c>
    </row>
    <row r="28" spans="2:5" ht="18" customHeight="1" x14ac:dyDescent="0.25">
      <c r="B28" s="33" t="s">
        <v>213</v>
      </c>
      <c r="C28" s="34" t="s">
        <v>214</v>
      </c>
      <c r="D28" s="34" t="s">
        <v>185</v>
      </c>
      <c r="E28" s="35">
        <v>2</v>
      </c>
    </row>
    <row r="29" spans="2:5" ht="18" customHeight="1" x14ac:dyDescent="0.25">
      <c r="B29" s="30" t="s">
        <v>215</v>
      </c>
      <c r="C29" s="36" t="s">
        <v>216</v>
      </c>
      <c r="D29" s="36" t="s">
        <v>188</v>
      </c>
      <c r="E29" s="37">
        <v>1.3</v>
      </c>
    </row>
    <row r="30" spans="2:5" ht="18" customHeight="1" x14ac:dyDescent="0.25">
      <c r="B30" s="30" t="s">
        <v>217</v>
      </c>
      <c r="C30" s="36" t="s">
        <v>218</v>
      </c>
      <c r="D30" s="36" t="s">
        <v>188</v>
      </c>
      <c r="E30" s="37">
        <v>1.3</v>
      </c>
    </row>
    <row r="31" spans="2:5" ht="18" customHeight="1" x14ac:dyDescent="0.25">
      <c r="B31" s="33" t="s">
        <v>219</v>
      </c>
      <c r="C31" s="34" t="s">
        <v>220</v>
      </c>
      <c r="D31" s="34" t="s">
        <v>185</v>
      </c>
      <c r="E31" s="35">
        <v>2</v>
      </c>
    </row>
    <row r="32" spans="2:5" ht="18" customHeight="1" x14ac:dyDescent="0.25">
      <c r="B32" s="33" t="s">
        <v>221</v>
      </c>
      <c r="C32" s="34" t="s">
        <v>222</v>
      </c>
      <c r="D32" s="34" t="s">
        <v>185</v>
      </c>
      <c r="E32" s="35">
        <v>2</v>
      </c>
    </row>
    <row r="33" spans="2:5" ht="18" customHeight="1" x14ac:dyDescent="0.25">
      <c r="B33" s="30" t="s">
        <v>223</v>
      </c>
      <c r="C33" s="36" t="s">
        <v>224</v>
      </c>
      <c r="D33" s="36" t="s">
        <v>188</v>
      </c>
      <c r="E33" s="37">
        <v>1.3</v>
      </c>
    </row>
    <row r="35" spans="2:5" ht="15" customHeight="1" x14ac:dyDescent="0.25">
      <c r="B35" s="3" t="s">
        <v>225</v>
      </c>
      <c r="C35" s="3"/>
      <c r="D35" s="3"/>
      <c r="E35" s="3"/>
    </row>
  </sheetData>
  <mergeCells count="11">
    <mergeCell ref="B35:E35"/>
    <mergeCell ref="D7:E7"/>
    <mergeCell ref="D8:E8"/>
    <mergeCell ref="D9:E9"/>
    <mergeCell ref="D10:E10"/>
    <mergeCell ref="B12:E12"/>
    <mergeCell ref="B1:E1"/>
    <mergeCell ref="B2:E2"/>
    <mergeCell ref="B4:E4"/>
    <mergeCell ref="D5:E5"/>
    <mergeCell ref="D6:E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3"/>
  <sheetViews>
    <sheetView showGridLines="0" zoomScaleNormal="100" workbookViewId="0">
      <pane xSplit="2" ySplit="3" topLeftCell="C4" activePane="bottomRight" state="frozen"/>
      <selection pane="topRight" activeCell="C1" sqref="C1"/>
      <selection pane="bottomLeft" activeCell="A4" sqref="A4"/>
      <selection pane="bottomRight" activeCell="P8" sqref="P8"/>
    </sheetView>
  </sheetViews>
  <sheetFormatPr defaultColWidth="8.7109375" defaultRowHeight="15" x14ac:dyDescent="0.25"/>
  <cols>
    <col min="1" max="1" width="3" customWidth="1"/>
    <col min="2" max="2" width="10" customWidth="1"/>
    <col min="3" max="3" width="25" customWidth="1"/>
    <col min="4" max="4" width="15" customWidth="1"/>
    <col min="5" max="6" width="20" customWidth="1"/>
    <col min="7" max="8" width="18" customWidth="1"/>
    <col min="9" max="10" width="15" customWidth="1"/>
    <col min="11" max="12" width="18" customWidth="1"/>
    <col min="13" max="14" width="12" customWidth="1"/>
    <col min="15" max="15" width="18" customWidth="1"/>
    <col min="16" max="16" width="12" customWidth="1"/>
  </cols>
  <sheetData>
    <row r="1" spans="1:16" ht="17.25" customHeight="1" x14ac:dyDescent="0.25">
      <c r="A1" s="14" t="s">
        <v>226</v>
      </c>
      <c r="B1" s="14"/>
      <c r="C1" s="14"/>
      <c r="D1" s="14"/>
      <c r="E1" s="14"/>
      <c r="F1" s="14"/>
      <c r="G1" s="14"/>
      <c r="H1" s="14"/>
      <c r="I1" s="14"/>
      <c r="J1" s="14"/>
      <c r="K1" s="14"/>
      <c r="L1" s="14"/>
      <c r="M1" s="14"/>
      <c r="N1" s="14"/>
      <c r="O1" s="14"/>
      <c r="P1" s="14"/>
    </row>
    <row r="2" spans="1:16" ht="15" customHeight="1" x14ac:dyDescent="0.25">
      <c r="A2" s="13" t="s">
        <v>227</v>
      </c>
      <c r="B2" s="13"/>
      <c r="C2" s="13"/>
      <c r="D2" s="13"/>
      <c r="E2" s="13"/>
      <c r="F2" s="13"/>
      <c r="G2" s="13"/>
      <c r="H2" s="13"/>
      <c r="I2" s="13"/>
      <c r="J2" s="13"/>
      <c r="K2" s="13"/>
      <c r="L2" s="13"/>
      <c r="M2" s="13"/>
      <c r="N2" s="13"/>
      <c r="O2" s="13"/>
      <c r="P2" s="13"/>
    </row>
    <row r="3" spans="1:16" ht="36" customHeight="1" x14ac:dyDescent="0.25">
      <c r="A3" s="39"/>
      <c r="B3" s="39" t="s">
        <v>228</v>
      </c>
      <c r="C3" s="39" t="s">
        <v>229</v>
      </c>
      <c r="D3" s="39" t="s">
        <v>230</v>
      </c>
      <c r="E3" s="39" t="s">
        <v>231</v>
      </c>
      <c r="F3" s="39" t="s">
        <v>232</v>
      </c>
      <c r="G3" s="39" t="s">
        <v>233</v>
      </c>
      <c r="H3" s="39" t="s">
        <v>234</v>
      </c>
      <c r="I3" s="39" t="s">
        <v>235</v>
      </c>
      <c r="J3" s="39" t="s">
        <v>236</v>
      </c>
      <c r="K3" s="39" t="s">
        <v>237</v>
      </c>
      <c r="L3" s="39" t="s">
        <v>238</v>
      </c>
      <c r="M3" s="39" t="s">
        <v>239</v>
      </c>
      <c r="N3" s="39" t="s">
        <v>240</v>
      </c>
      <c r="O3" s="39" t="s">
        <v>241</v>
      </c>
      <c r="P3" s="39" t="s">
        <v>242</v>
      </c>
    </row>
    <row r="4" spans="1:16" ht="19.5" customHeight="1" x14ac:dyDescent="0.25">
      <c r="A4" s="40" t="s">
        <v>61</v>
      </c>
      <c r="B4" s="41" t="s">
        <v>243</v>
      </c>
      <c r="C4" s="42" t="s">
        <v>244</v>
      </c>
      <c r="D4" s="43" t="s">
        <v>245</v>
      </c>
      <c r="E4" s="43" t="s">
        <v>246</v>
      </c>
      <c r="F4" s="43" t="s">
        <v>247</v>
      </c>
      <c r="G4" s="44" t="s">
        <v>248</v>
      </c>
      <c r="H4" s="45">
        <v>30000</v>
      </c>
      <c r="I4" s="46">
        <f t="shared" ref="I4:I35" si="0">IFERROR(H4/22,"")</f>
        <v>1363.6363636363637</v>
      </c>
      <c r="J4" s="46">
        <f t="shared" ref="J4:J35" si="1">IFERROR(I4/8,"")</f>
        <v>170.45454545454547</v>
      </c>
      <c r="K4" s="41"/>
      <c r="L4" s="41"/>
      <c r="M4" s="41"/>
      <c r="N4" s="41"/>
      <c r="O4" s="41" t="s">
        <v>249</v>
      </c>
      <c r="P4" s="41" t="s">
        <v>412</v>
      </c>
    </row>
    <row r="5" spans="1:16" ht="19.5" customHeight="1" x14ac:dyDescent="0.25">
      <c r="A5" s="47" t="s">
        <v>63</v>
      </c>
      <c r="B5" s="41" t="s">
        <v>250</v>
      </c>
      <c r="C5" s="42" t="s">
        <v>251</v>
      </c>
      <c r="D5" s="43" t="s">
        <v>252</v>
      </c>
      <c r="E5" s="43" t="s">
        <v>253</v>
      </c>
      <c r="F5" s="43" t="s">
        <v>247</v>
      </c>
      <c r="G5" s="44" t="s">
        <v>254</v>
      </c>
      <c r="H5" s="45">
        <v>25000</v>
      </c>
      <c r="I5" s="46">
        <f t="shared" si="0"/>
        <v>1136.3636363636363</v>
      </c>
      <c r="J5" s="48">
        <f t="shared" si="1"/>
        <v>142.04545454545453</v>
      </c>
      <c r="K5" s="41"/>
      <c r="L5" s="41"/>
      <c r="M5" s="41"/>
      <c r="N5" s="41"/>
      <c r="O5" s="41" t="s">
        <v>249</v>
      </c>
      <c r="P5" s="41" t="s">
        <v>412</v>
      </c>
    </row>
    <row r="6" spans="1:16" ht="19.5" customHeight="1" x14ac:dyDescent="0.25">
      <c r="A6" s="40" t="s">
        <v>65</v>
      </c>
      <c r="B6" s="41" t="s">
        <v>255</v>
      </c>
      <c r="C6" s="42" t="s">
        <v>256</v>
      </c>
      <c r="D6" s="43" t="s">
        <v>257</v>
      </c>
      <c r="E6" s="43" t="s">
        <v>258</v>
      </c>
      <c r="F6" s="43" t="s">
        <v>247</v>
      </c>
      <c r="G6" s="44" t="s">
        <v>259</v>
      </c>
      <c r="H6" s="45">
        <v>35000</v>
      </c>
      <c r="I6" s="46">
        <f t="shared" si="0"/>
        <v>1590.909090909091</v>
      </c>
      <c r="J6" s="46">
        <f t="shared" si="1"/>
        <v>198.86363636363637</v>
      </c>
      <c r="K6" s="41"/>
      <c r="L6" s="41"/>
      <c r="M6" s="41"/>
      <c r="N6" s="41"/>
      <c r="O6" s="41" t="s">
        <v>249</v>
      </c>
      <c r="P6" s="41" t="s">
        <v>412</v>
      </c>
    </row>
    <row r="7" spans="1:16" ht="19.5" customHeight="1" x14ac:dyDescent="0.25">
      <c r="A7" s="47" t="s">
        <v>67</v>
      </c>
      <c r="B7" s="41" t="s">
        <v>260</v>
      </c>
      <c r="C7" s="42" t="s">
        <v>261</v>
      </c>
      <c r="D7" s="43" t="s">
        <v>262</v>
      </c>
      <c r="E7" s="43" t="s">
        <v>263</v>
      </c>
      <c r="F7" s="43" t="s">
        <v>264</v>
      </c>
      <c r="G7" s="44" t="s">
        <v>265</v>
      </c>
      <c r="H7" s="45">
        <v>18000</v>
      </c>
      <c r="I7" s="46">
        <f t="shared" si="0"/>
        <v>818.18181818181813</v>
      </c>
      <c r="J7" s="48">
        <f t="shared" si="1"/>
        <v>102.27272727272727</v>
      </c>
      <c r="K7" s="41"/>
      <c r="L7" s="41"/>
      <c r="M7" s="41"/>
      <c r="N7" s="41"/>
      <c r="O7" s="41" t="s">
        <v>249</v>
      </c>
      <c r="P7" s="41" t="s">
        <v>412</v>
      </c>
    </row>
    <row r="8" spans="1:16" ht="19.5" customHeight="1" x14ac:dyDescent="0.25">
      <c r="A8" s="40" t="s">
        <v>69</v>
      </c>
      <c r="B8" s="41" t="s">
        <v>266</v>
      </c>
      <c r="C8" s="42" t="s">
        <v>267</v>
      </c>
      <c r="D8" s="43" t="s">
        <v>268</v>
      </c>
      <c r="E8" s="43" t="s">
        <v>269</v>
      </c>
      <c r="F8" s="43" t="s">
        <v>247</v>
      </c>
      <c r="G8" s="44" t="s">
        <v>270</v>
      </c>
      <c r="H8" s="45">
        <v>16000</v>
      </c>
      <c r="I8" s="46">
        <f t="shared" si="0"/>
        <v>727.27272727272725</v>
      </c>
      <c r="J8" s="46">
        <f t="shared" si="1"/>
        <v>90.909090909090907</v>
      </c>
      <c r="K8" s="41"/>
      <c r="L8" s="41"/>
      <c r="M8" s="41"/>
      <c r="N8" s="41"/>
      <c r="O8" s="41" t="s">
        <v>249</v>
      </c>
      <c r="P8" s="41" t="s">
        <v>412</v>
      </c>
    </row>
    <row r="9" spans="1:16" ht="19.5" customHeight="1" x14ac:dyDescent="0.25">
      <c r="A9" s="47" t="s">
        <v>71</v>
      </c>
      <c r="B9" s="41" t="s">
        <v>271</v>
      </c>
      <c r="C9" s="42"/>
      <c r="D9" s="43"/>
      <c r="E9" s="43"/>
      <c r="F9" s="43"/>
      <c r="G9" s="44"/>
      <c r="H9" s="45"/>
      <c r="I9" s="46">
        <f t="shared" si="0"/>
        <v>0</v>
      </c>
      <c r="J9" s="48">
        <f t="shared" si="1"/>
        <v>0</v>
      </c>
      <c r="K9" s="41"/>
      <c r="L9" s="41"/>
      <c r="M9" s="41"/>
      <c r="N9" s="41"/>
      <c r="O9" s="41"/>
      <c r="P9" s="41"/>
    </row>
    <row r="10" spans="1:16" ht="19.5" customHeight="1" x14ac:dyDescent="0.25">
      <c r="A10" s="40" t="s">
        <v>82</v>
      </c>
      <c r="B10" s="41" t="s">
        <v>272</v>
      </c>
      <c r="C10" s="42"/>
      <c r="D10" s="43"/>
      <c r="E10" s="43"/>
      <c r="F10" s="43"/>
      <c r="G10" s="44"/>
      <c r="H10" s="45"/>
      <c r="I10" s="46">
        <f t="shared" si="0"/>
        <v>0</v>
      </c>
      <c r="J10" s="46">
        <f t="shared" si="1"/>
        <v>0</v>
      </c>
      <c r="K10" s="41"/>
      <c r="L10" s="41"/>
      <c r="M10" s="41"/>
      <c r="N10" s="41"/>
      <c r="O10" s="41"/>
      <c r="P10" s="41"/>
    </row>
    <row r="11" spans="1:16" ht="19.5" customHeight="1" x14ac:dyDescent="0.25">
      <c r="A11" s="47" t="s">
        <v>83</v>
      </c>
      <c r="B11" s="41" t="s">
        <v>273</v>
      </c>
      <c r="C11" s="42"/>
      <c r="D11" s="43"/>
      <c r="E11" s="43"/>
      <c r="F11" s="43"/>
      <c r="G11" s="44"/>
      <c r="H11" s="45"/>
      <c r="I11" s="46">
        <f t="shared" si="0"/>
        <v>0</v>
      </c>
      <c r="J11" s="48">
        <f t="shared" si="1"/>
        <v>0</v>
      </c>
      <c r="K11" s="41"/>
      <c r="L11" s="41"/>
      <c r="M11" s="41"/>
      <c r="N11" s="41"/>
      <c r="O11" s="41"/>
      <c r="P11" s="41"/>
    </row>
    <row r="12" spans="1:16" ht="19.5" customHeight="1" x14ac:dyDescent="0.25">
      <c r="A12" s="40" t="s">
        <v>84</v>
      </c>
      <c r="B12" s="41" t="s">
        <v>274</v>
      </c>
      <c r="C12" s="42"/>
      <c r="D12" s="43"/>
      <c r="E12" s="43"/>
      <c r="F12" s="43"/>
      <c r="G12" s="44"/>
      <c r="H12" s="45"/>
      <c r="I12" s="46">
        <f t="shared" si="0"/>
        <v>0</v>
      </c>
      <c r="J12" s="46">
        <f t="shared" si="1"/>
        <v>0</v>
      </c>
      <c r="K12" s="41"/>
      <c r="L12" s="41"/>
      <c r="M12" s="41"/>
      <c r="N12" s="41"/>
      <c r="O12" s="41"/>
      <c r="P12" s="41"/>
    </row>
    <row r="13" spans="1:16" ht="19.5" customHeight="1" x14ac:dyDescent="0.25">
      <c r="A13" s="47" t="s">
        <v>85</v>
      </c>
      <c r="B13" s="41" t="s">
        <v>275</v>
      </c>
      <c r="C13" s="42"/>
      <c r="D13" s="43"/>
      <c r="E13" s="43"/>
      <c r="F13" s="43"/>
      <c r="G13" s="44"/>
      <c r="H13" s="45"/>
      <c r="I13" s="46">
        <f t="shared" si="0"/>
        <v>0</v>
      </c>
      <c r="J13" s="48">
        <f t="shared" si="1"/>
        <v>0</v>
      </c>
      <c r="K13" s="41"/>
      <c r="L13" s="41"/>
      <c r="M13" s="41"/>
      <c r="N13" s="41"/>
      <c r="O13" s="41"/>
      <c r="P13" s="41"/>
    </row>
    <row r="14" spans="1:16" ht="19.5" customHeight="1" x14ac:dyDescent="0.25">
      <c r="A14" s="40" t="s">
        <v>86</v>
      </c>
      <c r="B14" s="41" t="s">
        <v>276</v>
      </c>
      <c r="C14" s="42"/>
      <c r="D14" s="43"/>
      <c r="E14" s="43"/>
      <c r="F14" s="43"/>
      <c r="G14" s="44"/>
      <c r="H14" s="45"/>
      <c r="I14" s="46">
        <f t="shared" si="0"/>
        <v>0</v>
      </c>
      <c r="J14" s="46">
        <f t="shared" si="1"/>
        <v>0</v>
      </c>
      <c r="K14" s="41"/>
      <c r="L14" s="41"/>
      <c r="M14" s="41"/>
      <c r="N14" s="41"/>
      <c r="O14" s="41"/>
      <c r="P14" s="41"/>
    </row>
    <row r="15" spans="1:16" ht="19.5" customHeight="1" x14ac:dyDescent="0.25">
      <c r="A15" s="47" t="s">
        <v>87</v>
      </c>
      <c r="B15" s="41" t="s">
        <v>277</v>
      </c>
      <c r="C15" s="42"/>
      <c r="D15" s="43"/>
      <c r="E15" s="43"/>
      <c r="F15" s="43"/>
      <c r="G15" s="44"/>
      <c r="H15" s="45"/>
      <c r="I15" s="46">
        <f t="shared" si="0"/>
        <v>0</v>
      </c>
      <c r="J15" s="48">
        <f t="shared" si="1"/>
        <v>0</v>
      </c>
      <c r="K15" s="41"/>
      <c r="L15" s="41"/>
      <c r="M15" s="41"/>
      <c r="N15" s="41"/>
      <c r="O15" s="41"/>
      <c r="P15" s="41"/>
    </row>
    <row r="16" spans="1:16" ht="19.5" customHeight="1" x14ac:dyDescent="0.25">
      <c r="A16" s="40" t="s">
        <v>88</v>
      </c>
      <c r="B16" s="41" t="s">
        <v>278</v>
      </c>
      <c r="C16" s="42"/>
      <c r="D16" s="43"/>
      <c r="E16" s="43"/>
      <c r="F16" s="43"/>
      <c r="G16" s="44"/>
      <c r="H16" s="45"/>
      <c r="I16" s="46">
        <f t="shared" si="0"/>
        <v>0</v>
      </c>
      <c r="J16" s="46">
        <f t="shared" si="1"/>
        <v>0</v>
      </c>
      <c r="K16" s="41"/>
      <c r="L16" s="41"/>
      <c r="M16" s="41"/>
      <c r="N16" s="41"/>
      <c r="O16" s="41"/>
      <c r="P16" s="41"/>
    </row>
    <row r="17" spans="1:16" ht="19.5" customHeight="1" x14ac:dyDescent="0.25">
      <c r="A17" s="47" t="s">
        <v>89</v>
      </c>
      <c r="B17" s="41" t="s">
        <v>279</v>
      </c>
      <c r="C17" s="42"/>
      <c r="D17" s="43"/>
      <c r="E17" s="43"/>
      <c r="F17" s="43"/>
      <c r="G17" s="44"/>
      <c r="H17" s="45"/>
      <c r="I17" s="46">
        <f t="shared" si="0"/>
        <v>0</v>
      </c>
      <c r="J17" s="48">
        <f t="shared" si="1"/>
        <v>0</v>
      </c>
      <c r="K17" s="41"/>
      <c r="L17" s="41"/>
      <c r="M17" s="41"/>
      <c r="N17" s="41"/>
      <c r="O17" s="41"/>
      <c r="P17" s="41"/>
    </row>
    <row r="18" spans="1:16" ht="19.5" customHeight="1" x14ac:dyDescent="0.25">
      <c r="A18" s="40" t="s">
        <v>90</v>
      </c>
      <c r="B18" s="41" t="s">
        <v>280</v>
      </c>
      <c r="C18" s="42"/>
      <c r="D18" s="43"/>
      <c r="E18" s="43"/>
      <c r="F18" s="43"/>
      <c r="G18" s="44"/>
      <c r="H18" s="45"/>
      <c r="I18" s="46">
        <f t="shared" si="0"/>
        <v>0</v>
      </c>
      <c r="J18" s="46">
        <f t="shared" si="1"/>
        <v>0</v>
      </c>
      <c r="K18" s="41"/>
      <c r="L18" s="41"/>
      <c r="M18" s="41"/>
      <c r="N18" s="41"/>
      <c r="O18" s="41"/>
      <c r="P18" s="41"/>
    </row>
    <row r="19" spans="1:16" ht="19.5" customHeight="1" x14ac:dyDescent="0.25">
      <c r="A19" s="47" t="s">
        <v>91</v>
      </c>
      <c r="B19" s="41" t="s">
        <v>281</v>
      </c>
      <c r="C19" s="42"/>
      <c r="D19" s="43"/>
      <c r="E19" s="43"/>
      <c r="F19" s="43"/>
      <c r="G19" s="44"/>
      <c r="H19" s="45"/>
      <c r="I19" s="46">
        <f t="shared" si="0"/>
        <v>0</v>
      </c>
      <c r="J19" s="48">
        <f t="shared" si="1"/>
        <v>0</v>
      </c>
      <c r="K19" s="41"/>
      <c r="L19" s="41"/>
      <c r="M19" s="41"/>
      <c r="N19" s="41"/>
      <c r="O19" s="41"/>
      <c r="P19" s="41"/>
    </row>
    <row r="20" spans="1:16" ht="19.5" customHeight="1" x14ac:dyDescent="0.25">
      <c r="A20" s="40" t="s">
        <v>92</v>
      </c>
      <c r="B20" s="41" t="s">
        <v>282</v>
      </c>
      <c r="C20" s="42"/>
      <c r="D20" s="43"/>
      <c r="E20" s="43"/>
      <c r="F20" s="43"/>
      <c r="G20" s="44"/>
      <c r="H20" s="45"/>
      <c r="I20" s="46">
        <f t="shared" si="0"/>
        <v>0</v>
      </c>
      <c r="J20" s="46">
        <f t="shared" si="1"/>
        <v>0</v>
      </c>
      <c r="K20" s="41"/>
      <c r="L20" s="41"/>
      <c r="M20" s="41"/>
      <c r="N20" s="41"/>
      <c r="O20" s="41"/>
      <c r="P20" s="41"/>
    </row>
    <row r="21" spans="1:16" ht="19.5" customHeight="1" x14ac:dyDescent="0.25">
      <c r="A21" s="47" t="s">
        <v>93</v>
      </c>
      <c r="B21" s="41" t="s">
        <v>283</v>
      </c>
      <c r="C21" s="42"/>
      <c r="D21" s="43"/>
      <c r="E21" s="43"/>
      <c r="F21" s="43"/>
      <c r="G21" s="44"/>
      <c r="H21" s="45"/>
      <c r="I21" s="46">
        <f t="shared" si="0"/>
        <v>0</v>
      </c>
      <c r="J21" s="48">
        <f t="shared" si="1"/>
        <v>0</v>
      </c>
      <c r="K21" s="41"/>
      <c r="L21" s="41"/>
      <c r="M21" s="41"/>
      <c r="N21" s="41"/>
      <c r="O21" s="41"/>
      <c r="P21" s="41"/>
    </row>
    <row r="22" spans="1:16" ht="19.5" customHeight="1" x14ac:dyDescent="0.25">
      <c r="A22" s="40" t="s">
        <v>94</v>
      </c>
      <c r="B22" s="41" t="s">
        <v>284</v>
      </c>
      <c r="C22" s="42"/>
      <c r="D22" s="43"/>
      <c r="E22" s="43"/>
      <c r="F22" s="43"/>
      <c r="G22" s="44"/>
      <c r="H22" s="45"/>
      <c r="I22" s="46">
        <f t="shared" si="0"/>
        <v>0</v>
      </c>
      <c r="J22" s="46">
        <f t="shared" si="1"/>
        <v>0</v>
      </c>
      <c r="K22" s="41"/>
      <c r="L22" s="41"/>
      <c r="M22" s="41"/>
      <c r="N22" s="41"/>
      <c r="O22" s="41"/>
      <c r="P22" s="41"/>
    </row>
    <row r="23" spans="1:16" ht="19.5" customHeight="1" x14ac:dyDescent="0.25">
      <c r="A23" s="47" t="s">
        <v>95</v>
      </c>
      <c r="B23" s="41" t="s">
        <v>285</v>
      </c>
      <c r="C23" s="42"/>
      <c r="D23" s="43"/>
      <c r="E23" s="43"/>
      <c r="F23" s="43"/>
      <c r="G23" s="44"/>
      <c r="H23" s="45"/>
      <c r="I23" s="46">
        <f t="shared" si="0"/>
        <v>0</v>
      </c>
      <c r="J23" s="48">
        <f t="shared" si="1"/>
        <v>0</v>
      </c>
      <c r="K23" s="41"/>
      <c r="L23" s="41"/>
      <c r="M23" s="41"/>
      <c r="N23" s="41"/>
      <c r="O23" s="41"/>
      <c r="P23" s="41"/>
    </row>
    <row r="24" spans="1:16" ht="19.5" customHeight="1" x14ac:dyDescent="0.25">
      <c r="A24" s="40" t="s">
        <v>96</v>
      </c>
      <c r="B24" s="41" t="s">
        <v>286</v>
      </c>
      <c r="C24" s="42"/>
      <c r="D24" s="43"/>
      <c r="E24" s="43"/>
      <c r="F24" s="43"/>
      <c r="G24" s="44"/>
      <c r="H24" s="45"/>
      <c r="I24" s="46">
        <f t="shared" si="0"/>
        <v>0</v>
      </c>
      <c r="J24" s="46">
        <f t="shared" si="1"/>
        <v>0</v>
      </c>
      <c r="K24" s="41"/>
      <c r="L24" s="41"/>
      <c r="M24" s="41"/>
      <c r="N24" s="41"/>
      <c r="O24" s="41"/>
      <c r="P24" s="41"/>
    </row>
    <row r="25" spans="1:16" ht="19.5" customHeight="1" x14ac:dyDescent="0.25">
      <c r="A25" s="47" t="s">
        <v>97</v>
      </c>
      <c r="B25" s="41" t="s">
        <v>287</v>
      </c>
      <c r="C25" s="42"/>
      <c r="D25" s="43"/>
      <c r="E25" s="43"/>
      <c r="F25" s="43"/>
      <c r="G25" s="44"/>
      <c r="H25" s="45"/>
      <c r="I25" s="46">
        <f t="shared" si="0"/>
        <v>0</v>
      </c>
      <c r="J25" s="48">
        <f t="shared" si="1"/>
        <v>0</v>
      </c>
      <c r="K25" s="41"/>
      <c r="L25" s="41"/>
      <c r="M25" s="41"/>
      <c r="N25" s="41"/>
      <c r="O25" s="41"/>
      <c r="P25" s="41"/>
    </row>
    <row r="26" spans="1:16" ht="19.5" customHeight="1" x14ac:dyDescent="0.25">
      <c r="A26" s="40" t="s">
        <v>98</v>
      </c>
      <c r="B26" s="41" t="s">
        <v>288</v>
      </c>
      <c r="C26" s="42"/>
      <c r="D26" s="43"/>
      <c r="E26" s="43"/>
      <c r="F26" s="43"/>
      <c r="G26" s="44"/>
      <c r="H26" s="45"/>
      <c r="I26" s="46">
        <f t="shared" si="0"/>
        <v>0</v>
      </c>
      <c r="J26" s="46">
        <f t="shared" si="1"/>
        <v>0</v>
      </c>
      <c r="K26" s="41"/>
      <c r="L26" s="41"/>
      <c r="M26" s="41"/>
      <c r="N26" s="41"/>
      <c r="O26" s="41"/>
      <c r="P26" s="41"/>
    </row>
    <row r="27" spans="1:16" ht="19.5" customHeight="1" x14ac:dyDescent="0.25">
      <c r="A27" s="47" t="s">
        <v>99</v>
      </c>
      <c r="B27" s="41" t="s">
        <v>289</v>
      </c>
      <c r="C27" s="42"/>
      <c r="D27" s="43"/>
      <c r="E27" s="43"/>
      <c r="F27" s="43"/>
      <c r="G27" s="44"/>
      <c r="H27" s="45"/>
      <c r="I27" s="46">
        <f t="shared" si="0"/>
        <v>0</v>
      </c>
      <c r="J27" s="48">
        <f t="shared" si="1"/>
        <v>0</v>
      </c>
      <c r="K27" s="41"/>
      <c r="L27" s="41"/>
      <c r="M27" s="41"/>
      <c r="N27" s="41"/>
      <c r="O27" s="41"/>
      <c r="P27" s="41"/>
    </row>
    <row r="28" spans="1:16" ht="19.5" customHeight="1" x14ac:dyDescent="0.25">
      <c r="A28" s="40" t="s">
        <v>100</v>
      </c>
      <c r="B28" s="41" t="s">
        <v>290</v>
      </c>
      <c r="C28" s="42"/>
      <c r="D28" s="43"/>
      <c r="E28" s="43"/>
      <c r="F28" s="43"/>
      <c r="G28" s="44"/>
      <c r="H28" s="45"/>
      <c r="I28" s="46">
        <f t="shared" si="0"/>
        <v>0</v>
      </c>
      <c r="J28" s="46">
        <f t="shared" si="1"/>
        <v>0</v>
      </c>
      <c r="K28" s="41"/>
      <c r="L28" s="41"/>
      <c r="M28" s="41"/>
      <c r="N28" s="41"/>
      <c r="O28" s="41"/>
      <c r="P28" s="41"/>
    </row>
    <row r="29" spans="1:16" ht="19.5" customHeight="1" x14ac:dyDescent="0.25">
      <c r="A29" s="47" t="s">
        <v>101</v>
      </c>
      <c r="B29" s="41" t="s">
        <v>291</v>
      </c>
      <c r="C29" s="42"/>
      <c r="D29" s="43"/>
      <c r="E29" s="43"/>
      <c r="F29" s="43"/>
      <c r="G29" s="44"/>
      <c r="H29" s="45"/>
      <c r="I29" s="46">
        <f t="shared" si="0"/>
        <v>0</v>
      </c>
      <c r="J29" s="48">
        <f t="shared" si="1"/>
        <v>0</v>
      </c>
      <c r="K29" s="41"/>
      <c r="L29" s="41"/>
      <c r="M29" s="41"/>
      <c r="N29" s="41"/>
      <c r="O29" s="41"/>
      <c r="P29" s="41"/>
    </row>
    <row r="30" spans="1:16" ht="19.5" customHeight="1" x14ac:dyDescent="0.25">
      <c r="A30" s="40" t="s">
        <v>102</v>
      </c>
      <c r="B30" s="41" t="s">
        <v>292</v>
      </c>
      <c r="C30" s="42"/>
      <c r="D30" s="43"/>
      <c r="E30" s="43"/>
      <c r="F30" s="43"/>
      <c r="G30" s="44"/>
      <c r="H30" s="45"/>
      <c r="I30" s="46">
        <f t="shared" si="0"/>
        <v>0</v>
      </c>
      <c r="J30" s="46">
        <f t="shared" si="1"/>
        <v>0</v>
      </c>
      <c r="K30" s="41"/>
      <c r="L30" s="41"/>
      <c r="M30" s="41"/>
      <c r="N30" s="41"/>
      <c r="O30" s="41"/>
      <c r="P30" s="41"/>
    </row>
    <row r="31" spans="1:16" ht="19.5" customHeight="1" x14ac:dyDescent="0.25">
      <c r="A31" s="47" t="s">
        <v>103</v>
      </c>
      <c r="B31" s="41" t="s">
        <v>293</v>
      </c>
      <c r="C31" s="42"/>
      <c r="D31" s="43"/>
      <c r="E31" s="43"/>
      <c r="F31" s="43"/>
      <c r="G31" s="44"/>
      <c r="H31" s="45"/>
      <c r="I31" s="46">
        <f t="shared" si="0"/>
        <v>0</v>
      </c>
      <c r="J31" s="48">
        <f t="shared" si="1"/>
        <v>0</v>
      </c>
      <c r="K31" s="41"/>
      <c r="L31" s="41"/>
      <c r="M31" s="41"/>
      <c r="N31" s="41"/>
      <c r="O31" s="41"/>
      <c r="P31" s="41"/>
    </row>
    <row r="32" spans="1:16" ht="19.5" customHeight="1" x14ac:dyDescent="0.25">
      <c r="A32" s="40" t="s">
        <v>104</v>
      </c>
      <c r="B32" s="41" t="s">
        <v>294</v>
      </c>
      <c r="C32" s="42"/>
      <c r="D32" s="43"/>
      <c r="E32" s="43"/>
      <c r="F32" s="43"/>
      <c r="G32" s="44"/>
      <c r="H32" s="45"/>
      <c r="I32" s="46">
        <f t="shared" si="0"/>
        <v>0</v>
      </c>
      <c r="J32" s="46">
        <f t="shared" si="1"/>
        <v>0</v>
      </c>
      <c r="K32" s="41"/>
      <c r="L32" s="41"/>
      <c r="M32" s="41"/>
      <c r="N32" s="41"/>
      <c r="O32" s="41"/>
      <c r="P32" s="41"/>
    </row>
    <row r="33" spans="1:16" ht="19.5" customHeight="1" x14ac:dyDescent="0.25">
      <c r="A33" s="47" t="s">
        <v>105</v>
      </c>
      <c r="B33" s="41" t="s">
        <v>295</v>
      </c>
      <c r="C33" s="42"/>
      <c r="D33" s="43"/>
      <c r="E33" s="43"/>
      <c r="F33" s="43"/>
      <c r="G33" s="44"/>
      <c r="H33" s="45"/>
      <c r="I33" s="46">
        <f t="shared" si="0"/>
        <v>0</v>
      </c>
      <c r="J33" s="48">
        <f t="shared" si="1"/>
        <v>0</v>
      </c>
      <c r="K33" s="41"/>
      <c r="L33" s="41"/>
      <c r="M33" s="41"/>
      <c r="N33" s="41"/>
      <c r="O33" s="41"/>
      <c r="P33" s="41"/>
    </row>
    <row r="34" spans="1:16" ht="19.5" customHeight="1" x14ac:dyDescent="0.25">
      <c r="A34" s="40" t="s">
        <v>106</v>
      </c>
      <c r="B34" s="41" t="s">
        <v>296</v>
      </c>
      <c r="C34" s="42"/>
      <c r="D34" s="43"/>
      <c r="E34" s="43"/>
      <c r="F34" s="43"/>
      <c r="G34" s="44"/>
      <c r="H34" s="45"/>
      <c r="I34" s="46">
        <f t="shared" si="0"/>
        <v>0</v>
      </c>
      <c r="J34" s="46">
        <f t="shared" si="1"/>
        <v>0</v>
      </c>
      <c r="K34" s="41"/>
      <c r="L34" s="41"/>
      <c r="M34" s="41"/>
      <c r="N34" s="41"/>
      <c r="O34" s="41"/>
      <c r="P34" s="41"/>
    </row>
    <row r="35" spans="1:16" ht="19.5" customHeight="1" x14ac:dyDescent="0.25">
      <c r="A35" s="47" t="s">
        <v>107</v>
      </c>
      <c r="B35" s="41" t="s">
        <v>297</v>
      </c>
      <c r="C35" s="42"/>
      <c r="D35" s="43"/>
      <c r="E35" s="43"/>
      <c r="F35" s="43"/>
      <c r="G35" s="44"/>
      <c r="H35" s="45"/>
      <c r="I35" s="46">
        <f t="shared" si="0"/>
        <v>0</v>
      </c>
      <c r="J35" s="48">
        <f t="shared" si="1"/>
        <v>0</v>
      </c>
      <c r="K35" s="41"/>
      <c r="L35" s="41"/>
      <c r="M35" s="41"/>
      <c r="N35" s="41"/>
      <c r="O35" s="41"/>
      <c r="P35" s="41"/>
    </row>
    <row r="36" spans="1:16" ht="19.5" customHeight="1" x14ac:dyDescent="0.25">
      <c r="A36" s="40" t="s">
        <v>108</v>
      </c>
      <c r="B36" s="41" t="s">
        <v>298</v>
      </c>
      <c r="C36" s="42"/>
      <c r="D36" s="43"/>
      <c r="E36" s="43"/>
      <c r="F36" s="43"/>
      <c r="G36" s="44"/>
      <c r="H36" s="45"/>
      <c r="I36" s="46">
        <f t="shared" ref="I36:I67" si="2">IFERROR(H36/22,"")</f>
        <v>0</v>
      </c>
      <c r="J36" s="46">
        <f t="shared" ref="J36:J67" si="3">IFERROR(I36/8,"")</f>
        <v>0</v>
      </c>
      <c r="K36" s="41"/>
      <c r="L36" s="41"/>
      <c r="M36" s="41"/>
      <c r="N36" s="41"/>
      <c r="O36" s="41"/>
      <c r="P36" s="41"/>
    </row>
    <row r="37" spans="1:16" ht="19.5" customHeight="1" x14ac:dyDescent="0.25">
      <c r="A37" s="47" t="s">
        <v>109</v>
      </c>
      <c r="B37" s="41" t="s">
        <v>299</v>
      </c>
      <c r="C37" s="42"/>
      <c r="D37" s="43"/>
      <c r="E37" s="43"/>
      <c r="F37" s="43"/>
      <c r="G37" s="44"/>
      <c r="H37" s="45"/>
      <c r="I37" s="46">
        <f t="shared" si="2"/>
        <v>0</v>
      </c>
      <c r="J37" s="48">
        <f t="shared" si="3"/>
        <v>0</v>
      </c>
      <c r="K37" s="41"/>
      <c r="L37" s="41"/>
      <c r="M37" s="41"/>
      <c r="N37" s="41"/>
      <c r="O37" s="41"/>
      <c r="P37" s="41"/>
    </row>
    <row r="38" spans="1:16" ht="19.5" customHeight="1" x14ac:dyDescent="0.25">
      <c r="A38" s="40" t="s">
        <v>110</v>
      </c>
      <c r="B38" s="41" t="s">
        <v>300</v>
      </c>
      <c r="C38" s="42"/>
      <c r="D38" s="43"/>
      <c r="E38" s="43"/>
      <c r="F38" s="43"/>
      <c r="G38" s="44"/>
      <c r="H38" s="45"/>
      <c r="I38" s="46">
        <f t="shared" si="2"/>
        <v>0</v>
      </c>
      <c r="J38" s="46">
        <f t="shared" si="3"/>
        <v>0</v>
      </c>
      <c r="K38" s="41"/>
      <c r="L38" s="41"/>
      <c r="M38" s="41"/>
      <c r="N38" s="41"/>
      <c r="O38" s="41"/>
      <c r="P38" s="41"/>
    </row>
    <row r="39" spans="1:16" ht="19.5" customHeight="1" x14ac:dyDescent="0.25">
      <c r="A39" s="47" t="s">
        <v>111</v>
      </c>
      <c r="B39" s="41" t="s">
        <v>301</v>
      </c>
      <c r="C39" s="42"/>
      <c r="D39" s="43"/>
      <c r="E39" s="43"/>
      <c r="F39" s="43"/>
      <c r="G39" s="44"/>
      <c r="H39" s="45"/>
      <c r="I39" s="46">
        <f t="shared" si="2"/>
        <v>0</v>
      </c>
      <c r="J39" s="48">
        <f t="shared" si="3"/>
        <v>0</v>
      </c>
      <c r="K39" s="41"/>
      <c r="L39" s="41"/>
      <c r="M39" s="41"/>
      <c r="N39" s="41"/>
      <c r="O39" s="41"/>
      <c r="P39" s="41"/>
    </row>
    <row r="40" spans="1:16" ht="19.5" customHeight="1" x14ac:dyDescent="0.25">
      <c r="A40" s="40" t="s">
        <v>112</v>
      </c>
      <c r="B40" s="41" t="s">
        <v>302</v>
      </c>
      <c r="C40" s="42"/>
      <c r="D40" s="43"/>
      <c r="E40" s="43"/>
      <c r="F40" s="43"/>
      <c r="G40" s="44"/>
      <c r="H40" s="45"/>
      <c r="I40" s="46">
        <f t="shared" si="2"/>
        <v>0</v>
      </c>
      <c r="J40" s="46">
        <f t="shared" si="3"/>
        <v>0</v>
      </c>
      <c r="K40" s="41"/>
      <c r="L40" s="41"/>
      <c r="M40" s="41"/>
      <c r="N40" s="41"/>
      <c r="O40" s="41"/>
      <c r="P40" s="41"/>
    </row>
    <row r="41" spans="1:16" ht="19.5" customHeight="1" x14ac:dyDescent="0.25">
      <c r="A41" s="47" t="s">
        <v>113</v>
      </c>
      <c r="B41" s="41" t="s">
        <v>303</v>
      </c>
      <c r="C41" s="42"/>
      <c r="D41" s="43"/>
      <c r="E41" s="43"/>
      <c r="F41" s="43"/>
      <c r="G41" s="44"/>
      <c r="H41" s="45"/>
      <c r="I41" s="46">
        <f t="shared" si="2"/>
        <v>0</v>
      </c>
      <c r="J41" s="48">
        <f t="shared" si="3"/>
        <v>0</v>
      </c>
      <c r="K41" s="41"/>
      <c r="L41" s="41"/>
      <c r="M41" s="41"/>
      <c r="N41" s="41"/>
      <c r="O41" s="41"/>
      <c r="P41" s="41"/>
    </row>
    <row r="42" spans="1:16" ht="19.5" customHeight="1" x14ac:dyDescent="0.25">
      <c r="A42" s="40" t="s">
        <v>114</v>
      </c>
      <c r="B42" s="41" t="s">
        <v>304</v>
      </c>
      <c r="C42" s="42"/>
      <c r="D42" s="43"/>
      <c r="E42" s="43"/>
      <c r="F42" s="43"/>
      <c r="G42" s="44"/>
      <c r="H42" s="45"/>
      <c r="I42" s="46">
        <f t="shared" si="2"/>
        <v>0</v>
      </c>
      <c r="J42" s="46">
        <f t="shared" si="3"/>
        <v>0</v>
      </c>
      <c r="K42" s="41"/>
      <c r="L42" s="41"/>
      <c r="M42" s="41"/>
      <c r="N42" s="41"/>
      <c r="O42" s="41"/>
      <c r="P42" s="41"/>
    </row>
    <row r="43" spans="1:16" ht="19.5" customHeight="1" x14ac:dyDescent="0.25">
      <c r="A43" s="47" t="s">
        <v>115</v>
      </c>
      <c r="B43" s="41" t="s">
        <v>305</v>
      </c>
      <c r="C43" s="42"/>
      <c r="D43" s="43"/>
      <c r="E43" s="43"/>
      <c r="F43" s="43"/>
      <c r="G43" s="44"/>
      <c r="H43" s="45"/>
      <c r="I43" s="46">
        <f t="shared" si="2"/>
        <v>0</v>
      </c>
      <c r="J43" s="48">
        <f t="shared" si="3"/>
        <v>0</v>
      </c>
      <c r="K43" s="41"/>
      <c r="L43" s="41"/>
      <c r="M43" s="41"/>
      <c r="N43" s="41"/>
      <c r="O43" s="41"/>
      <c r="P43" s="41"/>
    </row>
    <row r="44" spans="1:16" ht="19.5" customHeight="1" x14ac:dyDescent="0.25">
      <c r="A44" s="40" t="s">
        <v>116</v>
      </c>
      <c r="B44" s="41" t="s">
        <v>306</v>
      </c>
      <c r="C44" s="42"/>
      <c r="D44" s="43"/>
      <c r="E44" s="43"/>
      <c r="F44" s="43"/>
      <c r="G44" s="44"/>
      <c r="H44" s="45"/>
      <c r="I44" s="46">
        <f t="shared" si="2"/>
        <v>0</v>
      </c>
      <c r="J44" s="46">
        <f t="shared" si="3"/>
        <v>0</v>
      </c>
      <c r="K44" s="41"/>
      <c r="L44" s="41"/>
      <c r="M44" s="41"/>
      <c r="N44" s="41"/>
      <c r="O44" s="41"/>
      <c r="P44" s="41"/>
    </row>
    <row r="45" spans="1:16" ht="19.5" customHeight="1" x14ac:dyDescent="0.25">
      <c r="A45" s="47" t="s">
        <v>117</v>
      </c>
      <c r="B45" s="41" t="s">
        <v>307</v>
      </c>
      <c r="C45" s="42"/>
      <c r="D45" s="43"/>
      <c r="E45" s="43"/>
      <c r="F45" s="43"/>
      <c r="G45" s="44"/>
      <c r="H45" s="45"/>
      <c r="I45" s="46">
        <f t="shared" si="2"/>
        <v>0</v>
      </c>
      <c r="J45" s="48">
        <f t="shared" si="3"/>
        <v>0</v>
      </c>
      <c r="K45" s="41"/>
      <c r="L45" s="41"/>
      <c r="M45" s="41"/>
      <c r="N45" s="41"/>
      <c r="O45" s="41"/>
      <c r="P45" s="41"/>
    </row>
    <row r="46" spans="1:16" ht="19.5" customHeight="1" x14ac:dyDescent="0.25">
      <c r="A46" s="40" t="s">
        <v>118</v>
      </c>
      <c r="B46" s="41" t="s">
        <v>308</v>
      </c>
      <c r="C46" s="42"/>
      <c r="D46" s="43"/>
      <c r="E46" s="43"/>
      <c r="F46" s="43"/>
      <c r="G46" s="44"/>
      <c r="H46" s="45"/>
      <c r="I46" s="46">
        <f t="shared" si="2"/>
        <v>0</v>
      </c>
      <c r="J46" s="46">
        <f t="shared" si="3"/>
        <v>0</v>
      </c>
      <c r="K46" s="41"/>
      <c r="L46" s="41"/>
      <c r="M46" s="41"/>
      <c r="N46" s="41"/>
      <c r="O46" s="41"/>
      <c r="P46" s="41"/>
    </row>
    <row r="47" spans="1:16" ht="19.5" customHeight="1" x14ac:dyDescent="0.25">
      <c r="A47" s="47" t="s">
        <v>119</v>
      </c>
      <c r="B47" s="41" t="s">
        <v>309</v>
      </c>
      <c r="C47" s="42"/>
      <c r="D47" s="43"/>
      <c r="E47" s="43"/>
      <c r="F47" s="43"/>
      <c r="G47" s="44"/>
      <c r="H47" s="45"/>
      <c r="I47" s="46">
        <f t="shared" si="2"/>
        <v>0</v>
      </c>
      <c r="J47" s="48">
        <f t="shared" si="3"/>
        <v>0</v>
      </c>
      <c r="K47" s="41"/>
      <c r="L47" s="41"/>
      <c r="M47" s="41"/>
      <c r="N47" s="41"/>
      <c r="O47" s="41"/>
      <c r="P47" s="41"/>
    </row>
    <row r="48" spans="1:16" ht="19.5" customHeight="1" x14ac:dyDescent="0.25">
      <c r="A48" s="40" t="s">
        <v>120</v>
      </c>
      <c r="B48" s="41" t="s">
        <v>310</v>
      </c>
      <c r="C48" s="42"/>
      <c r="D48" s="43"/>
      <c r="E48" s="43"/>
      <c r="F48" s="43"/>
      <c r="G48" s="44"/>
      <c r="H48" s="45"/>
      <c r="I48" s="46">
        <f t="shared" si="2"/>
        <v>0</v>
      </c>
      <c r="J48" s="46">
        <f t="shared" si="3"/>
        <v>0</v>
      </c>
      <c r="K48" s="41"/>
      <c r="L48" s="41"/>
      <c r="M48" s="41"/>
      <c r="N48" s="41"/>
      <c r="O48" s="41"/>
      <c r="P48" s="41"/>
    </row>
    <row r="49" spans="1:16" ht="19.5" customHeight="1" x14ac:dyDescent="0.25">
      <c r="A49" s="47" t="s">
        <v>121</v>
      </c>
      <c r="B49" s="41" t="s">
        <v>311</v>
      </c>
      <c r="C49" s="42"/>
      <c r="D49" s="43"/>
      <c r="E49" s="43"/>
      <c r="F49" s="43"/>
      <c r="G49" s="44"/>
      <c r="H49" s="45"/>
      <c r="I49" s="46">
        <f t="shared" si="2"/>
        <v>0</v>
      </c>
      <c r="J49" s="48">
        <f t="shared" si="3"/>
        <v>0</v>
      </c>
      <c r="K49" s="41"/>
      <c r="L49" s="41"/>
      <c r="M49" s="41"/>
      <c r="N49" s="41"/>
      <c r="O49" s="41"/>
      <c r="P49" s="41"/>
    </row>
    <row r="50" spans="1:16" ht="19.5" customHeight="1" x14ac:dyDescent="0.25">
      <c r="A50" s="40" t="s">
        <v>122</v>
      </c>
      <c r="B50" s="41" t="s">
        <v>312</v>
      </c>
      <c r="C50" s="42"/>
      <c r="D50" s="43"/>
      <c r="E50" s="43"/>
      <c r="F50" s="43"/>
      <c r="G50" s="44"/>
      <c r="H50" s="45"/>
      <c r="I50" s="46">
        <f t="shared" si="2"/>
        <v>0</v>
      </c>
      <c r="J50" s="46">
        <f t="shared" si="3"/>
        <v>0</v>
      </c>
      <c r="K50" s="41"/>
      <c r="L50" s="41"/>
      <c r="M50" s="41"/>
      <c r="N50" s="41"/>
      <c r="O50" s="41"/>
      <c r="P50" s="41"/>
    </row>
    <row r="51" spans="1:16" ht="19.5" customHeight="1" x14ac:dyDescent="0.25">
      <c r="A51" s="47" t="s">
        <v>123</v>
      </c>
      <c r="B51" s="41" t="s">
        <v>313</v>
      </c>
      <c r="C51" s="42"/>
      <c r="D51" s="43"/>
      <c r="E51" s="43"/>
      <c r="F51" s="43"/>
      <c r="G51" s="44"/>
      <c r="H51" s="45"/>
      <c r="I51" s="46">
        <f t="shared" si="2"/>
        <v>0</v>
      </c>
      <c r="J51" s="48">
        <f t="shared" si="3"/>
        <v>0</v>
      </c>
      <c r="K51" s="41"/>
      <c r="L51" s="41"/>
      <c r="M51" s="41"/>
      <c r="N51" s="41"/>
      <c r="O51" s="41"/>
      <c r="P51" s="41"/>
    </row>
    <row r="52" spans="1:16" ht="19.5" customHeight="1" x14ac:dyDescent="0.25">
      <c r="A52" s="40" t="s">
        <v>124</v>
      </c>
      <c r="B52" s="41" t="s">
        <v>314</v>
      </c>
      <c r="C52" s="42"/>
      <c r="D52" s="43"/>
      <c r="E52" s="43"/>
      <c r="F52" s="43"/>
      <c r="G52" s="44"/>
      <c r="H52" s="45"/>
      <c r="I52" s="46">
        <f t="shared" si="2"/>
        <v>0</v>
      </c>
      <c r="J52" s="46">
        <f t="shared" si="3"/>
        <v>0</v>
      </c>
      <c r="K52" s="41"/>
      <c r="L52" s="41"/>
      <c r="M52" s="41"/>
      <c r="N52" s="41"/>
      <c r="O52" s="41"/>
      <c r="P52" s="41"/>
    </row>
    <row r="53" spans="1:16" ht="19.5" customHeight="1" x14ac:dyDescent="0.25">
      <c r="A53" s="47" t="s">
        <v>125</v>
      </c>
      <c r="B53" s="41" t="s">
        <v>315</v>
      </c>
      <c r="C53" s="42"/>
      <c r="D53" s="43"/>
      <c r="E53" s="43"/>
      <c r="F53" s="43"/>
      <c r="G53" s="44"/>
      <c r="H53" s="45"/>
      <c r="I53" s="46">
        <f t="shared" si="2"/>
        <v>0</v>
      </c>
      <c r="J53" s="48">
        <f t="shared" si="3"/>
        <v>0</v>
      </c>
      <c r="K53" s="41"/>
      <c r="L53" s="41"/>
      <c r="M53" s="41"/>
      <c r="N53" s="41"/>
      <c r="O53" s="41"/>
      <c r="P53" s="41"/>
    </row>
  </sheetData>
  <mergeCells count="2">
    <mergeCell ref="A1:P1"/>
    <mergeCell ref="A2:P2"/>
  </mergeCells>
  <dataValidations count="3">
    <dataValidation type="list" sqref="F4:F53" xr:uid="{00000000-0002-0000-0600-000000000000}">
      <formula1>"Regular,Probationary,Contractual,Part-Time"</formula1>
      <formula2>0</formula2>
    </dataValidation>
    <dataValidation type="list" sqref="O4:O53" xr:uid="{00000000-0002-0000-0600-000001000000}">
      <formula1>"S,ME,S1,S2,S3,ME1,ME2,ME3,ME4"</formula1>
      <formula2>0</formula2>
    </dataValidation>
    <dataValidation type="list" sqref="P4:P53" xr:uid="{00000000-0002-0000-0600-000002000000}">
      <formula1>"Semi-Monthly,Monthly,Weekly"</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6B75"/>
  </sheetPr>
  <dimension ref="B1:Q59"/>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8.7109375" defaultRowHeight="15" x14ac:dyDescent="0.25"/>
  <cols>
    <col min="1" max="1" width="4" customWidth="1"/>
    <col min="2" max="2" width="10" customWidth="1"/>
    <col min="3" max="3" width="24" customWidth="1"/>
    <col min="4" max="4" width="16" customWidth="1"/>
    <col min="5" max="10" width="11" customWidth="1"/>
    <col min="11" max="14" width="13" customWidth="1"/>
    <col min="15" max="17" width="15" customWidth="1"/>
  </cols>
  <sheetData>
    <row r="1" spans="2:17" ht="30" customHeight="1" x14ac:dyDescent="0.25">
      <c r="B1" s="2" t="s">
        <v>316</v>
      </c>
      <c r="C1" s="2"/>
      <c r="D1" s="2"/>
      <c r="E1" s="2"/>
      <c r="F1" s="2"/>
      <c r="G1" s="2"/>
      <c r="H1" s="2"/>
      <c r="I1" s="2"/>
      <c r="J1" s="2"/>
      <c r="K1" s="2"/>
      <c r="L1" s="2"/>
      <c r="M1" s="2"/>
      <c r="N1" s="2"/>
      <c r="O1" s="2"/>
      <c r="P1" s="2"/>
      <c r="Q1" s="2"/>
    </row>
    <row r="2" spans="2:17" ht="15.75" customHeight="1" x14ac:dyDescent="0.25">
      <c r="B2" s="1" t="s">
        <v>317</v>
      </c>
      <c r="C2" s="1"/>
      <c r="D2" s="1"/>
      <c r="E2" s="1"/>
      <c r="F2" s="1"/>
      <c r="G2" s="1"/>
      <c r="H2" s="1"/>
      <c r="I2" s="1"/>
      <c r="J2" s="1"/>
      <c r="K2" s="1"/>
      <c r="L2" s="1"/>
      <c r="M2" s="1"/>
      <c r="N2" s="1"/>
      <c r="O2" s="1"/>
      <c r="P2" s="1"/>
      <c r="Q2" s="1"/>
    </row>
    <row r="3" spans="2:17" ht="21.75" customHeight="1" x14ac:dyDescent="0.25">
      <c r="B3" s="49" t="s">
        <v>318</v>
      </c>
      <c r="C3" s="50" t="str">
        <f>Payroll_Register!C3</f>
        <v>1st Half</v>
      </c>
      <c r="D3" s="49" t="s">
        <v>319</v>
      </c>
      <c r="E3" s="50" t="str">
        <f>Payroll_Register!E3</f>
        <v>January</v>
      </c>
      <c r="F3" s="49" t="s">
        <v>320</v>
      </c>
      <c r="G3" s="50">
        <f>Payroll_Register!G3</f>
        <v>2024</v>
      </c>
    </row>
    <row r="4" spans="2:17" ht="18" customHeight="1" x14ac:dyDescent="0.25">
      <c r="B4" s="99" t="s">
        <v>321</v>
      </c>
      <c r="C4" s="99"/>
      <c r="D4" s="99"/>
      <c r="E4" s="100" t="s">
        <v>322</v>
      </c>
      <c r="F4" s="100"/>
      <c r="G4" s="100"/>
      <c r="H4" s="101" t="s">
        <v>323</v>
      </c>
      <c r="I4" s="101"/>
      <c r="J4" s="101"/>
      <c r="K4" s="101"/>
      <c r="L4" s="101"/>
      <c r="M4" s="101"/>
      <c r="N4" s="101"/>
      <c r="O4" s="101"/>
      <c r="P4" s="101"/>
      <c r="Q4" s="101"/>
    </row>
    <row r="5" spans="2:17" ht="18" customHeight="1" x14ac:dyDescent="0.25">
      <c r="B5" s="102" t="s">
        <v>324</v>
      </c>
      <c r="C5" s="102"/>
      <c r="D5" s="102"/>
      <c r="E5" s="103" t="s">
        <v>325</v>
      </c>
      <c r="F5" s="103"/>
      <c r="G5" s="103"/>
      <c r="H5" s="104" t="s">
        <v>326</v>
      </c>
      <c r="I5" s="104"/>
      <c r="J5" s="104"/>
      <c r="K5" s="105" t="s">
        <v>327</v>
      </c>
      <c r="L5" s="105"/>
      <c r="M5" s="106" t="s">
        <v>328</v>
      </c>
      <c r="N5" s="106"/>
      <c r="O5" s="103" t="s">
        <v>329</v>
      </c>
      <c r="P5" s="103"/>
      <c r="Q5" s="51" t="s">
        <v>330</v>
      </c>
    </row>
    <row r="6" spans="2:17" ht="42" customHeight="1" x14ac:dyDescent="0.25">
      <c r="B6" s="52" t="s">
        <v>331</v>
      </c>
      <c r="C6" s="52" t="s">
        <v>332</v>
      </c>
      <c r="D6" s="52" t="s">
        <v>333</v>
      </c>
      <c r="E6" s="53" t="s">
        <v>334</v>
      </c>
      <c r="F6" s="53" t="s">
        <v>335</v>
      </c>
      <c r="G6" s="53" t="s">
        <v>336</v>
      </c>
      <c r="H6" s="32" t="s">
        <v>337</v>
      </c>
      <c r="I6" s="32" t="s">
        <v>338</v>
      </c>
      <c r="J6" s="32" t="s">
        <v>339</v>
      </c>
      <c r="K6" s="54" t="s">
        <v>340</v>
      </c>
      <c r="L6" s="54" t="s">
        <v>341</v>
      </c>
      <c r="M6" s="55" t="s">
        <v>342</v>
      </c>
      <c r="N6" s="55" t="s">
        <v>343</v>
      </c>
      <c r="O6" s="53" t="s">
        <v>344</v>
      </c>
      <c r="P6" s="53" t="s">
        <v>345</v>
      </c>
      <c r="Q6" s="53" t="s">
        <v>346</v>
      </c>
    </row>
    <row r="7" spans="2:17" ht="18" customHeight="1" x14ac:dyDescent="0.25">
      <c r="B7" s="56">
        <v>1</v>
      </c>
      <c r="C7" s="57" t="str">
        <f>IFERROR(Employee_Master!C4,"")</f>
        <v>Juan dela Cruz</v>
      </c>
      <c r="D7" s="58" t="str">
        <f>IFERROR(IF(Employee_Master!P4="","—",Employee_Master!P4&amp;" ("&amp;IF(IFERROR(Employee_Master!P4,"")="Weekly",5,IF(IFERROR(Employee_Master!P4,"")="Monthly",22,11))&amp;" days)"),"—")</f>
        <v>Semi-Monthly (11 days)</v>
      </c>
      <c r="E7" s="59">
        <v>0</v>
      </c>
      <c r="F7" s="59">
        <v>0</v>
      </c>
      <c r="G7" s="59">
        <v>0</v>
      </c>
      <c r="H7" s="59">
        <v>0</v>
      </c>
      <c r="I7" s="59">
        <v>0</v>
      </c>
      <c r="J7" s="59">
        <v>0</v>
      </c>
      <c r="K7" s="59">
        <v>0</v>
      </c>
      <c r="L7" s="59">
        <v>0</v>
      </c>
      <c r="M7" s="60">
        <f t="shared" ref="M7:M38" si="0">IFERROR(E7+F7+G7,0)</f>
        <v>0</v>
      </c>
      <c r="N7" s="60">
        <f t="shared" ref="N7:N38" si="1">IFERROR(K7+L7,0)</f>
        <v>0</v>
      </c>
      <c r="O7" s="61">
        <f>IFERROR(M7*IFERROR(Employee_Master!I4,0),0)</f>
        <v>0</v>
      </c>
      <c r="P7" s="61">
        <f>IFERROR(N7*IFERROR(Employee_Master!J4,0),0)</f>
        <v>0</v>
      </c>
      <c r="Q7" s="62">
        <f t="shared" ref="Q7:Q38" si="2">IFERROR(O7+P7,0)</f>
        <v>0</v>
      </c>
    </row>
    <row r="8" spans="2:17" ht="18" customHeight="1" x14ac:dyDescent="0.25">
      <c r="B8" s="63">
        <v>2</v>
      </c>
      <c r="C8" s="64" t="str">
        <f>IFERROR(Employee_Master!C5,"")</f>
        <v>Maria Santos</v>
      </c>
      <c r="D8" s="58" t="str">
        <f>IFERROR(IF(Employee_Master!P5="","—",Employee_Master!P5&amp;" ("&amp;IF(IFERROR(Employee_Master!P5,"")="Weekly",5,IF(IFERROR(Employee_Master!P5,"")="Monthly",22,11))&amp;" days)"),"—")</f>
        <v>Semi-Monthly (11 days)</v>
      </c>
      <c r="E8" s="59">
        <v>0</v>
      </c>
      <c r="F8" s="59">
        <v>0</v>
      </c>
      <c r="G8" s="59">
        <v>0</v>
      </c>
      <c r="H8" s="59">
        <v>0</v>
      </c>
      <c r="I8" s="59">
        <v>0</v>
      </c>
      <c r="J8" s="59">
        <v>0</v>
      </c>
      <c r="K8" s="59">
        <v>0</v>
      </c>
      <c r="L8" s="59">
        <v>0</v>
      </c>
      <c r="M8" s="60">
        <f t="shared" si="0"/>
        <v>0</v>
      </c>
      <c r="N8" s="60">
        <f t="shared" si="1"/>
        <v>0</v>
      </c>
      <c r="O8" s="61">
        <f>IFERROR(M8*IFERROR(Employee_Master!I5,0),0)</f>
        <v>0</v>
      </c>
      <c r="P8" s="61">
        <f>IFERROR(N8*IFERROR(Employee_Master!J5,0),0)</f>
        <v>0</v>
      </c>
      <c r="Q8" s="62">
        <f t="shared" si="2"/>
        <v>0</v>
      </c>
    </row>
    <row r="9" spans="2:17" ht="18" customHeight="1" x14ac:dyDescent="0.25">
      <c r="B9" s="56">
        <v>3</v>
      </c>
      <c r="C9" s="57" t="str">
        <f>IFERROR(Employee_Master!C6,"")</f>
        <v>Pedro Reyes</v>
      </c>
      <c r="D9" s="58" t="str">
        <f>IFERROR(IF(Employee_Master!P6="","—",Employee_Master!P6&amp;" ("&amp;IF(IFERROR(Employee_Master!P6,"")="Weekly",5,IF(IFERROR(Employee_Master!P6,"")="Monthly",22,11))&amp;" days)"),"—")</f>
        <v>Semi-Monthly (11 days)</v>
      </c>
      <c r="E9" s="59">
        <v>0</v>
      </c>
      <c r="F9" s="59">
        <v>0</v>
      </c>
      <c r="G9" s="59">
        <v>0</v>
      </c>
      <c r="H9" s="59">
        <v>0</v>
      </c>
      <c r="I9" s="59">
        <v>0</v>
      </c>
      <c r="J9" s="59">
        <v>0</v>
      </c>
      <c r="K9" s="59">
        <v>0</v>
      </c>
      <c r="L9" s="59">
        <v>0</v>
      </c>
      <c r="M9" s="60">
        <f t="shared" si="0"/>
        <v>0</v>
      </c>
      <c r="N9" s="60">
        <f t="shared" si="1"/>
        <v>0</v>
      </c>
      <c r="O9" s="61">
        <f>IFERROR(M9*IFERROR(Employee_Master!I6,0),0)</f>
        <v>0</v>
      </c>
      <c r="P9" s="61">
        <f>IFERROR(N9*IFERROR(Employee_Master!J6,0),0)</f>
        <v>0</v>
      </c>
      <c r="Q9" s="62">
        <f t="shared" si="2"/>
        <v>0</v>
      </c>
    </row>
    <row r="10" spans="2:17" ht="18" customHeight="1" x14ac:dyDescent="0.25">
      <c r="B10" s="63">
        <v>4</v>
      </c>
      <c r="C10" s="64" t="str">
        <f>IFERROR(Employee_Master!C7,"")</f>
        <v>Ana Gonzales</v>
      </c>
      <c r="D10" s="58" t="str">
        <f>IFERROR(IF(Employee_Master!P7="","—",Employee_Master!P7&amp;" ("&amp;IF(IFERROR(Employee_Master!P7,"")="Weekly",5,IF(IFERROR(Employee_Master!P7,"")="Monthly",22,11))&amp;" days)"),"—")</f>
        <v>Semi-Monthly (11 days)</v>
      </c>
      <c r="E10" s="59">
        <v>0</v>
      </c>
      <c r="F10" s="59">
        <v>0</v>
      </c>
      <c r="G10" s="59">
        <v>0</v>
      </c>
      <c r="H10" s="59">
        <v>0</v>
      </c>
      <c r="I10" s="59">
        <v>0</v>
      </c>
      <c r="J10" s="59">
        <v>0</v>
      </c>
      <c r="K10" s="59">
        <v>0</v>
      </c>
      <c r="L10" s="59">
        <v>0</v>
      </c>
      <c r="M10" s="60">
        <f t="shared" si="0"/>
        <v>0</v>
      </c>
      <c r="N10" s="60">
        <f t="shared" si="1"/>
        <v>0</v>
      </c>
      <c r="O10" s="61">
        <f>IFERROR(M10*IFERROR(Employee_Master!I7,0),0)</f>
        <v>0</v>
      </c>
      <c r="P10" s="61">
        <f>IFERROR(N10*IFERROR(Employee_Master!J7,0),0)</f>
        <v>0</v>
      </c>
      <c r="Q10" s="62">
        <f t="shared" si="2"/>
        <v>0</v>
      </c>
    </row>
    <row r="11" spans="2:17" ht="18" customHeight="1" x14ac:dyDescent="0.25">
      <c r="B11" s="56">
        <v>5</v>
      </c>
      <c r="C11" s="57" t="str">
        <f>IFERROR(Employee_Master!C8,"")</f>
        <v>Jose Bautista</v>
      </c>
      <c r="D11" s="58" t="str">
        <f>IFERROR(IF(Employee_Master!P8="","—",Employee_Master!P8&amp;" ("&amp;IF(IFERROR(Employee_Master!P8,"")="Weekly",5,IF(IFERROR(Employee_Master!P8,"")="Monthly",22,11))&amp;" days)"),"—")</f>
        <v>Semi-Monthly (11 days)</v>
      </c>
      <c r="E11" s="59">
        <v>0</v>
      </c>
      <c r="F11" s="59">
        <v>0</v>
      </c>
      <c r="G11" s="59">
        <v>0</v>
      </c>
      <c r="H11" s="59">
        <v>0</v>
      </c>
      <c r="I11" s="59">
        <v>0</v>
      </c>
      <c r="J11" s="59">
        <v>0</v>
      </c>
      <c r="K11" s="59">
        <v>0</v>
      </c>
      <c r="L11" s="59">
        <v>0</v>
      </c>
      <c r="M11" s="60">
        <f t="shared" si="0"/>
        <v>0</v>
      </c>
      <c r="N11" s="60">
        <f t="shared" si="1"/>
        <v>0</v>
      </c>
      <c r="O11" s="61">
        <f>IFERROR(M11*IFERROR(Employee_Master!I8,0),0)</f>
        <v>0</v>
      </c>
      <c r="P11" s="61">
        <f>IFERROR(N11*IFERROR(Employee_Master!J8,0),0)</f>
        <v>0</v>
      </c>
      <c r="Q11" s="62">
        <f t="shared" si="2"/>
        <v>0</v>
      </c>
    </row>
    <row r="12" spans="2:17" ht="18" customHeight="1" x14ac:dyDescent="0.25">
      <c r="B12" s="63">
        <v>6</v>
      </c>
      <c r="C12" s="64">
        <f>IFERROR(Employee_Master!C9,"")</f>
        <v>0</v>
      </c>
      <c r="D12" s="58" t="str">
        <f>IFERROR(IF(Employee_Master!P9="","—",Employee_Master!P9&amp;" ("&amp;IF(IFERROR(Employee_Master!P9,"")="Weekly",5,IF(IFERROR(Employee_Master!P9,"")="Monthly",22,11))&amp;" days)"),"—")</f>
        <v>—</v>
      </c>
      <c r="E12" s="59">
        <v>0</v>
      </c>
      <c r="F12" s="59">
        <v>0</v>
      </c>
      <c r="G12" s="59">
        <v>0</v>
      </c>
      <c r="H12" s="59">
        <v>0</v>
      </c>
      <c r="I12" s="59">
        <v>0</v>
      </c>
      <c r="J12" s="59">
        <v>0</v>
      </c>
      <c r="K12" s="59">
        <v>0</v>
      </c>
      <c r="L12" s="59">
        <v>0</v>
      </c>
      <c r="M12" s="60">
        <f t="shared" si="0"/>
        <v>0</v>
      </c>
      <c r="N12" s="60">
        <f t="shared" si="1"/>
        <v>0</v>
      </c>
      <c r="O12" s="61">
        <f>IFERROR(M12*IFERROR(Employee_Master!I9,0),0)</f>
        <v>0</v>
      </c>
      <c r="P12" s="61">
        <f>IFERROR(N12*IFERROR(Employee_Master!J9,0),0)</f>
        <v>0</v>
      </c>
      <c r="Q12" s="62">
        <f t="shared" si="2"/>
        <v>0</v>
      </c>
    </row>
    <row r="13" spans="2:17" ht="18" customHeight="1" x14ac:dyDescent="0.25">
      <c r="B13" s="56">
        <v>7</v>
      </c>
      <c r="C13" s="57">
        <f>IFERROR(Employee_Master!C10,"")</f>
        <v>0</v>
      </c>
      <c r="D13" s="58" t="str">
        <f>IFERROR(IF(Employee_Master!P10="","—",Employee_Master!P10&amp;" ("&amp;IF(IFERROR(Employee_Master!P10,"")="Weekly",5,IF(IFERROR(Employee_Master!P10,"")="Monthly",22,11))&amp;" days)"),"—")</f>
        <v>—</v>
      </c>
      <c r="E13" s="59">
        <v>0</v>
      </c>
      <c r="F13" s="59">
        <v>0</v>
      </c>
      <c r="G13" s="59">
        <v>0</v>
      </c>
      <c r="H13" s="59">
        <v>0</v>
      </c>
      <c r="I13" s="59">
        <v>0</v>
      </c>
      <c r="J13" s="59">
        <v>0</v>
      </c>
      <c r="K13" s="59">
        <v>0</v>
      </c>
      <c r="L13" s="59">
        <v>0</v>
      </c>
      <c r="M13" s="60">
        <f t="shared" si="0"/>
        <v>0</v>
      </c>
      <c r="N13" s="60">
        <f t="shared" si="1"/>
        <v>0</v>
      </c>
      <c r="O13" s="61">
        <f>IFERROR(M13*IFERROR(Employee_Master!I10,0),0)</f>
        <v>0</v>
      </c>
      <c r="P13" s="61">
        <f>IFERROR(N13*IFERROR(Employee_Master!J10,0),0)</f>
        <v>0</v>
      </c>
      <c r="Q13" s="62">
        <f t="shared" si="2"/>
        <v>0</v>
      </c>
    </row>
    <row r="14" spans="2:17" ht="18" customHeight="1" x14ac:dyDescent="0.25">
      <c r="B14" s="63">
        <v>8</v>
      </c>
      <c r="C14" s="64">
        <f>IFERROR(Employee_Master!C11,"")</f>
        <v>0</v>
      </c>
      <c r="D14" s="58" t="str">
        <f>IFERROR(IF(Employee_Master!P11="","—",Employee_Master!P11&amp;" ("&amp;IF(IFERROR(Employee_Master!P11,"")="Weekly",5,IF(IFERROR(Employee_Master!P11,"")="Monthly",22,11))&amp;" days)"),"—")</f>
        <v>—</v>
      </c>
      <c r="E14" s="59">
        <v>0</v>
      </c>
      <c r="F14" s="59">
        <v>0</v>
      </c>
      <c r="G14" s="59">
        <v>0</v>
      </c>
      <c r="H14" s="59">
        <v>0</v>
      </c>
      <c r="I14" s="59">
        <v>0</v>
      </c>
      <c r="J14" s="59">
        <v>0</v>
      </c>
      <c r="K14" s="59">
        <v>0</v>
      </c>
      <c r="L14" s="59">
        <v>0</v>
      </c>
      <c r="M14" s="60">
        <f t="shared" si="0"/>
        <v>0</v>
      </c>
      <c r="N14" s="60">
        <f t="shared" si="1"/>
        <v>0</v>
      </c>
      <c r="O14" s="61">
        <f>IFERROR(M14*IFERROR(Employee_Master!I11,0),0)</f>
        <v>0</v>
      </c>
      <c r="P14" s="61">
        <f>IFERROR(N14*IFERROR(Employee_Master!J11,0),0)</f>
        <v>0</v>
      </c>
      <c r="Q14" s="62">
        <f t="shared" si="2"/>
        <v>0</v>
      </c>
    </row>
    <row r="15" spans="2:17" ht="18" customHeight="1" x14ac:dyDescent="0.25">
      <c r="B15" s="56">
        <v>9</v>
      </c>
      <c r="C15" s="57">
        <f>IFERROR(Employee_Master!C12,"")</f>
        <v>0</v>
      </c>
      <c r="D15" s="58" t="str">
        <f>IFERROR(IF(Employee_Master!P12="","—",Employee_Master!P12&amp;" ("&amp;IF(IFERROR(Employee_Master!P12,"")="Weekly",5,IF(IFERROR(Employee_Master!P12,"")="Monthly",22,11))&amp;" days)"),"—")</f>
        <v>—</v>
      </c>
      <c r="E15" s="59">
        <v>0</v>
      </c>
      <c r="F15" s="59">
        <v>0</v>
      </c>
      <c r="G15" s="59">
        <v>0</v>
      </c>
      <c r="H15" s="59">
        <v>0</v>
      </c>
      <c r="I15" s="59">
        <v>0</v>
      </c>
      <c r="J15" s="59">
        <v>0</v>
      </c>
      <c r="K15" s="59">
        <v>0</v>
      </c>
      <c r="L15" s="59">
        <v>0</v>
      </c>
      <c r="M15" s="60">
        <f t="shared" si="0"/>
        <v>0</v>
      </c>
      <c r="N15" s="60">
        <f t="shared" si="1"/>
        <v>0</v>
      </c>
      <c r="O15" s="61">
        <f>IFERROR(M15*IFERROR(Employee_Master!I12,0),0)</f>
        <v>0</v>
      </c>
      <c r="P15" s="61">
        <f>IFERROR(N15*IFERROR(Employee_Master!J12,0),0)</f>
        <v>0</v>
      </c>
      <c r="Q15" s="62">
        <f t="shared" si="2"/>
        <v>0</v>
      </c>
    </row>
    <row r="16" spans="2:17" ht="18" customHeight="1" x14ac:dyDescent="0.25">
      <c r="B16" s="63">
        <v>10</v>
      </c>
      <c r="C16" s="64">
        <f>IFERROR(Employee_Master!C13,"")</f>
        <v>0</v>
      </c>
      <c r="D16" s="58" t="str">
        <f>IFERROR(IF(Employee_Master!P13="","—",Employee_Master!P13&amp;" ("&amp;IF(IFERROR(Employee_Master!P13,"")="Weekly",5,IF(IFERROR(Employee_Master!P13,"")="Monthly",22,11))&amp;" days)"),"—")</f>
        <v>—</v>
      </c>
      <c r="E16" s="59">
        <v>0</v>
      </c>
      <c r="F16" s="59">
        <v>0</v>
      </c>
      <c r="G16" s="59">
        <v>0</v>
      </c>
      <c r="H16" s="59">
        <v>0</v>
      </c>
      <c r="I16" s="59">
        <v>0</v>
      </c>
      <c r="J16" s="59">
        <v>0</v>
      </c>
      <c r="K16" s="59">
        <v>0</v>
      </c>
      <c r="L16" s="59">
        <v>0</v>
      </c>
      <c r="M16" s="60">
        <f t="shared" si="0"/>
        <v>0</v>
      </c>
      <c r="N16" s="60">
        <f t="shared" si="1"/>
        <v>0</v>
      </c>
      <c r="O16" s="61">
        <f>IFERROR(M16*IFERROR(Employee_Master!I13,0),0)</f>
        <v>0</v>
      </c>
      <c r="P16" s="61">
        <f>IFERROR(N16*IFERROR(Employee_Master!J13,0),0)</f>
        <v>0</v>
      </c>
      <c r="Q16" s="62">
        <f t="shared" si="2"/>
        <v>0</v>
      </c>
    </row>
    <row r="17" spans="2:17" ht="18" customHeight="1" x14ac:dyDescent="0.25">
      <c r="B17" s="56">
        <v>11</v>
      </c>
      <c r="C17" s="57">
        <f>IFERROR(Employee_Master!C14,"")</f>
        <v>0</v>
      </c>
      <c r="D17" s="58" t="str">
        <f>IFERROR(IF(Employee_Master!P14="","—",Employee_Master!P14&amp;" ("&amp;IF(IFERROR(Employee_Master!P14,"")="Weekly",5,IF(IFERROR(Employee_Master!P14,"")="Monthly",22,11))&amp;" days)"),"—")</f>
        <v>—</v>
      </c>
      <c r="E17" s="59">
        <v>0</v>
      </c>
      <c r="F17" s="59">
        <v>0</v>
      </c>
      <c r="G17" s="59">
        <v>0</v>
      </c>
      <c r="H17" s="59">
        <v>0</v>
      </c>
      <c r="I17" s="59">
        <v>0</v>
      </c>
      <c r="J17" s="59">
        <v>0</v>
      </c>
      <c r="K17" s="59">
        <v>0</v>
      </c>
      <c r="L17" s="59">
        <v>0</v>
      </c>
      <c r="M17" s="60">
        <f t="shared" si="0"/>
        <v>0</v>
      </c>
      <c r="N17" s="60">
        <f t="shared" si="1"/>
        <v>0</v>
      </c>
      <c r="O17" s="61">
        <f>IFERROR(M17*IFERROR(Employee_Master!I14,0),0)</f>
        <v>0</v>
      </c>
      <c r="P17" s="61">
        <f>IFERROR(N17*IFERROR(Employee_Master!J14,0),0)</f>
        <v>0</v>
      </c>
      <c r="Q17" s="62">
        <f t="shared" si="2"/>
        <v>0</v>
      </c>
    </row>
    <row r="18" spans="2:17" ht="18" customHeight="1" x14ac:dyDescent="0.25">
      <c r="B18" s="63">
        <v>12</v>
      </c>
      <c r="C18" s="64">
        <f>IFERROR(Employee_Master!C15,"")</f>
        <v>0</v>
      </c>
      <c r="D18" s="58" t="str">
        <f>IFERROR(IF(Employee_Master!P15="","—",Employee_Master!P15&amp;" ("&amp;IF(IFERROR(Employee_Master!P15,"")="Weekly",5,IF(IFERROR(Employee_Master!P15,"")="Monthly",22,11))&amp;" days)"),"—")</f>
        <v>—</v>
      </c>
      <c r="E18" s="59">
        <v>0</v>
      </c>
      <c r="F18" s="59">
        <v>0</v>
      </c>
      <c r="G18" s="59">
        <v>0</v>
      </c>
      <c r="H18" s="59">
        <v>0</v>
      </c>
      <c r="I18" s="59">
        <v>0</v>
      </c>
      <c r="J18" s="59">
        <v>0</v>
      </c>
      <c r="K18" s="59">
        <v>0</v>
      </c>
      <c r="L18" s="59">
        <v>0</v>
      </c>
      <c r="M18" s="60">
        <f t="shared" si="0"/>
        <v>0</v>
      </c>
      <c r="N18" s="60">
        <f t="shared" si="1"/>
        <v>0</v>
      </c>
      <c r="O18" s="61">
        <f>IFERROR(M18*IFERROR(Employee_Master!I15,0),0)</f>
        <v>0</v>
      </c>
      <c r="P18" s="61">
        <f>IFERROR(N18*IFERROR(Employee_Master!J15,0),0)</f>
        <v>0</v>
      </c>
      <c r="Q18" s="62">
        <f t="shared" si="2"/>
        <v>0</v>
      </c>
    </row>
    <row r="19" spans="2:17" ht="18" customHeight="1" x14ac:dyDescent="0.25">
      <c r="B19" s="56">
        <v>13</v>
      </c>
      <c r="C19" s="57">
        <f>IFERROR(Employee_Master!C16,"")</f>
        <v>0</v>
      </c>
      <c r="D19" s="58" t="str">
        <f>IFERROR(IF(Employee_Master!P16="","—",Employee_Master!P16&amp;" ("&amp;IF(IFERROR(Employee_Master!P16,"")="Weekly",5,IF(IFERROR(Employee_Master!P16,"")="Monthly",22,11))&amp;" days)"),"—")</f>
        <v>—</v>
      </c>
      <c r="E19" s="59">
        <v>0</v>
      </c>
      <c r="F19" s="59">
        <v>0</v>
      </c>
      <c r="G19" s="59">
        <v>0</v>
      </c>
      <c r="H19" s="59">
        <v>0</v>
      </c>
      <c r="I19" s="59">
        <v>0</v>
      </c>
      <c r="J19" s="59">
        <v>0</v>
      </c>
      <c r="K19" s="59">
        <v>0</v>
      </c>
      <c r="L19" s="59">
        <v>0</v>
      </c>
      <c r="M19" s="60">
        <f t="shared" si="0"/>
        <v>0</v>
      </c>
      <c r="N19" s="60">
        <f t="shared" si="1"/>
        <v>0</v>
      </c>
      <c r="O19" s="61">
        <f>IFERROR(M19*IFERROR(Employee_Master!I16,0),0)</f>
        <v>0</v>
      </c>
      <c r="P19" s="61">
        <f>IFERROR(N19*IFERROR(Employee_Master!J16,0),0)</f>
        <v>0</v>
      </c>
      <c r="Q19" s="62">
        <f t="shared" si="2"/>
        <v>0</v>
      </c>
    </row>
    <row r="20" spans="2:17" ht="18" customHeight="1" x14ac:dyDescent="0.25">
      <c r="B20" s="63">
        <v>14</v>
      </c>
      <c r="C20" s="64">
        <f>IFERROR(Employee_Master!C17,"")</f>
        <v>0</v>
      </c>
      <c r="D20" s="58" t="str">
        <f>IFERROR(IF(Employee_Master!P17="","—",Employee_Master!P17&amp;" ("&amp;IF(IFERROR(Employee_Master!P17,"")="Weekly",5,IF(IFERROR(Employee_Master!P17,"")="Monthly",22,11))&amp;" days)"),"—")</f>
        <v>—</v>
      </c>
      <c r="E20" s="59">
        <v>0</v>
      </c>
      <c r="F20" s="59">
        <v>0</v>
      </c>
      <c r="G20" s="59">
        <v>0</v>
      </c>
      <c r="H20" s="59">
        <v>0</v>
      </c>
      <c r="I20" s="59">
        <v>0</v>
      </c>
      <c r="J20" s="59">
        <v>0</v>
      </c>
      <c r="K20" s="59">
        <v>0</v>
      </c>
      <c r="L20" s="59">
        <v>0</v>
      </c>
      <c r="M20" s="60">
        <f t="shared" si="0"/>
        <v>0</v>
      </c>
      <c r="N20" s="60">
        <f t="shared" si="1"/>
        <v>0</v>
      </c>
      <c r="O20" s="61">
        <f>IFERROR(M20*IFERROR(Employee_Master!I17,0),0)</f>
        <v>0</v>
      </c>
      <c r="P20" s="61">
        <f>IFERROR(N20*IFERROR(Employee_Master!J17,0),0)</f>
        <v>0</v>
      </c>
      <c r="Q20" s="62">
        <f t="shared" si="2"/>
        <v>0</v>
      </c>
    </row>
    <row r="21" spans="2:17" ht="18" customHeight="1" x14ac:dyDescent="0.25">
      <c r="B21" s="56">
        <v>15</v>
      </c>
      <c r="C21" s="57">
        <f>IFERROR(Employee_Master!C18,"")</f>
        <v>0</v>
      </c>
      <c r="D21" s="58" t="str">
        <f>IFERROR(IF(Employee_Master!P18="","—",Employee_Master!P18&amp;" ("&amp;IF(IFERROR(Employee_Master!P18,"")="Weekly",5,IF(IFERROR(Employee_Master!P18,"")="Monthly",22,11))&amp;" days)"),"—")</f>
        <v>—</v>
      </c>
      <c r="E21" s="59">
        <v>0</v>
      </c>
      <c r="F21" s="59">
        <v>0</v>
      </c>
      <c r="G21" s="59">
        <v>0</v>
      </c>
      <c r="H21" s="59">
        <v>0</v>
      </c>
      <c r="I21" s="59">
        <v>0</v>
      </c>
      <c r="J21" s="59">
        <v>0</v>
      </c>
      <c r="K21" s="59">
        <v>0</v>
      </c>
      <c r="L21" s="59">
        <v>0</v>
      </c>
      <c r="M21" s="60">
        <f t="shared" si="0"/>
        <v>0</v>
      </c>
      <c r="N21" s="60">
        <f t="shared" si="1"/>
        <v>0</v>
      </c>
      <c r="O21" s="61">
        <f>IFERROR(M21*IFERROR(Employee_Master!I18,0),0)</f>
        <v>0</v>
      </c>
      <c r="P21" s="61">
        <f>IFERROR(N21*IFERROR(Employee_Master!J18,0),0)</f>
        <v>0</v>
      </c>
      <c r="Q21" s="62">
        <f t="shared" si="2"/>
        <v>0</v>
      </c>
    </row>
    <row r="22" spans="2:17" ht="18" customHeight="1" x14ac:dyDescent="0.25">
      <c r="B22" s="63">
        <v>16</v>
      </c>
      <c r="C22" s="64">
        <f>IFERROR(Employee_Master!C19,"")</f>
        <v>0</v>
      </c>
      <c r="D22" s="58" t="str">
        <f>IFERROR(IF(Employee_Master!P19="","—",Employee_Master!P19&amp;" ("&amp;IF(IFERROR(Employee_Master!P19,"")="Weekly",5,IF(IFERROR(Employee_Master!P19,"")="Monthly",22,11))&amp;" days)"),"—")</f>
        <v>—</v>
      </c>
      <c r="E22" s="59">
        <v>0</v>
      </c>
      <c r="F22" s="59">
        <v>0</v>
      </c>
      <c r="G22" s="59">
        <v>0</v>
      </c>
      <c r="H22" s="59">
        <v>0</v>
      </c>
      <c r="I22" s="59">
        <v>0</v>
      </c>
      <c r="J22" s="59">
        <v>0</v>
      </c>
      <c r="K22" s="59">
        <v>0</v>
      </c>
      <c r="L22" s="59">
        <v>0</v>
      </c>
      <c r="M22" s="60">
        <f t="shared" si="0"/>
        <v>0</v>
      </c>
      <c r="N22" s="60">
        <f t="shared" si="1"/>
        <v>0</v>
      </c>
      <c r="O22" s="61">
        <f>IFERROR(M22*IFERROR(Employee_Master!I19,0),0)</f>
        <v>0</v>
      </c>
      <c r="P22" s="61">
        <f>IFERROR(N22*IFERROR(Employee_Master!J19,0),0)</f>
        <v>0</v>
      </c>
      <c r="Q22" s="62">
        <f t="shared" si="2"/>
        <v>0</v>
      </c>
    </row>
    <row r="23" spans="2:17" ht="18" customHeight="1" x14ac:dyDescent="0.25">
      <c r="B23" s="56">
        <v>17</v>
      </c>
      <c r="C23" s="57">
        <f>IFERROR(Employee_Master!C20,"")</f>
        <v>0</v>
      </c>
      <c r="D23" s="58" t="str">
        <f>IFERROR(IF(Employee_Master!P20="","—",Employee_Master!P20&amp;" ("&amp;IF(IFERROR(Employee_Master!P20,"")="Weekly",5,IF(IFERROR(Employee_Master!P20,"")="Monthly",22,11))&amp;" days)"),"—")</f>
        <v>—</v>
      </c>
      <c r="E23" s="59">
        <v>0</v>
      </c>
      <c r="F23" s="59">
        <v>0</v>
      </c>
      <c r="G23" s="59">
        <v>0</v>
      </c>
      <c r="H23" s="59">
        <v>0</v>
      </c>
      <c r="I23" s="59">
        <v>0</v>
      </c>
      <c r="J23" s="59">
        <v>0</v>
      </c>
      <c r="K23" s="59">
        <v>0</v>
      </c>
      <c r="L23" s="59">
        <v>0</v>
      </c>
      <c r="M23" s="60">
        <f t="shared" si="0"/>
        <v>0</v>
      </c>
      <c r="N23" s="60">
        <f t="shared" si="1"/>
        <v>0</v>
      </c>
      <c r="O23" s="61">
        <f>IFERROR(M23*IFERROR(Employee_Master!I20,0),0)</f>
        <v>0</v>
      </c>
      <c r="P23" s="61">
        <f>IFERROR(N23*IFERROR(Employee_Master!J20,0),0)</f>
        <v>0</v>
      </c>
      <c r="Q23" s="62">
        <f t="shared" si="2"/>
        <v>0</v>
      </c>
    </row>
    <row r="24" spans="2:17" ht="18" customHeight="1" x14ac:dyDescent="0.25">
      <c r="B24" s="63">
        <v>18</v>
      </c>
      <c r="C24" s="64">
        <f>IFERROR(Employee_Master!C21,"")</f>
        <v>0</v>
      </c>
      <c r="D24" s="58" t="str">
        <f>IFERROR(IF(Employee_Master!P21="","—",Employee_Master!P21&amp;" ("&amp;IF(IFERROR(Employee_Master!P21,"")="Weekly",5,IF(IFERROR(Employee_Master!P21,"")="Monthly",22,11))&amp;" days)"),"—")</f>
        <v>—</v>
      </c>
      <c r="E24" s="59">
        <v>0</v>
      </c>
      <c r="F24" s="59">
        <v>0</v>
      </c>
      <c r="G24" s="59">
        <v>0</v>
      </c>
      <c r="H24" s="59">
        <v>0</v>
      </c>
      <c r="I24" s="59">
        <v>0</v>
      </c>
      <c r="J24" s="59">
        <v>0</v>
      </c>
      <c r="K24" s="59">
        <v>0</v>
      </c>
      <c r="L24" s="59">
        <v>0</v>
      </c>
      <c r="M24" s="60">
        <f t="shared" si="0"/>
        <v>0</v>
      </c>
      <c r="N24" s="60">
        <f t="shared" si="1"/>
        <v>0</v>
      </c>
      <c r="O24" s="61">
        <f>IFERROR(M24*IFERROR(Employee_Master!I21,0),0)</f>
        <v>0</v>
      </c>
      <c r="P24" s="61">
        <f>IFERROR(N24*IFERROR(Employee_Master!J21,0),0)</f>
        <v>0</v>
      </c>
      <c r="Q24" s="62">
        <f t="shared" si="2"/>
        <v>0</v>
      </c>
    </row>
    <row r="25" spans="2:17" ht="18" customHeight="1" x14ac:dyDescent="0.25">
      <c r="B25" s="56">
        <v>19</v>
      </c>
      <c r="C25" s="57">
        <f>IFERROR(Employee_Master!C22,"")</f>
        <v>0</v>
      </c>
      <c r="D25" s="58" t="str">
        <f>IFERROR(IF(Employee_Master!P22="","—",Employee_Master!P22&amp;" ("&amp;IF(IFERROR(Employee_Master!P22,"")="Weekly",5,IF(IFERROR(Employee_Master!P22,"")="Monthly",22,11))&amp;" days)"),"—")</f>
        <v>—</v>
      </c>
      <c r="E25" s="59">
        <v>0</v>
      </c>
      <c r="F25" s="59">
        <v>0</v>
      </c>
      <c r="G25" s="59">
        <v>0</v>
      </c>
      <c r="H25" s="59">
        <v>0</v>
      </c>
      <c r="I25" s="59">
        <v>0</v>
      </c>
      <c r="J25" s="59">
        <v>0</v>
      </c>
      <c r="K25" s="59">
        <v>0</v>
      </c>
      <c r="L25" s="59">
        <v>0</v>
      </c>
      <c r="M25" s="60">
        <f t="shared" si="0"/>
        <v>0</v>
      </c>
      <c r="N25" s="60">
        <f t="shared" si="1"/>
        <v>0</v>
      </c>
      <c r="O25" s="61">
        <f>IFERROR(M25*IFERROR(Employee_Master!I22,0),0)</f>
        <v>0</v>
      </c>
      <c r="P25" s="61">
        <f>IFERROR(N25*IFERROR(Employee_Master!J22,0),0)</f>
        <v>0</v>
      </c>
      <c r="Q25" s="62">
        <f t="shared" si="2"/>
        <v>0</v>
      </c>
    </row>
    <row r="26" spans="2:17" ht="18" customHeight="1" x14ac:dyDescent="0.25">
      <c r="B26" s="63">
        <v>20</v>
      </c>
      <c r="C26" s="64">
        <f>IFERROR(Employee_Master!C23,"")</f>
        <v>0</v>
      </c>
      <c r="D26" s="58" t="str">
        <f>IFERROR(IF(Employee_Master!P23="","—",Employee_Master!P23&amp;" ("&amp;IF(IFERROR(Employee_Master!P23,"")="Weekly",5,IF(IFERROR(Employee_Master!P23,"")="Monthly",22,11))&amp;" days)"),"—")</f>
        <v>—</v>
      </c>
      <c r="E26" s="59">
        <v>0</v>
      </c>
      <c r="F26" s="59">
        <v>0</v>
      </c>
      <c r="G26" s="59">
        <v>0</v>
      </c>
      <c r="H26" s="59">
        <v>0</v>
      </c>
      <c r="I26" s="59">
        <v>0</v>
      </c>
      <c r="J26" s="59">
        <v>0</v>
      </c>
      <c r="K26" s="59">
        <v>0</v>
      </c>
      <c r="L26" s="59">
        <v>0</v>
      </c>
      <c r="M26" s="60">
        <f t="shared" si="0"/>
        <v>0</v>
      </c>
      <c r="N26" s="60">
        <f t="shared" si="1"/>
        <v>0</v>
      </c>
      <c r="O26" s="61">
        <f>IFERROR(M26*IFERROR(Employee_Master!I23,0),0)</f>
        <v>0</v>
      </c>
      <c r="P26" s="61">
        <f>IFERROR(N26*IFERROR(Employee_Master!J23,0),0)</f>
        <v>0</v>
      </c>
      <c r="Q26" s="62">
        <f t="shared" si="2"/>
        <v>0</v>
      </c>
    </row>
    <row r="27" spans="2:17" ht="18" customHeight="1" x14ac:dyDescent="0.25">
      <c r="B27" s="56">
        <v>21</v>
      </c>
      <c r="C27" s="57">
        <f>IFERROR(Employee_Master!C24,"")</f>
        <v>0</v>
      </c>
      <c r="D27" s="58" t="str">
        <f>IFERROR(IF(Employee_Master!P24="","—",Employee_Master!P24&amp;" ("&amp;IF(IFERROR(Employee_Master!P24,"")="Weekly",5,IF(IFERROR(Employee_Master!P24,"")="Monthly",22,11))&amp;" days)"),"—")</f>
        <v>—</v>
      </c>
      <c r="E27" s="59">
        <v>0</v>
      </c>
      <c r="F27" s="59">
        <v>0</v>
      </c>
      <c r="G27" s="59">
        <v>0</v>
      </c>
      <c r="H27" s="59">
        <v>0</v>
      </c>
      <c r="I27" s="59">
        <v>0</v>
      </c>
      <c r="J27" s="59">
        <v>0</v>
      </c>
      <c r="K27" s="59">
        <v>0</v>
      </c>
      <c r="L27" s="59">
        <v>0</v>
      </c>
      <c r="M27" s="60">
        <f t="shared" si="0"/>
        <v>0</v>
      </c>
      <c r="N27" s="60">
        <f t="shared" si="1"/>
        <v>0</v>
      </c>
      <c r="O27" s="61">
        <f>IFERROR(M27*IFERROR(Employee_Master!I24,0),0)</f>
        <v>0</v>
      </c>
      <c r="P27" s="61">
        <f>IFERROR(N27*IFERROR(Employee_Master!J24,0),0)</f>
        <v>0</v>
      </c>
      <c r="Q27" s="62">
        <f t="shared" si="2"/>
        <v>0</v>
      </c>
    </row>
    <row r="28" spans="2:17" ht="18" customHeight="1" x14ac:dyDescent="0.25">
      <c r="B28" s="63">
        <v>22</v>
      </c>
      <c r="C28" s="64">
        <f>IFERROR(Employee_Master!C25,"")</f>
        <v>0</v>
      </c>
      <c r="D28" s="58" t="str">
        <f>IFERROR(IF(Employee_Master!P25="","—",Employee_Master!P25&amp;" ("&amp;IF(IFERROR(Employee_Master!P25,"")="Weekly",5,IF(IFERROR(Employee_Master!P25,"")="Monthly",22,11))&amp;" days)"),"—")</f>
        <v>—</v>
      </c>
      <c r="E28" s="59">
        <v>0</v>
      </c>
      <c r="F28" s="59">
        <v>0</v>
      </c>
      <c r="G28" s="59">
        <v>0</v>
      </c>
      <c r="H28" s="59">
        <v>0</v>
      </c>
      <c r="I28" s="59">
        <v>0</v>
      </c>
      <c r="J28" s="59">
        <v>0</v>
      </c>
      <c r="K28" s="59">
        <v>0</v>
      </c>
      <c r="L28" s="59">
        <v>0</v>
      </c>
      <c r="M28" s="60">
        <f t="shared" si="0"/>
        <v>0</v>
      </c>
      <c r="N28" s="60">
        <f t="shared" si="1"/>
        <v>0</v>
      </c>
      <c r="O28" s="61">
        <f>IFERROR(M28*IFERROR(Employee_Master!I25,0),0)</f>
        <v>0</v>
      </c>
      <c r="P28" s="61">
        <f>IFERROR(N28*IFERROR(Employee_Master!J25,0),0)</f>
        <v>0</v>
      </c>
      <c r="Q28" s="62">
        <f t="shared" si="2"/>
        <v>0</v>
      </c>
    </row>
    <row r="29" spans="2:17" ht="18" customHeight="1" x14ac:dyDescent="0.25">
      <c r="B29" s="56">
        <v>23</v>
      </c>
      <c r="C29" s="57">
        <f>IFERROR(Employee_Master!C26,"")</f>
        <v>0</v>
      </c>
      <c r="D29" s="58" t="str">
        <f>IFERROR(IF(Employee_Master!P26="","—",Employee_Master!P26&amp;" ("&amp;IF(IFERROR(Employee_Master!P26,"")="Weekly",5,IF(IFERROR(Employee_Master!P26,"")="Monthly",22,11))&amp;" days)"),"—")</f>
        <v>—</v>
      </c>
      <c r="E29" s="59">
        <v>0</v>
      </c>
      <c r="F29" s="59">
        <v>0</v>
      </c>
      <c r="G29" s="59">
        <v>0</v>
      </c>
      <c r="H29" s="59">
        <v>0</v>
      </c>
      <c r="I29" s="59">
        <v>0</v>
      </c>
      <c r="J29" s="59">
        <v>0</v>
      </c>
      <c r="K29" s="59">
        <v>0</v>
      </c>
      <c r="L29" s="59">
        <v>0</v>
      </c>
      <c r="M29" s="60">
        <f t="shared" si="0"/>
        <v>0</v>
      </c>
      <c r="N29" s="60">
        <f t="shared" si="1"/>
        <v>0</v>
      </c>
      <c r="O29" s="61">
        <f>IFERROR(M29*IFERROR(Employee_Master!I26,0),0)</f>
        <v>0</v>
      </c>
      <c r="P29" s="61">
        <f>IFERROR(N29*IFERROR(Employee_Master!J26,0),0)</f>
        <v>0</v>
      </c>
      <c r="Q29" s="62">
        <f t="shared" si="2"/>
        <v>0</v>
      </c>
    </row>
    <row r="30" spans="2:17" ht="18" customHeight="1" x14ac:dyDescent="0.25">
      <c r="B30" s="63">
        <v>24</v>
      </c>
      <c r="C30" s="64">
        <f>IFERROR(Employee_Master!C27,"")</f>
        <v>0</v>
      </c>
      <c r="D30" s="58" t="str">
        <f>IFERROR(IF(Employee_Master!P27="","—",Employee_Master!P27&amp;" ("&amp;IF(IFERROR(Employee_Master!P27,"")="Weekly",5,IF(IFERROR(Employee_Master!P27,"")="Monthly",22,11))&amp;" days)"),"—")</f>
        <v>—</v>
      </c>
      <c r="E30" s="59">
        <v>0</v>
      </c>
      <c r="F30" s="59">
        <v>0</v>
      </c>
      <c r="G30" s="59">
        <v>0</v>
      </c>
      <c r="H30" s="59">
        <v>0</v>
      </c>
      <c r="I30" s="59">
        <v>0</v>
      </c>
      <c r="J30" s="59">
        <v>0</v>
      </c>
      <c r="K30" s="59">
        <v>0</v>
      </c>
      <c r="L30" s="59">
        <v>0</v>
      </c>
      <c r="M30" s="60">
        <f t="shared" si="0"/>
        <v>0</v>
      </c>
      <c r="N30" s="60">
        <f t="shared" si="1"/>
        <v>0</v>
      </c>
      <c r="O30" s="61">
        <f>IFERROR(M30*IFERROR(Employee_Master!I27,0),0)</f>
        <v>0</v>
      </c>
      <c r="P30" s="61">
        <f>IFERROR(N30*IFERROR(Employee_Master!J27,0),0)</f>
        <v>0</v>
      </c>
      <c r="Q30" s="62">
        <f t="shared" si="2"/>
        <v>0</v>
      </c>
    </row>
    <row r="31" spans="2:17" ht="18" customHeight="1" x14ac:dyDescent="0.25">
      <c r="B31" s="56">
        <v>25</v>
      </c>
      <c r="C31" s="57">
        <f>IFERROR(Employee_Master!C28,"")</f>
        <v>0</v>
      </c>
      <c r="D31" s="58" t="str">
        <f>IFERROR(IF(Employee_Master!P28="","—",Employee_Master!P28&amp;" ("&amp;IF(IFERROR(Employee_Master!P28,"")="Weekly",5,IF(IFERROR(Employee_Master!P28,"")="Monthly",22,11))&amp;" days)"),"—")</f>
        <v>—</v>
      </c>
      <c r="E31" s="59">
        <v>0</v>
      </c>
      <c r="F31" s="59">
        <v>0</v>
      </c>
      <c r="G31" s="59">
        <v>0</v>
      </c>
      <c r="H31" s="59">
        <v>0</v>
      </c>
      <c r="I31" s="59">
        <v>0</v>
      </c>
      <c r="J31" s="59">
        <v>0</v>
      </c>
      <c r="K31" s="59">
        <v>0</v>
      </c>
      <c r="L31" s="59">
        <v>0</v>
      </c>
      <c r="M31" s="60">
        <f t="shared" si="0"/>
        <v>0</v>
      </c>
      <c r="N31" s="60">
        <f t="shared" si="1"/>
        <v>0</v>
      </c>
      <c r="O31" s="61">
        <f>IFERROR(M31*IFERROR(Employee_Master!I28,0),0)</f>
        <v>0</v>
      </c>
      <c r="P31" s="61">
        <f>IFERROR(N31*IFERROR(Employee_Master!J28,0),0)</f>
        <v>0</v>
      </c>
      <c r="Q31" s="62">
        <f t="shared" si="2"/>
        <v>0</v>
      </c>
    </row>
    <row r="32" spans="2:17" ht="18" customHeight="1" x14ac:dyDescent="0.25">
      <c r="B32" s="63">
        <v>26</v>
      </c>
      <c r="C32" s="64">
        <f>IFERROR(Employee_Master!C29,"")</f>
        <v>0</v>
      </c>
      <c r="D32" s="58" t="str">
        <f>IFERROR(IF(Employee_Master!P29="","—",Employee_Master!P29&amp;" ("&amp;IF(IFERROR(Employee_Master!P29,"")="Weekly",5,IF(IFERROR(Employee_Master!P29,"")="Monthly",22,11))&amp;" days)"),"—")</f>
        <v>—</v>
      </c>
      <c r="E32" s="59">
        <v>0</v>
      </c>
      <c r="F32" s="59">
        <v>0</v>
      </c>
      <c r="G32" s="59">
        <v>0</v>
      </c>
      <c r="H32" s="59">
        <v>0</v>
      </c>
      <c r="I32" s="59">
        <v>0</v>
      </c>
      <c r="J32" s="59">
        <v>0</v>
      </c>
      <c r="K32" s="59">
        <v>0</v>
      </c>
      <c r="L32" s="59">
        <v>0</v>
      </c>
      <c r="M32" s="60">
        <f t="shared" si="0"/>
        <v>0</v>
      </c>
      <c r="N32" s="60">
        <f t="shared" si="1"/>
        <v>0</v>
      </c>
      <c r="O32" s="61">
        <f>IFERROR(M32*IFERROR(Employee_Master!I29,0),0)</f>
        <v>0</v>
      </c>
      <c r="P32" s="61">
        <f>IFERROR(N32*IFERROR(Employee_Master!J29,0),0)</f>
        <v>0</v>
      </c>
      <c r="Q32" s="62">
        <f t="shared" si="2"/>
        <v>0</v>
      </c>
    </row>
    <row r="33" spans="2:17" ht="18" customHeight="1" x14ac:dyDescent="0.25">
      <c r="B33" s="56">
        <v>27</v>
      </c>
      <c r="C33" s="57">
        <f>IFERROR(Employee_Master!C30,"")</f>
        <v>0</v>
      </c>
      <c r="D33" s="58" t="str">
        <f>IFERROR(IF(Employee_Master!P30="","—",Employee_Master!P30&amp;" ("&amp;IF(IFERROR(Employee_Master!P30,"")="Weekly",5,IF(IFERROR(Employee_Master!P30,"")="Monthly",22,11))&amp;" days)"),"—")</f>
        <v>—</v>
      </c>
      <c r="E33" s="59">
        <v>0</v>
      </c>
      <c r="F33" s="59">
        <v>0</v>
      </c>
      <c r="G33" s="59">
        <v>0</v>
      </c>
      <c r="H33" s="59">
        <v>0</v>
      </c>
      <c r="I33" s="59">
        <v>0</v>
      </c>
      <c r="J33" s="59">
        <v>0</v>
      </c>
      <c r="K33" s="59">
        <v>0</v>
      </c>
      <c r="L33" s="59">
        <v>0</v>
      </c>
      <c r="M33" s="60">
        <f t="shared" si="0"/>
        <v>0</v>
      </c>
      <c r="N33" s="60">
        <f t="shared" si="1"/>
        <v>0</v>
      </c>
      <c r="O33" s="61">
        <f>IFERROR(M33*IFERROR(Employee_Master!I30,0),0)</f>
        <v>0</v>
      </c>
      <c r="P33" s="61">
        <f>IFERROR(N33*IFERROR(Employee_Master!J30,0),0)</f>
        <v>0</v>
      </c>
      <c r="Q33" s="62">
        <f t="shared" si="2"/>
        <v>0</v>
      </c>
    </row>
    <row r="34" spans="2:17" ht="18" customHeight="1" x14ac:dyDescent="0.25">
      <c r="B34" s="63">
        <v>28</v>
      </c>
      <c r="C34" s="64">
        <f>IFERROR(Employee_Master!C31,"")</f>
        <v>0</v>
      </c>
      <c r="D34" s="58" t="str">
        <f>IFERROR(IF(Employee_Master!P31="","—",Employee_Master!P31&amp;" ("&amp;IF(IFERROR(Employee_Master!P31,"")="Weekly",5,IF(IFERROR(Employee_Master!P31,"")="Monthly",22,11))&amp;" days)"),"—")</f>
        <v>—</v>
      </c>
      <c r="E34" s="59">
        <v>0</v>
      </c>
      <c r="F34" s="59">
        <v>0</v>
      </c>
      <c r="G34" s="59">
        <v>0</v>
      </c>
      <c r="H34" s="59">
        <v>0</v>
      </c>
      <c r="I34" s="59">
        <v>0</v>
      </c>
      <c r="J34" s="59">
        <v>0</v>
      </c>
      <c r="K34" s="59">
        <v>0</v>
      </c>
      <c r="L34" s="59">
        <v>0</v>
      </c>
      <c r="M34" s="60">
        <f t="shared" si="0"/>
        <v>0</v>
      </c>
      <c r="N34" s="60">
        <f t="shared" si="1"/>
        <v>0</v>
      </c>
      <c r="O34" s="61">
        <f>IFERROR(M34*IFERROR(Employee_Master!I31,0),0)</f>
        <v>0</v>
      </c>
      <c r="P34" s="61">
        <f>IFERROR(N34*IFERROR(Employee_Master!J31,0),0)</f>
        <v>0</v>
      </c>
      <c r="Q34" s="62">
        <f t="shared" si="2"/>
        <v>0</v>
      </c>
    </row>
    <row r="35" spans="2:17" ht="18" customHeight="1" x14ac:dyDescent="0.25">
      <c r="B35" s="56">
        <v>29</v>
      </c>
      <c r="C35" s="57">
        <f>IFERROR(Employee_Master!C32,"")</f>
        <v>0</v>
      </c>
      <c r="D35" s="58" t="str">
        <f>IFERROR(IF(Employee_Master!P32="","—",Employee_Master!P32&amp;" ("&amp;IF(IFERROR(Employee_Master!P32,"")="Weekly",5,IF(IFERROR(Employee_Master!P32,"")="Monthly",22,11))&amp;" days)"),"—")</f>
        <v>—</v>
      </c>
      <c r="E35" s="59">
        <v>0</v>
      </c>
      <c r="F35" s="59">
        <v>0</v>
      </c>
      <c r="G35" s="59">
        <v>0</v>
      </c>
      <c r="H35" s="59">
        <v>0</v>
      </c>
      <c r="I35" s="59">
        <v>0</v>
      </c>
      <c r="J35" s="59">
        <v>0</v>
      </c>
      <c r="K35" s="59">
        <v>0</v>
      </c>
      <c r="L35" s="59">
        <v>0</v>
      </c>
      <c r="M35" s="60">
        <f t="shared" si="0"/>
        <v>0</v>
      </c>
      <c r="N35" s="60">
        <f t="shared" si="1"/>
        <v>0</v>
      </c>
      <c r="O35" s="61">
        <f>IFERROR(M35*IFERROR(Employee_Master!I32,0),0)</f>
        <v>0</v>
      </c>
      <c r="P35" s="61">
        <f>IFERROR(N35*IFERROR(Employee_Master!J32,0),0)</f>
        <v>0</v>
      </c>
      <c r="Q35" s="62">
        <f t="shared" si="2"/>
        <v>0</v>
      </c>
    </row>
    <row r="36" spans="2:17" ht="18" customHeight="1" x14ac:dyDescent="0.25">
      <c r="B36" s="63">
        <v>30</v>
      </c>
      <c r="C36" s="64">
        <f>IFERROR(Employee_Master!C33,"")</f>
        <v>0</v>
      </c>
      <c r="D36" s="58" t="str">
        <f>IFERROR(IF(Employee_Master!P33="","—",Employee_Master!P33&amp;" ("&amp;IF(IFERROR(Employee_Master!P33,"")="Weekly",5,IF(IFERROR(Employee_Master!P33,"")="Monthly",22,11))&amp;" days)"),"—")</f>
        <v>—</v>
      </c>
      <c r="E36" s="59">
        <v>0</v>
      </c>
      <c r="F36" s="59">
        <v>0</v>
      </c>
      <c r="G36" s="59">
        <v>0</v>
      </c>
      <c r="H36" s="59">
        <v>0</v>
      </c>
      <c r="I36" s="59">
        <v>0</v>
      </c>
      <c r="J36" s="59">
        <v>0</v>
      </c>
      <c r="K36" s="59">
        <v>0</v>
      </c>
      <c r="L36" s="59">
        <v>0</v>
      </c>
      <c r="M36" s="60">
        <f t="shared" si="0"/>
        <v>0</v>
      </c>
      <c r="N36" s="60">
        <f t="shared" si="1"/>
        <v>0</v>
      </c>
      <c r="O36" s="61">
        <f>IFERROR(M36*IFERROR(Employee_Master!I33,0),0)</f>
        <v>0</v>
      </c>
      <c r="P36" s="61">
        <f>IFERROR(N36*IFERROR(Employee_Master!J33,0),0)</f>
        <v>0</v>
      </c>
      <c r="Q36" s="62">
        <f t="shared" si="2"/>
        <v>0</v>
      </c>
    </row>
    <row r="37" spans="2:17" ht="18" customHeight="1" x14ac:dyDescent="0.25">
      <c r="B37" s="56">
        <v>31</v>
      </c>
      <c r="C37" s="57">
        <f>IFERROR(Employee_Master!C34,"")</f>
        <v>0</v>
      </c>
      <c r="D37" s="58" t="str">
        <f>IFERROR(IF(Employee_Master!P34="","—",Employee_Master!P34&amp;" ("&amp;IF(IFERROR(Employee_Master!P34,"")="Weekly",5,IF(IFERROR(Employee_Master!P34,"")="Monthly",22,11))&amp;" days)"),"—")</f>
        <v>—</v>
      </c>
      <c r="E37" s="59">
        <v>0</v>
      </c>
      <c r="F37" s="59">
        <v>0</v>
      </c>
      <c r="G37" s="59">
        <v>0</v>
      </c>
      <c r="H37" s="59">
        <v>0</v>
      </c>
      <c r="I37" s="59">
        <v>0</v>
      </c>
      <c r="J37" s="59">
        <v>0</v>
      </c>
      <c r="K37" s="59">
        <v>0</v>
      </c>
      <c r="L37" s="59">
        <v>0</v>
      </c>
      <c r="M37" s="60">
        <f t="shared" si="0"/>
        <v>0</v>
      </c>
      <c r="N37" s="60">
        <f t="shared" si="1"/>
        <v>0</v>
      </c>
      <c r="O37" s="61">
        <f>IFERROR(M37*IFERROR(Employee_Master!I34,0),0)</f>
        <v>0</v>
      </c>
      <c r="P37" s="61">
        <f>IFERROR(N37*IFERROR(Employee_Master!J34,0),0)</f>
        <v>0</v>
      </c>
      <c r="Q37" s="62">
        <f t="shared" si="2"/>
        <v>0</v>
      </c>
    </row>
    <row r="38" spans="2:17" ht="18" customHeight="1" x14ac:dyDescent="0.25">
      <c r="B38" s="63">
        <v>32</v>
      </c>
      <c r="C38" s="64">
        <f>IFERROR(Employee_Master!C35,"")</f>
        <v>0</v>
      </c>
      <c r="D38" s="58" t="str">
        <f>IFERROR(IF(Employee_Master!P35="","—",Employee_Master!P35&amp;" ("&amp;IF(IFERROR(Employee_Master!P35,"")="Weekly",5,IF(IFERROR(Employee_Master!P35,"")="Monthly",22,11))&amp;" days)"),"—")</f>
        <v>—</v>
      </c>
      <c r="E38" s="59">
        <v>0</v>
      </c>
      <c r="F38" s="59">
        <v>0</v>
      </c>
      <c r="G38" s="59">
        <v>0</v>
      </c>
      <c r="H38" s="59">
        <v>0</v>
      </c>
      <c r="I38" s="59">
        <v>0</v>
      </c>
      <c r="J38" s="59">
        <v>0</v>
      </c>
      <c r="K38" s="59">
        <v>0</v>
      </c>
      <c r="L38" s="59">
        <v>0</v>
      </c>
      <c r="M38" s="60">
        <f t="shared" si="0"/>
        <v>0</v>
      </c>
      <c r="N38" s="60">
        <f t="shared" si="1"/>
        <v>0</v>
      </c>
      <c r="O38" s="61">
        <f>IFERROR(M38*IFERROR(Employee_Master!I35,0),0)</f>
        <v>0</v>
      </c>
      <c r="P38" s="61">
        <f>IFERROR(N38*IFERROR(Employee_Master!J35,0),0)</f>
        <v>0</v>
      </c>
      <c r="Q38" s="62">
        <f t="shared" si="2"/>
        <v>0</v>
      </c>
    </row>
    <row r="39" spans="2:17" ht="18" customHeight="1" x14ac:dyDescent="0.25">
      <c r="B39" s="56">
        <v>33</v>
      </c>
      <c r="C39" s="57">
        <f>IFERROR(Employee_Master!C36,"")</f>
        <v>0</v>
      </c>
      <c r="D39" s="58" t="str">
        <f>IFERROR(IF(Employee_Master!P36="","—",Employee_Master!P36&amp;" ("&amp;IF(IFERROR(Employee_Master!P36,"")="Weekly",5,IF(IFERROR(Employee_Master!P36,"")="Monthly",22,11))&amp;" days)"),"—")</f>
        <v>—</v>
      </c>
      <c r="E39" s="59">
        <v>0</v>
      </c>
      <c r="F39" s="59">
        <v>0</v>
      </c>
      <c r="G39" s="59">
        <v>0</v>
      </c>
      <c r="H39" s="59">
        <v>0</v>
      </c>
      <c r="I39" s="59">
        <v>0</v>
      </c>
      <c r="J39" s="59">
        <v>0</v>
      </c>
      <c r="K39" s="59">
        <v>0</v>
      </c>
      <c r="L39" s="59">
        <v>0</v>
      </c>
      <c r="M39" s="60">
        <f t="shared" ref="M39:M56" si="3">IFERROR(E39+F39+G39,0)</f>
        <v>0</v>
      </c>
      <c r="N39" s="60">
        <f t="shared" ref="N39:N56" si="4">IFERROR(K39+L39,0)</f>
        <v>0</v>
      </c>
      <c r="O39" s="61">
        <f>IFERROR(M39*IFERROR(Employee_Master!I36,0),0)</f>
        <v>0</v>
      </c>
      <c r="P39" s="61">
        <f>IFERROR(N39*IFERROR(Employee_Master!J36,0),0)</f>
        <v>0</v>
      </c>
      <c r="Q39" s="62">
        <f t="shared" ref="Q39:Q70" si="5">IFERROR(O39+P39,0)</f>
        <v>0</v>
      </c>
    </row>
    <row r="40" spans="2:17" ht="18" customHeight="1" x14ac:dyDescent="0.25">
      <c r="B40" s="63">
        <v>34</v>
      </c>
      <c r="C40" s="64">
        <f>IFERROR(Employee_Master!C37,"")</f>
        <v>0</v>
      </c>
      <c r="D40" s="58" t="str">
        <f>IFERROR(IF(Employee_Master!P37="","—",Employee_Master!P37&amp;" ("&amp;IF(IFERROR(Employee_Master!P37,"")="Weekly",5,IF(IFERROR(Employee_Master!P37,"")="Monthly",22,11))&amp;" days)"),"—")</f>
        <v>—</v>
      </c>
      <c r="E40" s="59">
        <v>0</v>
      </c>
      <c r="F40" s="59">
        <v>0</v>
      </c>
      <c r="G40" s="59">
        <v>0</v>
      </c>
      <c r="H40" s="59">
        <v>0</v>
      </c>
      <c r="I40" s="59">
        <v>0</v>
      </c>
      <c r="J40" s="59">
        <v>0</v>
      </c>
      <c r="K40" s="59">
        <v>0</v>
      </c>
      <c r="L40" s="59">
        <v>0</v>
      </c>
      <c r="M40" s="60">
        <f t="shared" si="3"/>
        <v>0</v>
      </c>
      <c r="N40" s="60">
        <f t="shared" si="4"/>
        <v>0</v>
      </c>
      <c r="O40" s="61">
        <f>IFERROR(M40*IFERROR(Employee_Master!I37,0),0)</f>
        <v>0</v>
      </c>
      <c r="P40" s="61">
        <f>IFERROR(N40*IFERROR(Employee_Master!J37,0),0)</f>
        <v>0</v>
      </c>
      <c r="Q40" s="62">
        <f t="shared" si="5"/>
        <v>0</v>
      </c>
    </row>
    <row r="41" spans="2:17" ht="18" customHeight="1" x14ac:dyDescent="0.25">
      <c r="B41" s="56">
        <v>35</v>
      </c>
      <c r="C41" s="57">
        <f>IFERROR(Employee_Master!C38,"")</f>
        <v>0</v>
      </c>
      <c r="D41" s="58" t="str">
        <f>IFERROR(IF(Employee_Master!P38="","—",Employee_Master!P38&amp;" ("&amp;IF(IFERROR(Employee_Master!P38,"")="Weekly",5,IF(IFERROR(Employee_Master!P38,"")="Monthly",22,11))&amp;" days)"),"—")</f>
        <v>—</v>
      </c>
      <c r="E41" s="59">
        <v>0</v>
      </c>
      <c r="F41" s="59">
        <v>0</v>
      </c>
      <c r="G41" s="59">
        <v>0</v>
      </c>
      <c r="H41" s="59">
        <v>0</v>
      </c>
      <c r="I41" s="59">
        <v>0</v>
      </c>
      <c r="J41" s="59">
        <v>0</v>
      </c>
      <c r="K41" s="59">
        <v>0</v>
      </c>
      <c r="L41" s="59">
        <v>0</v>
      </c>
      <c r="M41" s="60">
        <f t="shared" si="3"/>
        <v>0</v>
      </c>
      <c r="N41" s="60">
        <f t="shared" si="4"/>
        <v>0</v>
      </c>
      <c r="O41" s="61">
        <f>IFERROR(M41*IFERROR(Employee_Master!I38,0),0)</f>
        <v>0</v>
      </c>
      <c r="P41" s="61">
        <f>IFERROR(N41*IFERROR(Employee_Master!J38,0),0)</f>
        <v>0</v>
      </c>
      <c r="Q41" s="62">
        <f t="shared" si="5"/>
        <v>0</v>
      </c>
    </row>
    <row r="42" spans="2:17" ht="18" customHeight="1" x14ac:dyDescent="0.25">
      <c r="B42" s="63">
        <v>36</v>
      </c>
      <c r="C42" s="64">
        <f>IFERROR(Employee_Master!C39,"")</f>
        <v>0</v>
      </c>
      <c r="D42" s="58" t="str">
        <f>IFERROR(IF(Employee_Master!P39="","—",Employee_Master!P39&amp;" ("&amp;IF(IFERROR(Employee_Master!P39,"")="Weekly",5,IF(IFERROR(Employee_Master!P39,"")="Monthly",22,11))&amp;" days)"),"—")</f>
        <v>—</v>
      </c>
      <c r="E42" s="59">
        <v>0</v>
      </c>
      <c r="F42" s="59">
        <v>0</v>
      </c>
      <c r="G42" s="59">
        <v>0</v>
      </c>
      <c r="H42" s="59">
        <v>0</v>
      </c>
      <c r="I42" s="59">
        <v>0</v>
      </c>
      <c r="J42" s="59">
        <v>0</v>
      </c>
      <c r="K42" s="59">
        <v>0</v>
      </c>
      <c r="L42" s="59">
        <v>0</v>
      </c>
      <c r="M42" s="60">
        <f t="shared" si="3"/>
        <v>0</v>
      </c>
      <c r="N42" s="60">
        <f t="shared" si="4"/>
        <v>0</v>
      </c>
      <c r="O42" s="61">
        <f>IFERROR(M42*IFERROR(Employee_Master!I39,0),0)</f>
        <v>0</v>
      </c>
      <c r="P42" s="61">
        <f>IFERROR(N42*IFERROR(Employee_Master!J39,0),0)</f>
        <v>0</v>
      </c>
      <c r="Q42" s="62">
        <f t="shared" si="5"/>
        <v>0</v>
      </c>
    </row>
    <row r="43" spans="2:17" ht="18" customHeight="1" x14ac:dyDescent="0.25">
      <c r="B43" s="56">
        <v>37</v>
      </c>
      <c r="C43" s="57">
        <f>IFERROR(Employee_Master!C40,"")</f>
        <v>0</v>
      </c>
      <c r="D43" s="58" t="str">
        <f>IFERROR(IF(Employee_Master!P40="","—",Employee_Master!P40&amp;" ("&amp;IF(IFERROR(Employee_Master!P40,"")="Weekly",5,IF(IFERROR(Employee_Master!P40,"")="Monthly",22,11))&amp;" days)"),"—")</f>
        <v>—</v>
      </c>
      <c r="E43" s="59">
        <v>0</v>
      </c>
      <c r="F43" s="59">
        <v>0</v>
      </c>
      <c r="G43" s="59">
        <v>0</v>
      </c>
      <c r="H43" s="59">
        <v>0</v>
      </c>
      <c r="I43" s="59">
        <v>0</v>
      </c>
      <c r="J43" s="59">
        <v>0</v>
      </c>
      <c r="K43" s="59">
        <v>0</v>
      </c>
      <c r="L43" s="59">
        <v>0</v>
      </c>
      <c r="M43" s="60">
        <f t="shared" si="3"/>
        <v>0</v>
      </c>
      <c r="N43" s="60">
        <f t="shared" si="4"/>
        <v>0</v>
      </c>
      <c r="O43" s="61">
        <f>IFERROR(M43*IFERROR(Employee_Master!I40,0),0)</f>
        <v>0</v>
      </c>
      <c r="P43" s="61">
        <f>IFERROR(N43*IFERROR(Employee_Master!J40,0),0)</f>
        <v>0</v>
      </c>
      <c r="Q43" s="62">
        <f t="shared" si="5"/>
        <v>0</v>
      </c>
    </row>
    <row r="44" spans="2:17" ht="18" customHeight="1" x14ac:dyDescent="0.25">
      <c r="B44" s="63">
        <v>38</v>
      </c>
      <c r="C44" s="64">
        <f>IFERROR(Employee_Master!C41,"")</f>
        <v>0</v>
      </c>
      <c r="D44" s="58" t="str">
        <f>IFERROR(IF(Employee_Master!P41="","—",Employee_Master!P41&amp;" ("&amp;IF(IFERROR(Employee_Master!P41,"")="Weekly",5,IF(IFERROR(Employee_Master!P41,"")="Monthly",22,11))&amp;" days)"),"—")</f>
        <v>—</v>
      </c>
      <c r="E44" s="59">
        <v>0</v>
      </c>
      <c r="F44" s="59">
        <v>0</v>
      </c>
      <c r="G44" s="59">
        <v>0</v>
      </c>
      <c r="H44" s="59">
        <v>0</v>
      </c>
      <c r="I44" s="59">
        <v>0</v>
      </c>
      <c r="J44" s="59">
        <v>0</v>
      </c>
      <c r="K44" s="59">
        <v>0</v>
      </c>
      <c r="L44" s="59">
        <v>0</v>
      </c>
      <c r="M44" s="60">
        <f t="shared" si="3"/>
        <v>0</v>
      </c>
      <c r="N44" s="60">
        <f t="shared" si="4"/>
        <v>0</v>
      </c>
      <c r="O44" s="61">
        <f>IFERROR(M44*IFERROR(Employee_Master!I41,0),0)</f>
        <v>0</v>
      </c>
      <c r="P44" s="61">
        <f>IFERROR(N44*IFERROR(Employee_Master!J41,0),0)</f>
        <v>0</v>
      </c>
      <c r="Q44" s="62">
        <f t="shared" si="5"/>
        <v>0</v>
      </c>
    </row>
    <row r="45" spans="2:17" ht="18" customHeight="1" x14ac:dyDescent="0.25">
      <c r="B45" s="56">
        <v>39</v>
      </c>
      <c r="C45" s="57">
        <f>IFERROR(Employee_Master!C42,"")</f>
        <v>0</v>
      </c>
      <c r="D45" s="58" t="str">
        <f>IFERROR(IF(Employee_Master!P42="","—",Employee_Master!P42&amp;" ("&amp;IF(IFERROR(Employee_Master!P42,"")="Weekly",5,IF(IFERROR(Employee_Master!P42,"")="Monthly",22,11))&amp;" days)"),"—")</f>
        <v>—</v>
      </c>
      <c r="E45" s="59">
        <v>0</v>
      </c>
      <c r="F45" s="59">
        <v>0</v>
      </c>
      <c r="G45" s="59">
        <v>0</v>
      </c>
      <c r="H45" s="59">
        <v>0</v>
      </c>
      <c r="I45" s="59">
        <v>0</v>
      </c>
      <c r="J45" s="59">
        <v>0</v>
      </c>
      <c r="K45" s="59">
        <v>0</v>
      </c>
      <c r="L45" s="59">
        <v>0</v>
      </c>
      <c r="M45" s="60">
        <f t="shared" si="3"/>
        <v>0</v>
      </c>
      <c r="N45" s="60">
        <f t="shared" si="4"/>
        <v>0</v>
      </c>
      <c r="O45" s="61">
        <f>IFERROR(M45*IFERROR(Employee_Master!I42,0),0)</f>
        <v>0</v>
      </c>
      <c r="P45" s="61">
        <f>IFERROR(N45*IFERROR(Employee_Master!J42,0),0)</f>
        <v>0</v>
      </c>
      <c r="Q45" s="62">
        <f t="shared" si="5"/>
        <v>0</v>
      </c>
    </row>
    <row r="46" spans="2:17" ht="18" customHeight="1" x14ac:dyDescent="0.25">
      <c r="B46" s="63">
        <v>40</v>
      </c>
      <c r="C46" s="64">
        <f>IFERROR(Employee_Master!C43,"")</f>
        <v>0</v>
      </c>
      <c r="D46" s="58" t="str">
        <f>IFERROR(IF(Employee_Master!P43="","—",Employee_Master!P43&amp;" ("&amp;IF(IFERROR(Employee_Master!P43,"")="Weekly",5,IF(IFERROR(Employee_Master!P43,"")="Monthly",22,11))&amp;" days)"),"—")</f>
        <v>—</v>
      </c>
      <c r="E46" s="59">
        <v>0</v>
      </c>
      <c r="F46" s="59">
        <v>0</v>
      </c>
      <c r="G46" s="59">
        <v>0</v>
      </c>
      <c r="H46" s="59">
        <v>0</v>
      </c>
      <c r="I46" s="59">
        <v>0</v>
      </c>
      <c r="J46" s="59">
        <v>0</v>
      </c>
      <c r="K46" s="59">
        <v>0</v>
      </c>
      <c r="L46" s="59">
        <v>0</v>
      </c>
      <c r="M46" s="60">
        <f t="shared" si="3"/>
        <v>0</v>
      </c>
      <c r="N46" s="60">
        <f t="shared" si="4"/>
        <v>0</v>
      </c>
      <c r="O46" s="61">
        <f>IFERROR(M46*IFERROR(Employee_Master!I43,0),0)</f>
        <v>0</v>
      </c>
      <c r="P46" s="61">
        <f>IFERROR(N46*IFERROR(Employee_Master!J43,0),0)</f>
        <v>0</v>
      </c>
      <c r="Q46" s="62">
        <f t="shared" si="5"/>
        <v>0</v>
      </c>
    </row>
    <row r="47" spans="2:17" ht="18" customHeight="1" x14ac:dyDescent="0.25">
      <c r="B47" s="56">
        <v>41</v>
      </c>
      <c r="C47" s="57">
        <f>IFERROR(Employee_Master!C44,"")</f>
        <v>0</v>
      </c>
      <c r="D47" s="58" t="str">
        <f>IFERROR(IF(Employee_Master!P44="","—",Employee_Master!P44&amp;" ("&amp;IF(IFERROR(Employee_Master!P44,"")="Weekly",5,IF(IFERROR(Employee_Master!P44,"")="Monthly",22,11))&amp;" days)"),"—")</f>
        <v>—</v>
      </c>
      <c r="E47" s="59">
        <v>0</v>
      </c>
      <c r="F47" s="59">
        <v>0</v>
      </c>
      <c r="G47" s="59">
        <v>0</v>
      </c>
      <c r="H47" s="59">
        <v>0</v>
      </c>
      <c r="I47" s="59">
        <v>0</v>
      </c>
      <c r="J47" s="59">
        <v>0</v>
      </c>
      <c r="K47" s="59">
        <v>0</v>
      </c>
      <c r="L47" s="59">
        <v>0</v>
      </c>
      <c r="M47" s="60">
        <f t="shared" si="3"/>
        <v>0</v>
      </c>
      <c r="N47" s="60">
        <f t="shared" si="4"/>
        <v>0</v>
      </c>
      <c r="O47" s="61">
        <f>IFERROR(M47*IFERROR(Employee_Master!I44,0),0)</f>
        <v>0</v>
      </c>
      <c r="P47" s="61">
        <f>IFERROR(N47*IFERROR(Employee_Master!J44,0),0)</f>
        <v>0</v>
      </c>
      <c r="Q47" s="62">
        <f t="shared" si="5"/>
        <v>0</v>
      </c>
    </row>
    <row r="48" spans="2:17" ht="18" customHeight="1" x14ac:dyDescent="0.25">
      <c r="B48" s="63">
        <v>42</v>
      </c>
      <c r="C48" s="64">
        <f>IFERROR(Employee_Master!C45,"")</f>
        <v>0</v>
      </c>
      <c r="D48" s="58" t="str">
        <f>IFERROR(IF(Employee_Master!P45="","—",Employee_Master!P45&amp;" ("&amp;IF(IFERROR(Employee_Master!P45,"")="Weekly",5,IF(IFERROR(Employee_Master!P45,"")="Monthly",22,11))&amp;" days)"),"—")</f>
        <v>—</v>
      </c>
      <c r="E48" s="59">
        <v>0</v>
      </c>
      <c r="F48" s="59">
        <v>0</v>
      </c>
      <c r="G48" s="59">
        <v>0</v>
      </c>
      <c r="H48" s="59">
        <v>0</v>
      </c>
      <c r="I48" s="59">
        <v>0</v>
      </c>
      <c r="J48" s="59">
        <v>0</v>
      </c>
      <c r="K48" s="59">
        <v>0</v>
      </c>
      <c r="L48" s="59">
        <v>0</v>
      </c>
      <c r="M48" s="60">
        <f t="shared" si="3"/>
        <v>0</v>
      </c>
      <c r="N48" s="60">
        <f t="shared" si="4"/>
        <v>0</v>
      </c>
      <c r="O48" s="61">
        <f>IFERROR(M48*IFERROR(Employee_Master!I45,0),0)</f>
        <v>0</v>
      </c>
      <c r="P48" s="61">
        <f>IFERROR(N48*IFERROR(Employee_Master!J45,0),0)</f>
        <v>0</v>
      </c>
      <c r="Q48" s="62">
        <f t="shared" si="5"/>
        <v>0</v>
      </c>
    </row>
    <row r="49" spans="2:17" ht="18" customHeight="1" x14ac:dyDescent="0.25">
      <c r="B49" s="56">
        <v>43</v>
      </c>
      <c r="C49" s="57">
        <f>IFERROR(Employee_Master!C46,"")</f>
        <v>0</v>
      </c>
      <c r="D49" s="58" t="str">
        <f>IFERROR(IF(Employee_Master!P46="","—",Employee_Master!P46&amp;" ("&amp;IF(IFERROR(Employee_Master!P46,"")="Weekly",5,IF(IFERROR(Employee_Master!P46,"")="Monthly",22,11))&amp;" days)"),"—")</f>
        <v>—</v>
      </c>
      <c r="E49" s="59">
        <v>0</v>
      </c>
      <c r="F49" s="59">
        <v>0</v>
      </c>
      <c r="G49" s="59">
        <v>0</v>
      </c>
      <c r="H49" s="59">
        <v>0</v>
      </c>
      <c r="I49" s="59">
        <v>0</v>
      </c>
      <c r="J49" s="59">
        <v>0</v>
      </c>
      <c r="K49" s="59">
        <v>0</v>
      </c>
      <c r="L49" s="59">
        <v>0</v>
      </c>
      <c r="M49" s="60">
        <f t="shared" si="3"/>
        <v>0</v>
      </c>
      <c r="N49" s="60">
        <f t="shared" si="4"/>
        <v>0</v>
      </c>
      <c r="O49" s="61">
        <f>IFERROR(M49*IFERROR(Employee_Master!I46,0),0)</f>
        <v>0</v>
      </c>
      <c r="P49" s="61">
        <f>IFERROR(N49*IFERROR(Employee_Master!J46,0),0)</f>
        <v>0</v>
      </c>
      <c r="Q49" s="62">
        <f t="shared" si="5"/>
        <v>0</v>
      </c>
    </row>
    <row r="50" spans="2:17" ht="18" customHeight="1" x14ac:dyDescent="0.25">
      <c r="B50" s="63">
        <v>44</v>
      </c>
      <c r="C50" s="64">
        <f>IFERROR(Employee_Master!C47,"")</f>
        <v>0</v>
      </c>
      <c r="D50" s="58" t="str">
        <f>IFERROR(IF(Employee_Master!P47="","—",Employee_Master!P47&amp;" ("&amp;IF(IFERROR(Employee_Master!P47,"")="Weekly",5,IF(IFERROR(Employee_Master!P47,"")="Monthly",22,11))&amp;" days)"),"—")</f>
        <v>—</v>
      </c>
      <c r="E50" s="59">
        <v>0</v>
      </c>
      <c r="F50" s="59">
        <v>0</v>
      </c>
      <c r="G50" s="59">
        <v>0</v>
      </c>
      <c r="H50" s="59">
        <v>0</v>
      </c>
      <c r="I50" s="59">
        <v>0</v>
      </c>
      <c r="J50" s="59">
        <v>0</v>
      </c>
      <c r="K50" s="59">
        <v>0</v>
      </c>
      <c r="L50" s="59">
        <v>0</v>
      </c>
      <c r="M50" s="60">
        <f t="shared" si="3"/>
        <v>0</v>
      </c>
      <c r="N50" s="60">
        <f t="shared" si="4"/>
        <v>0</v>
      </c>
      <c r="O50" s="61">
        <f>IFERROR(M50*IFERROR(Employee_Master!I47,0),0)</f>
        <v>0</v>
      </c>
      <c r="P50" s="61">
        <f>IFERROR(N50*IFERROR(Employee_Master!J47,0),0)</f>
        <v>0</v>
      </c>
      <c r="Q50" s="62">
        <f t="shared" si="5"/>
        <v>0</v>
      </c>
    </row>
    <row r="51" spans="2:17" ht="18" customHeight="1" x14ac:dyDescent="0.25">
      <c r="B51" s="56">
        <v>45</v>
      </c>
      <c r="C51" s="57">
        <f>IFERROR(Employee_Master!C48,"")</f>
        <v>0</v>
      </c>
      <c r="D51" s="58" t="str">
        <f>IFERROR(IF(Employee_Master!P48="","—",Employee_Master!P48&amp;" ("&amp;IF(IFERROR(Employee_Master!P48,"")="Weekly",5,IF(IFERROR(Employee_Master!P48,"")="Monthly",22,11))&amp;" days)"),"—")</f>
        <v>—</v>
      </c>
      <c r="E51" s="59">
        <v>0</v>
      </c>
      <c r="F51" s="59">
        <v>0</v>
      </c>
      <c r="G51" s="59">
        <v>0</v>
      </c>
      <c r="H51" s="59">
        <v>0</v>
      </c>
      <c r="I51" s="59">
        <v>0</v>
      </c>
      <c r="J51" s="59">
        <v>0</v>
      </c>
      <c r="K51" s="59">
        <v>0</v>
      </c>
      <c r="L51" s="59">
        <v>0</v>
      </c>
      <c r="M51" s="60">
        <f t="shared" si="3"/>
        <v>0</v>
      </c>
      <c r="N51" s="60">
        <f t="shared" si="4"/>
        <v>0</v>
      </c>
      <c r="O51" s="61">
        <f>IFERROR(M51*IFERROR(Employee_Master!I48,0),0)</f>
        <v>0</v>
      </c>
      <c r="P51" s="61">
        <f>IFERROR(N51*IFERROR(Employee_Master!J48,0),0)</f>
        <v>0</v>
      </c>
      <c r="Q51" s="62">
        <f t="shared" si="5"/>
        <v>0</v>
      </c>
    </row>
    <row r="52" spans="2:17" ht="18" customHeight="1" x14ac:dyDescent="0.25">
      <c r="B52" s="63">
        <v>46</v>
      </c>
      <c r="C52" s="64">
        <f>IFERROR(Employee_Master!C49,"")</f>
        <v>0</v>
      </c>
      <c r="D52" s="58" t="str">
        <f>IFERROR(IF(Employee_Master!P49="","—",Employee_Master!P49&amp;" ("&amp;IF(IFERROR(Employee_Master!P49,"")="Weekly",5,IF(IFERROR(Employee_Master!P49,"")="Monthly",22,11))&amp;" days)"),"—")</f>
        <v>—</v>
      </c>
      <c r="E52" s="59">
        <v>0</v>
      </c>
      <c r="F52" s="59">
        <v>0</v>
      </c>
      <c r="G52" s="59">
        <v>0</v>
      </c>
      <c r="H52" s="59">
        <v>0</v>
      </c>
      <c r="I52" s="59">
        <v>0</v>
      </c>
      <c r="J52" s="59">
        <v>0</v>
      </c>
      <c r="K52" s="59">
        <v>0</v>
      </c>
      <c r="L52" s="59">
        <v>0</v>
      </c>
      <c r="M52" s="60">
        <f t="shared" si="3"/>
        <v>0</v>
      </c>
      <c r="N52" s="60">
        <f t="shared" si="4"/>
        <v>0</v>
      </c>
      <c r="O52" s="61">
        <f>IFERROR(M52*IFERROR(Employee_Master!I49,0),0)</f>
        <v>0</v>
      </c>
      <c r="P52" s="61">
        <f>IFERROR(N52*IFERROR(Employee_Master!J49,0),0)</f>
        <v>0</v>
      </c>
      <c r="Q52" s="62">
        <f t="shared" si="5"/>
        <v>0</v>
      </c>
    </row>
    <row r="53" spans="2:17" ht="18" customHeight="1" x14ac:dyDescent="0.25">
      <c r="B53" s="56">
        <v>47</v>
      </c>
      <c r="C53" s="57">
        <f>IFERROR(Employee_Master!C50,"")</f>
        <v>0</v>
      </c>
      <c r="D53" s="58" t="str">
        <f>IFERROR(IF(Employee_Master!P50="","—",Employee_Master!P50&amp;" ("&amp;IF(IFERROR(Employee_Master!P50,"")="Weekly",5,IF(IFERROR(Employee_Master!P50,"")="Monthly",22,11))&amp;" days)"),"—")</f>
        <v>—</v>
      </c>
      <c r="E53" s="59">
        <v>0</v>
      </c>
      <c r="F53" s="59">
        <v>0</v>
      </c>
      <c r="G53" s="59">
        <v>0</v>
      </c>
      <c r="H53" s="59">
        <v>0</v>
      </c>
      <c r="I53" s="59">
        <v>0</v>
      </c>
      <c r="J53" s="59">
        <v>0</v>
      </c>
      <c r="K53" s="59">
        <v>0</v>
      </c>
      <c r="L53" s="59">
        <v>0</v>
      </c>
      <c r="M53" s="60">
        <f t="shared" si="3"/>
        <v>0</v>
      </c>
      <c r="N53" s="60">
        <f t="shared" si="4"/>
        <v>0</v>
      </c>
      <c r="O53" s="61">
        <f>IFERROR(M53*IFERROR(Employee_Master!I50,0),0)</f>
        <v>0</v>
      </c>
      <c r="P53" s="61">
        <f>IFERROR(N53*IFERROR(Employee_Master!J50,0),0)</f>
        <v>0</v>
      </c>
      <c r="Q53" s="62">
        <f t="shared" si="5"/>
        <v>0</v>
      </c>
    </row>
    <row r="54" spans="2:17" ht="18" customHeight="1" x14ac:dyDescent="0.25">
      <c r="B54" s="63">
        <v>48</v>
      </c>
      <c r="C54" s="64">
        <f>IFERROR(Employee_Master!C51,"")</f>
        <v>0</v>
      </c>
      <c r="D54" s="58" t="str">
        <f>IFERROR(IF(Employee_Master!P51="","—",Employee_Master!P51&amp;" ("&amp;IF(IFERROR(Employee_Master!P51,"")="Weekly",5,IF(IFERROR(Employee_Master!P51,"")="Monthly",22,11))&amp;" days)"),"—")</f>
        <v>—</v>
      </c>
      <c r="E54" s="59">
        <v>0</v>
      </c>
      <c r="F54" s="59">
        <v>0</v>
      </c>
      <c r="G54" s="59">
        <v>0</v>
      </c>
      <c r="H54" s="59">
        <v>0</v>
      </c>
      <c r="I54" s="59">
        <v>0</v>
      </c>
      <c r="J54" s="59">
        <v>0</v>
      </c>
      <c r="K54" s="59">
        <v>0</v>
      </c>
      <c r="L54" s="59">
        <v>0</v>
      </c>
      <c r="M54" s="60">
        <f t="shared" si="3"/>
        <v>0</v>
      </c>
      <c r="N54" s="60">
        <f t="shared" si="4"/>
        <v>0</v>
      </c>
      <c r="O54" s="61">
        <f>IFERROR(M54*IFERROR(Employee_Master!I51,0),0)</f>
        <v>0</v>
      </c>
      <c r="P54" s="61">
        <f>IFERROR(N54*IFERROR(Employee_Master!J51,0),0)</f>
        <v>0</v>
      </c>
      <c r="Q54" s="62">
        <f t="shared" si="5"/>
        <v>0</v>
      </c>
    </row>
    <row r="55" spans="2:17" ht="18" customHeight="1" x14ac:dyDescent="0.25">
      <c r="B55" s="56">
        <v>49</v>
      </c>
      <c r="C55" s="57">
        <f>IFERROR(Employee_Master!C52,"")</f>
        <v>0</v>
      </c>
      <c r="D55" s="58" t="str">
        <f>IFERROR(IF(Employee_Master!P52="","—",Employee_Master!P52&amp;" ("&amp;IF(IFERROR(Employee_Master!P52,"")="Weekly",5,IF(IFERROR(Employee_Master!P52,"")="Monthly",22,11))&amp;" days)"),"—")</f>
        <v>—</v>
      </c>
      <c r="E55" s="59">
        <v>0</v>
      </c>
      <c r="F55" s="59">
        <v>0</v>
      </c>
      <c r="G55" s="59">
        <v>0</v>
      </c>
      <c r="H55" s="59">
        <v>0</v>
      </c>
      <c r="I55" s="59">
        <v>0</v>
      </c>
      <c r="J55" s="59">
        <v>0</v>
      </c>
      <c r="K55" s="59">
        <v>0</v>
      </c>
      <c r="L55" s="59">
        <v>0</v>
      </c>
      <c r="M55" s="60">
        <f t="shared" si="3"/>
        <v>0</v>
      </c>
      <c r="N55" s="60">
        <f t="shared" si="4"/>
        <v>0</v>
      </c>
      <c r="O55" s="61">
        <f>IFERROR(M55*IFERROR(Employee_Master!I52,0),0)</f>
        <v>0</v>
      </c>
      <c r="P55" s="61">
        <f>IFERROR(N55*IFERROR(Employee_Master!J52,0),0)</f>
        <v>0</v>
      </c>
      <c r="Q55" s="62">
        <f t="shared" si="5"/>
        <v>0</v>
      </c>
    </row>
    <row r="56" spans="2:17" ht="18" customHeight="1" x14ac:dyDescent="0.25">
      <c r="B56" s="63">
        <v>50</v>
      </c>
      <c r="C56" s="64">
        <f>IFERROR(Employee_Master!C53,"")</f>
        <v>0</v>
      </c>
      <c r="D56" s="58" t="str">
        <f>IFERROR(IF(Employee_Master!P53="","—",Employee_Master!P53&amp;" ("&amp;IF(IFERROR(Employee_Master!P53,"")="Weekly",5,IF(IFERROR(Employee_Master!P53,"")="Monthly",22,11))&amp;" days)"),"—")</f>
        <v>—</v>
      </c>
      <c r="E56" s="59">
        <v>0</v>
      </c>
      <c r="F56" s="59">
        <v>0</v>
      </c>
      <c r="G56" s="59">
        <v>0</v>
      </c>
      <c r="H56" s="59">
        <v>0</v>
      </c>
      <c r="I56" s="59">
        <v>0</v>
      </c>
      <c r="J56" s="59">
        <v>0</v>
      </c>
      <c r="K56" s="59">
        <v>0</v>
      </c>
      <c r="L56" s="59">
        <v>0</v>
      </c>
      <c r="M56" s="60">
        <f t="shared" si="3"/>
        <v>0</v>
      </c>
      <c r="N56" s="60">
        <f t="shared" si="4"/>
        <v>0</v>
      </c>
      <c r="O56" s="61">
        <f>IFERROR(M56*IFERROR(Employee_Master!I53,0),0)</f>
        <v>0</v>
      </c>
      <c r="P56" s="61">
        <f>IFERROR(N56*IFERROR(Employee_Master!J53,0),0)</f>
        <v>0</v>
      </c>
      <c r="Q56" s="62">
        <f t="shared" si="5"/>
        <v>0</v>
      </c>
    </row>
    <row r="57" spans="2:17" ht="21.75" customHeight="1" x14ac:dyDescent="0.25">
      <c r="B57" s="107" t="s">
        <v>347</v>
      </c>
      <c r="C57" s="107"/>
      <c r="D57" s="107"/>
      <c r="E57" s="65">
        <f t="shared" ref="E57:Q57" si="6">SUM(E7:E56)</f>
        <v>0</v>
      </c>
      <c r="F57" s="65">
        <f t="shared" si="6"/>
        <v>0</v>
      </c>
      <c r="G57" s="65">
        <f t="shared" si="6"/>
        <v>0</v>
      </c>
      <c r="H57" s="65">
        <f t="shared" si="6"/>
        <v>0</v>
      </c>
      <c r="I57" s="65">
        <f t="shared" si="6"/>
        <v>0</v>
      </c>
      <c r="J57" s="65">
        <f t="shared" si="6"/>
        <v>0</v>
      </c>
      <c r="K57" s="65">
        <f t="shared" si="6"/>
        <v>0</v>
      </c>
      <c r="L57" s="65">
        <f t="shared" si="6"/>
        <v>0</v>
      </c>
      <c r="M57" s="66">
        <f t="shared" si="6"/>
        <v>0</v>
      </c>
      <c r="N57" s="66">
        <f t="shared" si="6"/>
        <v>0</v>
      </c>
      <c r="O57" s="67">
        <f t="shared" si="6"/>
        <v>0</v>
      </c>
      <c r="P57" s="67">
        <f t="shared" si="6"/>
        <v>0</v>
      </c>
      <c r="Q57" s="67">
        <f t="shared" si="6"/>
        <v>0</v>
      </c>
    </row>
    <row r="59" spans="2:17" ht="19.5" customHeight="1" x14ac:dyDescent="0.25">
      <c r="B59" s="108" t="s">
        <v>348</v>
      </c>
      <c r="C59" s="108"/>
      <c r="D59" s="108"/>
      <c r="E59" s="108"/>
      <c r="F59" s="108"/>
      <c r="G59" s="108"/>
      <c r="H59" s="108"/>
      <c r="I59" s="108"/>
      <c r="J59" s="108"/>
      <c r="K59" s="108"/>
      <c r="L59" s="108"/>
      <c r="M59" s="108"/>
      <c r="N59" s="108"/>
      <c r="O59" s="108"/>
      <c r="P59" s="108"/>
      <c r="Q59" s="108"/>
    </row>
  </sheetData>
  <mergeCells count="13">
    <mergeCell ref="O5:P5"/>
    <mergeCell ref="B57:D57"/>
    <mergeCell ref="B59:Q59"/>
    <mergeCell ref="B5:D5"/>
    <mergeCell ref="E5:G5"/>
    <mergeCell ref="H5:J5"/>
    <mergeCell ref="K5:L5"/>
    <mergeCell ref="M5:N5"/>
    <mergeCell ref="B1:Q1"/>
    <mergeCell ref="B2:Q2"/>
    <mergeCell ref="B4:D4"/>
    <mergeCell ref="E4:G4"/>
    <mergeCell ref="H4:Q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6"/>
  <sheetViews>
    <sheetView showGridLines="0" zoomScaleNormal="100" workbookViewId="0">
      <pane xSplit="3" ySplit="5" topLeftCell="D6" activePane="bottomRight" state="frozen"/>
      <selection activeCell="I15" sqref="I15"/>
      <selection pane="topRight" activeCell="I15" sqref="I15"/>
      <selection pane="bottomLeft" activeCell="I15" sqref="I15"/>
      <selection pane="bottomRight" activeCell="K11" sqref="K11"/>
    </sheetView>
  </sheetViews>
  <sheetFormatPr defaultColWidth="8.7109375" defaultRowHeight="15" x14ac:dyDescent="0.25"/>
  <cols>
    <col min="1" max="1" width="3" customWidth="1"/>
    <col min="2" max="2" width="10" customWidth="1"/>
    <col min="3" max="3" width="22" customWidth="1"/>
    <col min="4" max="4" width="16" customWidth="1"/>
    <col min="5" max="13" width="14" customWidth="1"/>
    <col min="14" max="14" width="16" customWidth="1"/>
    <col min="15" max="17" width="14" customWidth="1"/>
    <col min="18" max="26" width="13" customWidth="1"/>
  </cols>
  <sheetData>
    <row r="1" spans="1:26" ht="17.25" customHeight="1" x14ac:dyDescent="0.25">
      <c r="A1" s="109" t="s">
        <v>349</v>
      </c>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15" customHeight="1" x14ac:dyDescent="0.25">
      <c r="A2" s="110" t="s">
        <v>350</v>
      </c>
      <c r="B2" s="110"/>
      <c r="C2" s="110"/>
      <c r="D2" s="111" t="s">
        <v>351</v>
      </c>
      <c r="E2" s="111"/>
      <c r="F2" s="111"/>
      <c r="G2" s="111"/>
      <c r="H2" s="111"/>
    </row>
    <row r="3" spans="1:26" ht="23.25" customHeight="1" x14ac:dyDescent="0.25">
      <c r="A3" s="110" t="s">
        <v>352</v>
      </c>
      <c r="B3" s="110"/>
      <c r="C3" s="41" t="s">
        <v>353</v>
      </c>
      <c r="D3" s="20" t="s">
        <v>319</v>
      </c>
      <c r="E3" s="43" t="s">
        <v>354</v>
      </c>
      <c r="F3" s="20" t="s">
        <v>320</v>
      </c>
      <c r="G3" s="41">
        <v>2024</v>
      </c>
      <c r="H3" s="20" t="s">
        <v>355</v>
      </c>
      <c r="I3" s="41">
        <v>13</v>
      </c>
      <c r="J3" s="68" t="s">
        <v>356</v>
      </c>
      <c r="K3" s="69" t="s">
        <v>413</v>
      </c>
      <c r="L3" s="38" t="s">
        <v>357</v>
      </c>
      <c r="O3" s="70"/>
    </row>
    <row r="4" spans="1:26" ht="15" customHeight="1" x14ac:dyDescent="0.25">
      <c r="D4" s="13" t="s">
        <v>358</v>
      </c>
      <c r="E4" s="13"/>
      <c r="F4" s="13"/>
      <c r="G4" s="13" t="s">
        <v>359</v>
      </c>
      <c r="H4" s="13"/>
      <c r="I4" s="13"/>
      <c r="J4" s="13" t="s">
        <v>360</v>
      </c>
      <c r="K4" s="13"/>
      <c r="L4" s="13" t="s">
        <v>361</v>
      </c>
      <c r="M4" s="13"/>
      <c r="N4" s="13"/>
      <c r="O4" s="13"/>
      <c r="P4" s="13" t="s">
        <v>362</v>
      </c>
      <c r="Q4" s="13"/>
      <c r="R4" s="105" t="s">
        <v>363</v>
      </c>
      <c r="S4" s="105"/>
      <c r="T4" s="105"/>
      <c r="U4" s="105"/>
      <c r="V4" s="71" t="s">
        <v>364</v>
      </c>
      <c r="W4" s="112" t="s">
        <v>364</v>
      </c>
      <c r="X4" s="112"/>
      <c r="Y4" s="112"/>
      <c r="Z4" s="112"/>
    </row>
    <row r="5" spans="1:26" ht="42" customHeight="1" x14ac:dyDescent="0.25">
      <c r="A5" s="72" t="s">
        <v>331</v>
      </c>
      <c r="B5" s="72" t="s">
        <v>228</v>
      </c>
      <c r="C5" s="72" t="s">
        <v>332</v>
      </c>
      <c r="D5" s="72" t="s">
        <v>365</v>
      </c>
      <c r="E5" s="72" t="s">
        <v>366</v>
      </c>
      <c r="F5" s="72" t="s">
        <v>367</v>
      </c>
      <c r="G5" s="72" t="s">
        <v>368</v>
      </c>
      <c r="H5" s="72" t="s">
        <v>369</v>
      </c>
      <c r="I5" s="72" t="s">
        <v>370</v>
      </c>
      <c r="J5" s="72" t="s">
        <v>371</v>
      </c>
      <c r="K5" s="72" t="s">
        <v>372</v>
      </c>
      <c r="L5" s="72" t="s">
        <v>373</v>
      </c>
      <c r="M5" s="72" t="s">
        <v>374</v>
      </c>
      <c r="N5" s="72" t="s">
        <v>375</v>
      </c>
      <c r="O5" s="72" t="s">
        <v>376</v>
      </c>
      <c r="P5" s="72" t="s">
        <v>377</v>
      </c>
      <c r="Q5" s="72" t="s">
        <v>378</v>
      </c>
      <c r="R5" s="54" t="s">
        <v>379</v>
      </c>
      <c r="S5" s="54" t="s">
        <v>380</v>
      </c>
      <c r="T5" s="54" t="s">
        <v>381</v>
      </c>
      <c r="U5" s="54" t="s">
        <v>382</v>
      </c>
      <c r="V5" s="73" t="s">
        <v>383</v>
      </c>
      <c r="W5" s="74" t="s">
        <v>384</v>
      </c>
      <c r="X5" s="74" t="s">
        <v>385</v>
      </c>
      <c r="Y5" s="74" t="s">
        <v>386</v>
      </c>
      <c r="Z5" s="74" t="s">
        <v>387</v>
      </c>
    </row>
    <row r="6" spans="1:26" ht="19.5" customHeight="1" x14ac:dyDescent="0.25">
      <c r="A6" s="40" t="s">
        <v>61</v>
      </c>
      <c r="B6" s="75" t="str">
        <f>Employee_Master!B4</f>
        <v>EMP-001</v>
      </c>
      <c r="C6" s="76" t="str">
        <f>Employee_Master!C4</f>
        <v>Juan dela Cruz</v>
      </c>
      <c r="D6" s="77">
        <f>Employee_Master!H4</f>
        <v>30000</v>
      </c>
      <c r="E6" s="41">
        <f>IFERROR(IF(IFERROR(Employee_Master!P4,"")="Weekly",5,IF(IFERROR(Employee_Master!P4,"")="Monthly",22,11)),0)</f>
        <v>11</v>
      </c>
      <c r="F6" s="46">
        <f>IFERROR(Employee_Master!I4*E6,0)</f>
        <v>15000.000000000002</v>
      </c>
      <c r="G6" s="78">
        <f>IFERROR(IF(D6=0,0,VLOOKUP(D6,SSS_Table!$B$4:$D$64,3,TRUE())*IF(IFERROR(Employee_Master!P4,"")&lt;&gt;"Semi-Monthly",1,IF(Payroll_Register!$K$3="Every Period",1,IF(Payroll_Register!$K$3="1st Half",IF(Payroll_Register!$C$3="1st Half",1,0),IF(Payroll_Register!$C$3="2nd Half",1,0))))/IF(IFERROR(Employee_Master!P4,"")="Weekly",4.33,IF(IFERROR(Employee_Master!P4,"")="Monthly",1,IF(Payroll_Register!$K$3="Every Period",2,1)))),0)</f>
        <v>750</v>
      </c>
      <c r="H6" s="78">
        <f>IFERROR(IF(D6=0,0,MIN(MAX(D6*0.025,250),2500)*IF(IFERROR(Employee_Master!P4,"")&lt;&gt;"Semi-Monthly",1,IF(Payroll_Register!$K$3="Every Period",1,IF(Payroll_Register!$K$3="1st Half",IF(Payroll_Register!$C$3="1st Half",1,0),IF(Payroll_Register!$C$3="2nd Half",1,0))))/IF(IFERROR(Employee_Master!P4,"")="Weekly",4.33,IF(IFERROR(Employee_Master!P4,"")="Monthly",1,IF(Payroll_Register!$K$3="Every Period",2,1)))),0)</f>
        <v>375</v>
      </c>
      <c r="I6" s="78">
        <f>IFERROR(IF(D6=0,0,MIN(D6*0.02,200)*IF(IFERROR(Employee_Master!P4,"")&lt;&gt;"Semi-Monthly",1,IF(Payroll_Register!$K$3="Every Period",1,IF(Payroll_Register!$K$3="1st Half",IF(Payroll_Register!$C$3="1st Half",1,0),IF(Payroll_Register!$C$3="2nd Half",1,0))))/IF(IFERROR(Employee_Master!P4,"")="Weekly",4.33,IF(IFERROR(Employee_Master!P4,"")="Monthly",1,IF(Payroll_Register!$K$3="Every Period",2,1)))),0)</f>
        <v>100</v>
      </c>
      <c r="J6" s="45">
        <f>IFERROR(Attendance_Register!Q7,0)</f>
        <v>0</v>
      </c>
      <c r="K6" s="45">
        <v>0</v>
      </c>
      <c r="L6" s="46">
        <f t="shared" ref="L6:L37" si="0">IFERROR(F6+Q6+S6+U6,0)</f>
        <v>15000.000000000002</v>
      </c>
      <c r="M6" s="78">
        <f t="shared" ref="M6:M37" si="1">IFERROR(G6+H6+I6+J6+K6+O6,0)</f>
        <v>1728.7495000000004</v>
      </c>
      <c r="N6" s="46">
        <f t="shared" ref="N6:N37" si="2">IFERROR(L6-G6-H6-I6,0)</f>
        <v>13775.000000000002</v>
      </c>
      <c r="O6" s="78">
        <f>IFERROR(IF(D6=0,0,IF(N6&lt;=0,0,IF(N6*IF(IFERROR(Employee_Master!P4,"")="Weekly",0.5,IF(IFERROR(Employee_Master!P4,"")="Monthly",2,1))&lt;=10416.67,0,IF(N6*IF(IFERROR(Employee_Master!P4,"")="Weekly",0.5,IF(IFERROR(Employee_Master!P4,"")="Monthly",2,1))&lt;=16666.67,(N6*IF(IFERROR(Employee_Master!P4,"")="Weekly",0.5,IF(IFERROR(Employee_Master!P4,"")="Monthly",2,1))-10416.67)*0.15,IF(N6*IF(IFERROR(Employee_Master!P4,"")="Weekly",0.5,IF(IFERROR(Employee_Master!P4,"")="Monthly",2,1))&lt;=33333.33,937.5+(N6*IF(IFERROR(Employee_Master!P4,"")="Weekly",0.5,IF(IFERROR(Employee_Master!P4,"")="Monthly",2,1))-16666.67)*0.2,IF(N6*IF(IFERROR(Employee_Master!P4,"")="Weekly",0.5,IF(IFERROR(Employee_Master!P4,"")="Monthly",2,1))&lt;=83333.33,4270.83+(N6*IF(IFERROR(Employee_Master!P4,"")="Weekly",0.5,IF(IFERROR(Employee_Master!P4,"")="Monthly",2,1))-33333.33)*0.25,IF(N6*IF(IFERROR(Employee_Master!P4,"")="Weekly",0.5,IF(IFERROR(Employee_Master!P4,"")="Monthly",2,1))&lt;=333333.33,16770.83+(N6*IF(IFERROR(Employee_Master!P4,"")="Weekly",0.5,IF(IFERROR(Employee_Master!P4,"")="Monthly",2,1))-83333.33)*0.3,91770.83+(N6*IF(IFERROR(Employee_Master!P4,"")="Weekly",0.5,IF(IFERROR(Employee_Master!P4,"")="Monthly",2,1))-333333.33)*0.35))))))/IF(IFERROR(Employee_Master!P4,"")="Weekly",0.5,IF(IFERROR(Employee_Master!P4,"")="Monthly",2,1))),0)</f>
        <v>503.74950000000024</v>
      </c>
      <c r="P6" s="46">
        <f>IFERROR(IF(D6=0,0,D6/12/IF(IFERROR(Employee_Master!P4,"")="Weekly",4.33,IF(IFERROR(Employee_Master!P4,"")="Monthly",1,2))),0)</f>
        <v>1250</v>
      </c>
      <c r="Q6" s="45">
        <v>0</v>
      </c>
      <c r="R6" s="79">
        <v>0</v>
      </c>
      <c r="S6" s="80">
        <f>IFERROR(Employee_Master!I4*R6*2,0)</f>
        <v>0</v>
      </c>
      <c r="T6" s="79">
        <v>0</v>
      </c>
      <c r="U6" s="80">
        <f>IFERROR(Employee_Master!I4*T6*0.3,0)</f>
        <v>0</v>
      </c>
      <c r="V6" s="81">
        <f t="shared" ref="V6:V37" si="3">IFERROR(L6-M6,0)</f>
        <v>13271.250500000002</v>
      </c>
      <c r="W6" s="82">
        <f>IFERROR(IF(D6=0,0,VLOOKUP(D6,SSS_Table!$B$4:$E$64,4,TRUE())*IF(IFERROR(Employee_Master!P4,"")&lt;&gt;"Semi-Monthly",1,IF(Payroll_Register!$K$3="Every Period",1,IF(Payroll_Register!$K$3="1st Half",IF(Payroll_Register!$C$3="1st Half",1,0),IF(Payroll_Register!$C$3="2nd Half",1,0))))/IF(IFERROR(Employee_Master!P4,"")="Weekly",4.33,IF(IFERROR(Employee_Master!P4,"")="Monthly",1,IF(Payroll_Register!$K$3="Every Period",2,1)))),0)</f>
        <v>1515</v>
      </c>
      <c r="X6" s="82">
        <f t="shared" ref="X6:X37" si="4">IFERROR(H6,0)</f>
        <v>375</v>
      </c>
      <c r="Y6" s="82">
        <f t="shared" ref="Y6:Y37" si="5">IFERROR(I6,0)</f>
        <v>100</v>
      </c>
      <c r="Z6" s="82">
        <f t="shared" ref="Z6:Z37" si="6">IFERROR(W6+X6+Y6,0)</f>
        <v>1990</v>
      </c>
    </row>
    <row r="7" spans="1:26" ht="19.5" customHeight="1" x14ac:dyDescent="0.25">
      <c r="A7" s="47" t="s">
        <v>63</v>
      </c>
      <c r="B7" s="83" t="str">
        <f>Employee_Master!B5</f>
        <v>EMP-002</v>
      </c>
      <c r="C7" s="84" t="str">
        <f>Employee_Master!C5</f>
        <v>Maria Santos</v>
      </c>
      <c r="D7" s="85">
        <f>Employee_Master!H5</f>
        <v>25000</v>
      </c>
      <c r="E7" s="41">
        <f>IFERROR(IF(IFERROR(Employee_Master!P5,"")="Weekly",5,IF(IFERROR(Employee_Master!P5,"")="Monthly",22,11)),0)</f>
        <v>11</v>
      </c>
      <c r="F7" s="48">
        <f>IFERROR(Employee_Master!I5*E7,0)</f>
        <v>12499.999999999998</v>
      </c>
      <c r="G7" s="78">
        <f>IFERROR(IF(D7=0,0,VLOOKUP(D7,SSS_Table!$B$4:$D$64,3,TRUE())*IF(IFERROR(Employee_Master!P5,"")&lt;&gt;"Semi-Monthly",1,IF(Payroll_Register!$K$3="Every Period",1,IF(Payroll_Register!$K$3="1st Half",IF(Payroll_Register!$C$3="1st Half",1,0),IF(Payroll_Register!$C$3="2nd Half",1,0))))/IF(IFERROR(Employee_Master!P5,"")="Weekly",4.33,IF(IFERROR(Employee_Master!P5,"")="Monthly",1,IF(Payroll_Register!$K$3="Every Period",2,1)))),0)</f>
        <v>625</v>
      </c>
      <c r="H7" s="78">
        <f>IFERROR(IF(D7=0,0,MIN(MAX(D7*0.025,250),2500)*IF(IFERROR(Employee_Master!P5,"")&lt;&gt;"Semi-Monthly",1,IF(Payroll_Register!$K$3="Every Period",1,IF(Payroll_Register!$K$3="1st Half",IF(Payroll_Register!$C$3="1st Half",1,0),IF(Payroll_Register!$C$3="2nd Half",1,0))))/IF(IFERROR(Employee_Master!P5,"")="Weekly",4.33,IF(IFERROR(Employee_Master!P5,"")="Monthly",1,IF(Payroll_Register!$K$3="Every Period",2,1)))),0)</f>
        <v>312.5</v>
      </c>
      <c r="I7" s="78">
        <f>IFERROR(IF(D7=0,0,MIN(D7*0.02,200)*IF(IFERROR(Employee_Master!P5,"")&lt;&gt;"Semi-Monthly",1,IF(Payroll_Register!$K$3="Every Period",1,IF(Payroll_Register!$K$3="1st Half",IF(Payroll_Register!$C$3="1st Half",1,0),IF(Payroll_Register!$C$3="2nd Half",1,0))))/IF(IFERROR(Employee_Master!P5,"")="Weekly",4.33,IF(IFERROR(Employee_Master!P5,"")="Monthly",1,IF(Payroll_Register!$K$3="Every Period",2,1)))),0)</f>
        <v>100</v>
      </c>
      <c r="J7" s="45">
        <f>IFERROR(Attendance_Register!Q8,0)</f>
        <v>0</v>
      </c>
      <c r="K7" s="45">
        <v>0</v>
      </c>
      <c r="L7" s="48">
        <f t="shared" si="0"/>
        <v>12499.999999999998</v>
      </c>
      <c r="M7" s="78">
        <f t="shared" si="1"/>
        <v>1194.3744999999997</v>
      </c>
      <c r="N7" s="48">
        <f t="shared" si="2"/>
        <v>11462.499999999998</v>
      </c>
      <c r="O7" s="78">
        <f>IFERROR(IF(D7=0,0,IF(N7&lt;=0,0,IF(N7*IF(IFERROR(Employee_Master!P5,"")="Weekly",0.5,IF(IFERROR(Employee_Master!P5,"")="Monthly",2,1))&lt;=10416.67,0,IF(N7*IF(IFERROR(Employee_Master!P5,"")="Weekly",0.5,IF(IFERROR(Employee_Master!P5,"")="Monthly",2,1))&lt;=16666.67,(N7*IF(IFERROR(Employee_Master!P5,"")="Weekly",0.5,IF(IFERROR(Employee_Master!P5,"")="Monthly",2,1))-10416.67)*0.15,IF(N7*IF(IFERROR(Employee_Master!P5,"")="Weekly",0.5,IF(IFERROR(Employee_Master!P5,"")="Monthly",2,1))&lt;=33333.33,937.5+(N7*IF(IFERROR(Employee_Master!P5,"")="Weekly",0.5,IF(IFERROR(Employee_Master!P5,"")="Monthly",2,1))-16666.67)*0.2,IF(N7*IF(IFERROR(Employee_Master!P5,"")="Weekly",0.5,IF(IFERROR(Employee_Master!P5,"")="Monthly",2,1))&lt;=83333.33,4270.83+(N7*IF(IFERROR(Employee_Master!P5,"")="Weekly",0.5,IF(IFERROR(Employee_Master!P5,"")="Monthly",2,1))-33333.33)*0.25,IF(N7*IF(IFERROR(Employee_Master!P5,"")="Weekly",0.5,IF(IFERROR(Employee_Master!P5,"")="Monthly",2,1))&lt;=333333.33,16770.83+(N7*IF(IFERROR(Employee_Master!P5,"")="Weekly",0.5,IF(IFERROR(Employee_Master!P5,"")="Monthly",2,1))-83333.33)*0.3,91770.83+(N7*IF(IFERROR(Employee_Master!P5,"")="Weekly",0.5,IF(IFERROR(Employee_Master!P5,"")="Monthly",2,1))-333333.33)*0.35))))))/IF(IFERROR(Employee_Master!P5,"")="Weekly",0.5,IF(IFERROR(Employee_Master!P5,"")="Monthly",2,1))),0)</f>
        <v>156.8744999999997</v>
      </c>
      <c r="P7" s="48">
        <f>IFERROR(IF(D7=0,0,D7/12/IF(IFERROR(Employee_Master!P5,"")="Weekly",4.33,IF(IFERROR(Employee_Master!P5,"")="Monthly",1,2))),0)</f>
        <v>1041.6666666666667</v>
      </c>
      <c r="Q7" s="45">
        <v>0</v>
      </c>
      <c r="R7" s="79">
        <v>0</v>
      </c>
      <c r="S7" s="80">
        <f>IFERROR(Employee_Master!I5*R7*2,0)</f>
        <v>0</v>
      </c>
      <c r="T7" s="79">
        <v>0</v>
      </c>
      <c r="U7" s="80">
        <f>IFERROR(Employee_Master!I5*T7*0.3,0)</f>
        <v>0</v>
      </c>
      <c r="V7" s="81">
        <f t="shared" si="3"/>
        <v>11305.625499999998</v>
      </c>
      <c r="W7" s="82">
        <f>IFERROR(IF(D7=0,0,VLOOKUP(D7,SSS_Table!$B$4:$E$64,4,TRUE())*IF(IFERROR(Employee_Master!P5,"")&lt;&gt;"Semi-Monthly",1,IF(Payroll_Register!$K$3="Every Period",1,IF(Payroll_Register!$K$3="1st Half",IF(Payroll_Register!$C$3="1st Half",1,0),IF(Payroll_Register!$C$3="2nd Half",1,0))))/IF(IFERROR(Employee_Master!P5,"")="Weekly",4.33,IF(IFERROR(Employee_Master!P5,"")="Monthly",1,IF(Payroll_Register!$K$3="Every Period",2,1)))),0)</f>
        <v>1265</v>
      </c>
      <c r="X7" s="82">
        <f t="shared" si="4"/>
        <v>312.5</v>
      </c>
      <c r="Y7" s="82">
        <f t="shared" si="5"/>
        <v>100</v>
      </c>
      <c r="Z7" s="82">
        <f t="shared" si="6"/>
        <v>1677.5</v>
      </c>
    </row>
    <row r="8" spans="1:26" ht="19.5" customHeight="1" x14ac:dyDescent="0.25">
      <c r="A8" s="40" t="s">
        <v>65</v>
      </c>
      <c r="B8" s="75" t="str">
        <f>Employee_Master!B6</f>
        <v>EMP-003</v>
      </c>
      <c r="C8" s="76" t="str">
        <f>Employee_Master!C6</f>
        <v>Pedro Reyes</v>
      </c>
      <c r="D8" s="77">
        <f>Employee_Master!H6</f>
        <v>35000</v>
      </c>
      <c r="E8" s="41">
        <f>IFERROR(IF(IFERROR(Employee_Master!P6,"")="Weekly",5,IF(IFERROR(Employee_Master!P6,"")="Monthly",22,11)),0)</f>
        <v>11</v>
      </c>
      <c r="F8" s="46">
        <f>IFERROR(Employee_Master!I6*E8,0)</f>
        <v>17500</v>
      </c>
      <c r="G8" s="78">
        <f>IFERROR(IF(D8=0,0,VLOOKUP(D8,SSS_Table!$B$4:$D$64,3,TRUE())*IF(IFERROR(Employee_Master!P6,"")&lt;&gt;"Semi-Monthly",1,IF(Payroll_Register!$K$3="Every Period",1,IF(Payroll_Register!$K$3="1st Half",IF(Payroll_Register!$C$3="1st Half",1,0),IF(Payroll_Register!$C$3="2nd Half",1,0))))/IF(IFERROR(Employee_Master!P6,"")="Weekly",4.33,IF(IFERROR(Employee_Master!P6,"")="Monthly",1,IF(Payroll_Register!$K$3="Every Period",2,1)))),0)</f>
        <v>875</v>
      </c>
      <c r="H8" s="78">
        <f>IFERROR(IF(D8=0,0,MIN(MAX(D8*0.025,250),2500)*IF(IFERROR(Employee_Master!P6,"")&lt;&gt;"Semi-Monthly",1,IF(Payroll_Register!$K$3="Every Period",1,IF(Payroll_Register!$K$3="1st Half",IF(Payroll_Register!$C$3="1st Half",1,0),IF(Payroll_Register!$C$3="2nd Half",1,0))))/IF(IFERROR(Employee_Master!P6,"")="Weekly",4.33,IF(IFERROR(Employee_Master!P6,"")="Monthly",1,IF(Payroll_Register!$K$3="Every Period",2,1)))),0)</f>
        <v>437.5</v>
      </c>
      <c r="I8" s="78">
        <f>IFERROR(IF(D8=0,0,MIN(D8*0.02,200)*IF(IFERROR(Employee_Master!P6,"")&lt;&gt;"Semi-Monthly",1,IF(Payroll_Register!$K$3="Every Period",1,IF(Payroll_Register!$K$3="1st Half",IF(Payroll_Register!$C$3="1st Half",1,0),IF(Payroll_Register!$C$3="2nd Half",1,0))))/IF(IFERROR(Employee_Master!P6,"")="Weekly",4.33,IF(IFERROR(Employee_Master!P6,"")="Monthly",1,IF(Payroll_Register!$K$3="Every Period",2,1)))),0)</f>
        <v>100</v>
      </c>
      <c r="J8" s="45">
        <f>IFERROR(Attendance_Register!Q9,0)</f>
        <v>0</v>
      </c>
      <c r="K8" s="45">
        <v>0</v>
      </c>
      <c r="L8" s="46">
        <f t="shared" si="0"/>
        <v>17500</v>
      </c>
      <c r="M8" s="78">
        <f t="shared" si="1"/>
        <v>2263.1244999999999</v>
      </c>
      <c r="N8" s="46">
        <f t="shared" si="2"/>
        <v>16087.5</v>
      </c>
      <c r="O8" s="78">
        <f>IFERROR(IF(D8=0,0,IF(N8&lt;=0,0,IF(N8*IF(IFERROR(Employee_Master!P6,"")="Weekly",0.5,IF(IFERROR(Employee_Master!P6,"")="Monthly",2,1))&lt;=10416.67,0,IF(N8*IF(IFERROR(Employee_Master!P6,"")="Weekly",0.5,IF(IFERROR(Employee_Master!P6,"")="Monthly",2,1))&lt;=16666.67,(N8*IF(IFERROR(Employee_Master!P6,"")="Weekly",0.5,IF(IFERROR(Employee_Master!P6,"")="Monthly",2,1))-10416.67)*0.15,IF(N8*IF(IFERROR(Employee_Master!P6,"")="Weekly",0.5,IF(IFERROR(Employee_Master!P6,"")="Monthly",2,1))&lt;=33333.33,937.5+(N8*IF(IFERROR(Employee_Master!P6,"")="Weekly",0.5,IF(IFERROR(Employee_Master!P6,"")="Monthly",2,1))-16666.67)*0.2,IF(N8*IF(IFERROR(Employee_Master!P6,"")="Weekly",0.5,IF(IFERROR(Employee_Master!P6,"")="Monthly",2,1))&lt;=83333.33,4270.83+(N8*IF(IFERROR(Employee_Master!P6,"")="Weekly",0.5,IF(IFERROR(Employee_Master!P6,"")="Monthly",2,1))-33333.33)*0.25,IF(N8*IF(IFERROR(Employee_Master!P6,"")="Weekly",0.5,IF(IFERROR(Employee_Master!P6,"")="Monthly",2,1))&lt;=333333.33,16770.83+(N8*IF(IFERROR(Employee_Master!P6,"")="Weekly",0.5,IF(IFERROR(Employee_Master!P6,"")="Monthly",2,1))-83333.33)*0.3,91770.83+(N8*IF(IFERROR(Employee_Master!P6,"")="Weekly",0.5,IF(IFERROR(Employee_Master!P6,"")="Monthly",2,1))-333333.33)*0.35))))))/IF(IFERROR(Employee_Master!P6,"")="Weekly",0.5,IF(IFERROR(Employee_Master!P6,"")="Monthly",2,1))),0)</f>
        <v>850.62450000000001</v>
      </c>
      <c r="P8" s="46">
        <f>IFERROR(IF(D8=0,0,D8/12/IF(IFERROR(Employee_Master!P6,"")="Weekly",4.33,IF(IFERROR(Employee_Master!P6,"")="Monthly",1,2))),0)</f>
        <v>1458.3333333333333</v>
      </c>
      <c r="Q8" s="45">
        <v>0</v>
      </c>
      <c r="R8" s="79">
        <v>0</v>
      </c>
      <c r="S8" s="80">
        <f>IFERROR(Employee_Master!I6*R8*2,0)</f>
        <v>0</v>
      </c>
      <c r="T8" s="79">
        <v>0</v>
      </c>
      <c r="U8" s="80">
        <f>IFERROR(Employee_Master!I6*T8*0.3,0)</f>
        <v>0</v>
      </c>
      <c r="V8" s="81">
        <f t="shared" si="3"/>
        <v>15236.8755</v>
      </c>
      <c r="W8" s="82">
        <f>IFERROR(IF(D8=0,0,VLOOKUP(D8,SSS_Table!$B$4:$E$64,4,TRUE())*IF(IFERROR(Employee_Master!P6,"")&lt;&gt;"Semi-Monthly",1,IF(Payroll_Register!$K$3="Every Period",1,IF(Payroll_Register!$K$3="1st Half",IF(Payroll_Register!$C$3="1st Half",1,0),IF(Payroll_Register!$C$3="2nd Half",1,0))))/IF(IFERROR(Employee_Master!P6,"")="Weekly",4.33,IF(IFERROR(Employee_Master!P6,"")="Monthly",1,IF(Payroll_Register!$K$3="Every Period",2,1)))),0)</f>
        <v>1765</v>
      </c>
      <c r="X8" s="82">
        <f t="shared" si="4"/>
        <v>437.5</v>
      </c>
      <c r="Y8" s="82">
        <f t="shared" si="5"/>
        <v>100</v>
      </c>
      <c r="Z8" s="82">
        <f t="shared" si="6"/>
        <v>2302.5</v>
      </c>
    </row>
    <row r="9" spans="1:26" ht="19.5" customHeight="1" x14ac:dyDescent="0.25">
      <c r="A9" s="47" t="s">
        <v>67</v>
      </c>
      <c r="B9" s="83" t="str">
        <f>Employee_Master!B7</f>
        <v>EMP-004</v>
      </c>
      <c r="C9" s="84" t="str">
        <f>Employee_Master!C7</f>
        <v>Ana Gonzales</v>
      </c>
      <c r="D9" s="85">
        <f>Employee_Master!H7</f>
        <v>18000</v>
      </c>
      <c r="E9" s="41">
        <f>IFERROR(IF(IFERROR(Employee_Master!P7,"")="Weekly",5,IF(IFERROR(Employee_Master!P7,"")="Monthly",22,11)),0)</f>
        <v>11</v>
      </c>
      <c r="F9" s="48">
        <f>IFERROR(Employee_Master!I7*E9,0)</f>
        <v>9000</v>
      </c>
      <c r="G9" s="78">
        <f>IFERROR(IF(D9=0,0,VLOOKUP(D9,SSS_Table!$B$4:$D$64,3,TRUE())*IF(IFERROR(Employee_Master!P7,"")&lt;&gt;"Semi-Monthly",1,IF(Payroll_Register!$K$3="Every Period",1,IF(Payroll_Register!$K$3="1st Half",IF(Payroll_Register!$C$3="1st Half",1,0),IF(Payroll_Register!$C$3="2nd Half",1,0))))/IF(IFERROR(Employee_Master!P7,"")="Weekly",4.33,IF(IFERROR(Employee_Master!P7,"")="Monthly",1,IF(Payroll_Register!$K$3="Every Period",2,1)))),0)</f>
        <v>450</v>
      </c>
      <c r="H9" s="78">
        <f>IFERROR(IF(D9=0,0,MIN(MAX(D9*0.025,250),2500)*IF(IFERROR(Employee_Master!P7,"")&lt;&gt;"Semi-Monthly",1,IF(Payroll_Register!$K$3="Every Period",1,IF(Payroll_Register!$K$3="1st Half",IF(Payroll_Register!$C$3="1st Half",1,0),IF(Payroll_Register!$C$3="2nd Half",1,0))))/IF(IFERROR(Employee_Master!P7,"")="Weekly",4.33,IF(IFERROR(Employee_Master!P7,"")="Monthly",1,IF(Payroll_Register!$K$3="Every Period",2,1)))),0)</f>
        <v>225</v>
      </c>
      <c r="I9" s="78">
        <f>IFERROR(IF(D9=0,0,MIN(D9*0.02,200)*IF(IFERROR(Employee_Master!P7,"")&lt;&gt;"Semi-Monthly",1,IF(Payroll_Register!$K$3="Every Period",1,IF(Payroll_Register!$K$3="1st Half",IF(Payroll_Register!$C$3="1st Half",1,0),IF(Payroll_Register!$C$3="2nd Half",1,0))))/IF(IFERROR(Employee_Master!P7,"")="Weekly",4.33,IF(IFERROR(Employee_Master!P7,"")="Monthly",1,IF(Payroll_Register!$K$3="Every Period",2,1)))),0)</f>
        <v>100</v>
      </c>
      <c r="J9" s="45">
        <f>IFERROR(Attendance_Register!Q10,0)</f>
        <v>0</v>
      </c>
      <c r="K9" s="45">
        <v>0</v>
      </c>
      <c r="L9" s="48">
        <f t="shared" si="0"/>
        <v>9000</v>
      </c>
      <c r="M9" s="78">
        <f t="shared" si="1"/>
        <v>775</v>
      </c>
      <c r="N9" s="48">
        <f t="shared" si="2"/>
        <v>8225</v>
      </c>
      <c r="O9" s="78">
        <f>IFERROR(IF(D9=0,0,IF(N9&lt;=0,0,IF(N9*IF(IFERROR(Employee_Master!P7,"")="Weekly",0.5,IF(IFERROR(Employee_Master!P7,"")="Monthly",2,1))&lt;=10416.67,0,IF(N9*IF(IFERROR(Employee_Master!P7,"")="Weekly",0.5,IF(IFERROR(Employee_Master!P7,"")="Monthly",2,1))&lt;=16666.67,(N9*IF(IFERROR(Employee_Master!P7,"")="Weekly",0.5,IF(IFERROR(Employee_Master!P7,"")="Monthly",2,1))-10416.67)*0.15,IF(N9*IF(IFERROR(Employee_Master!P7,"")="Weekly",0.5,IF(IFERROR(Employee_Master!P7,"")="Monthly",2,1))&lt;=33333.33,937.5+(N9*IF(IFERROR(Employee_Master!P7,"")="Weekly",0.5,IF(IFERROR(Employee_Master!P7,"")="Monthly",2,1))-16666.67)*0.2,IF(N9*IF(IFERROR(Employee_Master!P7,"")="Weekly",0.5,IF(IFERROR(Employee_Master!P7,"")="Monthly",2,1))&lt;=83333.33,4270.83+(N9*IF(IFERROR(Employee_Master!P7,"")="Weekly",0.5,IF(IFERROR(Employee_Master!P7,"")="Monthly",2,1))-33333.33)*0.25,IF(N9*IF(IFERROR(Employee_Master!P7,"")="Weekly",0.5,IF(IFERROR(Employee_Master!P7,"")="Monthly",2,1))&lt;=333333.33,16770.83+(N9*IF(IFERROR(Employee_Master!P7,"")="Weekly",0.5,IF(IFERROR(Employee_Master!P7,"")="Monthly",2,1))-83333.33)*0.3,91770.83+(N9*IF(IFERROR(Employee_Master!P7,"")="Weekly",0.5,IF(IFERROR(Employee_Master!P7,"")="Monthly",2,1))-333333.33)*0.35))))))/IF(IFERROR(Employee_Master!P7,"")="Weekly",0.5,IF(IFERROR(Employee_Master!P7,"")="Monthly",2,1))),0)</f>
        <v>0</v>
      </c>
      <c r="P9" s="48">
        <f>IFERROR(IF(D9=0,0,D9/12/IF(IFERROR(Employee_Master!P7,"")="Weekly",4.33,IF(IFERROR(Employee_Master!P7,"")="Monthly",1,2))),0)</f>
        <v>750</v>
      </c>
      <c r="Q9" s="45">
        <v>0</v>
      </c>
      <c r="R9" s="79">
        <v>0</v>
      </c>
      <c r="S9" s="80">
        <f>IFERROR(Employee_Master!I7*R9*2,0)</f>
        <v>0</v>
      </c>
      <c r="T9" s="79">
        <v>0</v>
      </c>
      <c r="U9" s="80">
        <f>IFERROR(Employee_Master!I7*T9*0.3,0)</f>
        <v>0</v>
      </c>
      <c r="V9" s="81">
        <f t="shared" si="3"/>
        <v>8225</v>
      </c>
      <c r="W9" s="82">
        <f>IFERROR(IF(D9=0,0,VLOOKUP(D9,SSS_Table!$B$4:$E$64,4,TRUE())*IF(IFERROR(Employee_Master!P7,"")&lt;&gt;"Semi-Monthly",1,IF(Payroll_Register!$K$3="Every Period",1,IF(Payroll_Register!$K$3="1st Half",IF(Payroll_Register!$C$3="1st Half",1,0),IF(Payroll_Register!$C$3="2nd Half",1,0))))/IF(IFERROR(Employee_Master!P7,"")="Weekly",4.33,IF(IFERROR(Employee_Master!P7,"")="Monthly",1,IF(Payroll_Register!$K$3="Every Period",2,1)))),0)</f>
        <v>915</v>
      </c>
      <c r="X9" s="82">
        <f t="shared" si="4"/>
        <v>225</v>
      </c>
      <c r="Y9" s="82">
        <f t="shared" si="5"/>
        <v>100</v>
      </c>
      <c r="Z9" s="82">
        <f t="shared" si="6"/>
        <v>1240</v>
      </c>
    </row>
    <row r="10" spans="1:26" ht="19.5" customHeight="1" x14ac:dyDescent="0.25">
      <c r="A10" s="40" t="s">
        <v>69</v>
      </c>
      <c r="B10" s="75" t="str">
        <f>Employee_Master!B8</f>
        <v>EMP-005</v>
      </c>
      <c r="C10" s="76" t="str">
        <f>Employee_Master!C8</f>
        <v>Jose Bautista</v>
      </c>
      <c r="D10" s="77">
        <f>Employee_Master!H8</f>
        <v>16000</v>
      </c>
      <c r="E10" s="41">
        <f>IFERROR(IF(IFERROR(Employee_Master!P8,"")="Weekly",5,IF(IFERROR(Employee_Master!P8,"")="Monthly",22,11)),0)</f>
        <v>11</v>
      </c>
      <c r="F10" s="46">
        <f>IFERROR(Employee_Master!I8*E10,0)</f>
        <v>8000</v>
      </c>
      <c r="G10" s="78">
        <f>IFERROR(IF(D10=0,0,VLOOKUP(D10,SSS_Table!$B$4:$D$64,3,TRUE())*IF(IFERROR(Employee_Master!P8,"")&lt;&gt;"Semi-Monthly",1,IF(Payroll_Register!$K$3="Every Period",1,IF(Payroll_Register!$K$3="1st Half",IF(Payroll_Register!$C$3="1st Half",1,0),IF(Payroll_Register!$C$3="2nd Half",1,0))))/IF(IFERROR(Employee_Master!P8,"")="Weekly",4.33,IF(IFERROR(Employee_Master!P8,"")="Monthly",1,IF(Payroll_Register!$K$3="Every Period",2,1)))),0)</f>
        <v>400</v>
      </c>
      <c r="H10" s="78">
        <f>IFERROR(IF(D10=0,0,MIN(MAX(D10*0.025,250),2500)*IF(IFERROR(Employee_Master!P8,"")&lt;&gt;"Semi-Monthly",1,IF(Payroll_Register!$K$3="Every Period",1,IF(Payroll_Register!$K$3="1st Half",IF(Payroll_Register!$C$3="1st Half",1,0),IF(Payroll_Register!$C$3="2nd Half",1,0))))/IF(IFERROR(Employee_Master!P8,"")="Weekly",4.33,IF(IFERROR(Employee_Master!P8,"")="Monthly",1,IF(Payroll_Register!$K$3="Every Period",2,1)))),0)</f>
        <v>200</v>
      </c>
      <c r="I10" s="78">
        <f>IFERROR(IF(D10=0,0,MIN(D10*0.02,200)*IF(IFERROR(Employee_Master!P8,"")&lt;&gt;"Semi-Monthly",1,IF(Payroll_Register!$K$3="Every Period",1,IF(Payroll_Register!$K$3="1st Half",IF(Payroll_Register!$C$3="1st Half",1,0),IF(Payroll_Register!$C$3="2nd Half",1,0))))/IF(IFERROR(Employee_Master!P8,"")="Weekly",4.33,IF(IFERROR(Employee_Master!P8,"")="Monthly",1,IF(Payroll_Register!$K$3="Every Period",2,1)))),0)</f>
        <v>100</v>
      </c>
      <c r="J10" s="45">
        <f>IFERROR(Attendance_Register!Q11,0)</f>
        <v>0</v>
      </c>
      <c r="K10" s="45">
        <v>0</v>
      </c>
      <c r="L10" s="46">
        <f t="shared" si="0"/>
        <v>8000</v>
      </c>
      <c r="M10" s="78">
        <f t="shared" si="1"/>
        <v>700</v>
      </c>
      <c r="N10" s="46">
        <f t="shared" si="2"/>
        <v>7300</v>
      </c>
      <c r="O10" s="78">
        <f>IFERROR(IF(D10=0,0,IF(N10&lt;=0,0,IF(N10*IF(IFERROR(Employee_Master!P8,"")="Weekly",0.5,IF(IFERROR(Employee_Master!P8,"")="Monthly",2,1))&lt;=10416.67,0,IF(N10*IF(IFERROR(Employee_Master!P8,"")="Weekly",0.5,IF(IFERROR(Employee_Master!P8,"")="Monthly",2,1))&lt;=16666.67,(N10*IF(IFERROR(Employee_Master!P8,"")="Weekly",0.5,IF(IFERROR(Employee_Master!P8,"")="Monthly",2,1))-10416.67)*0.15,IF(N10*IF(IFERROR(Employee_Master!P8,"")="Weekly",0.5,IF(IFERROR(Employee_Master!P8,"")="Monthly",2,1))&lt;=33333.33,937.5+(N10*IF(IFERROR(Employee_Master!P8,"")="Weekly",0.5,IF(IFERROR(Employee_Master!P8,"")="Monthly",2,1))-16666.67)*0.2,IF(N10*IF(IFERROR(Employee_Master!P8,"")="Weekly",0.5,IF(IFERROR(Employee_Master!P8,"")="Monthly",2,1))&lt;=83333.33,4270.83+(N10*IF(IFERROR(Employee_Master!P8,"")="Weekly",0.5,IF(IFERROR(Employee_Master!P8,"")="Monthly",2,1))-33333.33)*0.25,IF(N10*IF(IFERROR(Employee_Master!P8,"")="Weekly",0.5,IF(IFERROR(Employee_Master!P8,"")="Monthly",2,1))&lt;=333333.33,16770.83+(N10*IF(IFERROR(Employee_Master!P8,"")="Weekly",0.5,IF(IFERROR(Employee_Master!P8,"")="Monthly",2,1))-83333.33)*0.3,91770.83+(N10*IF(IFERROR(Employee_Master!P8,"")="Weekly",0.5,IF(IFERROR(Employee_Master!P8,"")="Monthly",2,1))-333333.33)*0.35))))))/IF(IFERROR(Employee_Master!P8,"")="Weekly",0.5,IF(IFERROR(Employee_Master!P8,"")="Monthly",2,1))),0)</f>
        <v>0</v>
      </c>
      <c r="P10" s="46">
        <f>IFERROR(IF(D10=0,0,D10/12/IF(IFERROR(Employee_Master!P8,"")="Weekly",4.33,IF(IFERROR(Employee_Master!P8,"")="Monthly",1,2))),0)</f>
        <v>666.66666666666663</v>
      </c>
      <c r="Q10" s="45">
        <v>0</v>
      </c>
      <c r="R10" s="79">
        <v>0</v>
      </c>
      <c r="S10" s="80">
        <f>IFERROR(Employee_Master!I8*R10*2,0)</f>
        <v>0</v>
      </c>
      <c r="T10" s="79">
        <v>0</v>
      </c>
      <c r="U10" s="80">
        <f>IFERROR(Employee_Master!I8*T10*0.3,0)</f>
        <v>0</v>
      </c>
      <c r="V10" s="81">
        <f t="shared" si="3"/>
        <v>7300</v>
      </c>
      <c r="W10" s="82">
        <f>IFERROR(IF(D10=0,0,VLOOKUP(D10,SSS_Table!$B$4:$E$64,4,TRUE())*IF(IFERROR(Employee_Master!P8,"")&lt;&gt;"Semi-Monthly",1,IF(Payroll_Register!$K$3="Every Period",1,IF(Payroll_Register!$K$3="1st Half",IF(Payroll_Register!$C$3="1st Half",1,0),IF(Payroll_Register!$C$3="2nd Half",1,0))))/IF(IFERROR(Employee_Master!P8,"")="Weekly",4.33,IF(IFERROR(Employee_Master!P8,"")="Monthly",1,IF(Payroll_Register!$K$3="Every Period",2,1)))),0)</f>
        <v>815</v>
      </c>
      <c r="X10" s="82">
        <f t="shared" si="4"/>
        <v>200</v>
      </c>
      <c r="Y10" s="82">
        <f t="shared" si="5"/>
        <v>100</v>
      </c>
      <c r="Z10" s="82">
        <f t="shared" si="6"/>
        <v>1115</v>
      </c>
    </row>
    <row r="11" spans="1:26" ht="19.5" customHeight="1" x14ac:dyDescent="0.25">
      <c r="A11" s="47" t="s">
        <v>71</v>
      </c>
      <c r="B11" s="83" t="str">
        <f>Employee_Master!B9</f>
        <v>EMP-006</v>
      </c>
      <c r="C11" s="84">
        <f>Employee_Master!C9</f>
        <v>0</v>
      </c>
      <c r="D11" s="85">
        <f>Employee_Master!H9</f>
        <v>0</v>
      </c>
      <c r="E11" s="41">
        <f>IFERROR(IF(IFERROR(Employee_Master!P9,"")="Weekly",5,IF(IFERROR(Employee_Master!P9,"")="Monthly",22,11)),0)</f>
        <v>11</v>
      </c>
      <c r="F11" s="48">
        <f>IFERROR(Employee_Master!I9*E11,0)</f>
        <v>0</v>
      </c>
      <c r="G11" s="78">
        <f>IFERROR(IF(D11=0,0,VLOOKUP(D11,SSS_Table!$B$4:$D$64,3,TRUE())*IF(IFERROR(Employee_Master!P9,"")&lt;&gt;"Semi-Monthly",1,IF(Payroll_Register!$K$3="Every Period",1,IF(Payroll_Register!$K$3="1st Half",IF(Payroll_Register!$C$3="1st Half",1,0),IF(Payroll_Register!$C$3="2nd Half",1,0))))/IF(IFERROR(Employee_Master!P9,"")="Weekly",4.33,IF(IFERROR(Employee_Master!P9,"")="Monthly",1,IF(Payroll_Register!$K$3="Every Period",2,1)))),0)</f>
        <v>0</v>
      </c>
      <c r="H11" s="78">
        <f>IFERROR(IF(D11=0,0,MIN(MAX(D11*0.025,250),2500)*IF(IFERROR(Employee_Master!P9,"")&lt;&gt;"Semi-Monthly",1,IF(Payroll_Register!$K$3="Every Period",1,IF(Payroll_Register!$K$3="1st Half",IF(Payroll_Register!$C$3="1st Half",1,0),IF(Payroll_Register!$C$3="2nd Half",1,0))))/IF(IFERROR(Employee_Master!P9,"")="Weekly",4.33,IF(IFERROR(Employee_Master!P9,"")="Monthly",1,IF(Payroll_Register!$K$3="Every Period",2,1)))),0)</f>
        <v>0</v>
      </c>
      <c r="I11" s="78">
        <f>IFERROR(IF(D11=0,0,MIN(D11*0.02,200)*IF(IFERROR(Employee_Master!P9,"")&lt;&gt;"Semi-Monthly",1,IF(Payroll_Register!$K$3="Every Period",1,IF(Payroll_Register!$K$3="1st Half",IF(Payroll_Register!$C$3="1st Half",1,0),IF(Payroll_Register!$C$3="2nd Half",1,0))))/IF(IFERROR(Employee_Master!P9,"")="Weekly",4.33,IF(IFERROR(Employee_Master!P9,"")="Monthly",1,IF(Payroll_Register!$K$3="Every Period",2,1)))),0)</f>
        <v>0</v>
      </c>
      <c r="J11" s="45">
        <f>IFERROR(Attendance_Register!Q12,0)</f>
        <v>0</v>
      </c>
      <c r="K11" s="45">
        <v>0</v>
      </c>
      <c r="L11" s="48">
        <f t="shared" si="0"/>
        <v>0</v>
      </c>
      <c r="M11" s="78">
        <f t="shared" si="1"/>
        <v>0</v>
      </c>
      <c r="N11" s="48">
        <f t="shared" si="2"/>
        <v>0</v>
      </c>
      <c r="O11" s="78">
        <f>IFERROR(IF(D11=0,0,IF(N11&lt;=0,0,IF(N11*IF(IFERROR(Employee_Master!P9,"")="Weekly",0.5,IF(IFERROR(Employee_Master!P9,"")="Monthly",2,1))&lt;=10416.67,0,IF(N11*IF(IFERROR(Employee_Master!P9,"")="Weekly",0.5,IF(IFERROR(Employee_Master!P9,"")="Monthly",2,1))&lt;=16666.67,(N11*IF(IFERROR(Employee_Master!P9,"")="Weekly",0.5,IF(IFERROR(Employee_Master!P9,"")="Monthly",2,1))-10416.67)*0.15,IF(N11*IF(IFERROR(Employee_Master!P9,"")="Weekly",0.5,IF(IFERROR(Employee_Master!P9,"")="Monthly",2,1))&lt;=33333.33,937.5+(N11*IF(IFERROR(Employee_Master!P9,"")="Weekly",0.5,IF(IFERROR(Employee_Master!P9,"")="Monthly",2,1))-16666.67)*0.2,IF(N11*IF(IFERROR(Employee_Master!P9,"")="Weekly",0.5,IF(IFERROR(Employee_Master!P9,"")="Monthly",2,1))&lt;=83333.33,4270.83+(N11*IF(IFERROR(Employee_Master!P9,"")="Weekly",0.5,IF(IFERROR(Employee_Master!P9,"")="Monthly",2,1))-33333.33)*0.25,IF(N11*IF(IFERROR(Employee_Master!P9,"")="Weekly",0.5,IF(IFERROR(Employee_Master!P9,"")="Monthly",2,1))&lt;=333333.33,16770.83+(N11*IF(IFERROR(Employee_Master!P9,"")="Weekly",0.5,IF(IFERROR(Employee_Master!P9,"")="Monthly",2,1))-83333.33)*0.3,91770.83+(N11*IF(IFERROR(Employee_Master!P9,"")="Weekly",0.5,IF(IFERROR(Employee_Master!P9,"")="Monthly",2,1))-333333.33)*0.35))))))/IF(IFERROR(Employee_Master!P9,"")="Weekly",0.5,IF(IFERROR(Employee_Master!P9,"")="Monthly",2,1))),0)</f>
        <v>0</v>
      </c>
      <c r="P11" s="48">
        <f>IFERROR(IF(D11=0,0,D11/12/IF(IFERROR(Employee_Master!P9,"")="Weekly",4.33,IF(IFERROR(Employee_Master!P9,"")="Monthly",1,2))),0)</f>
        <v>0</v>
      </c>
      <c r="Q11" s="45">
        <v>0</v>
      </c>
      <c r="R11" s="79">
        <v>0</v>
      </c>
      <c r="S11" s="80">
        <f>IFERROR(Employee_Master!I9*R11*2,0)</f>
        <v>0</v>
      </c>
      <c r="T11" s="79">
        <v>0</v>
      </c>
      <c r="U11" s="80">
        <f>IFERROR(Employee_Master!I9*T11*0.3,0)</f>
        <v>0</v>
      </c>
      <c r="V11" s="81">
        <f t="shared" si="3"/>
        <v>0</v>
      </c>
      <c r="W11" s="82">
        <f>IFERROR(IF(D11=0,0,VLOOKUP(D11,SSS_Table!$B$4:$E$64,4,TRUE())*IF(IFERROR(Employee_Master!P9,"")&lt;&gt;"Semi-Monthly",1,IF(Payroll_Register!$K$3="Every Period",1,IF(Payroll_Register!$K$3="1st Half",IF(Payroll_Register!$C$3="1st Half",1,0),IF(Payroll_Register!$C$3="2nd Half",1,0))))/IF(IFERROR(Employee_Master!P9,"")="Weekly",4.33,IF(IFERROR(Employee_Master!P9,"")="Monthly",1,IF(Payroll_Register!$K$3="Every Period",2,1)))),0)</f>
        <v>0</v>
      </c>
      <c r="X11" s="82">
        <f t="shared" si="4"/>
        <v>0</v>
      </c>
      <c r="Y11" s="82">
        <f t="shared" si="5"/>
        <v>0</v>
      </c>
      <c r="Z11" s="82">
        <f t="shared" si="6"/>
        <v>0</v>
      </c>
    </row>
    <row r="12" spans="1:26" ht="19.5" customHeight="1" x14ac:dyDescent="0.25">
      <c r="A12" s="40" t="s">
        <v>82</v>
      </c>
      <c r="B12" s="75" t="str">
        <f>Employee_Master!B10</f>
        <v>EMP-007</v>
      </c>
      <c r="C12" s="76">
        <f>Employee_Master!C10</f>
        <v>0</v>
      </c>
      <c r="D12" s="77">
        <f>Employee_Master!H10</f>
        <v>0</v>
      </c>
      <c r="E12" s="41">
        <f>IFERROR(IF(IFERROR(Employee_Master!P10,"")="Weekly",5,IF(IFERROR(Employee_Master!P10,"")="Monthly",22,11)),0)</f>
        <v>11</v>
      </c>
      <c r="F12" s="46">
        <f>IFERROR(Employee_Master!I10*E12,0)</f>
        <v>0</v>
      </c>
      <c r="G12" s="78">
        <f>IFERROR(IF(D12=0,0,VLOOKUP(D12,SSS_Table!$B$4:$D$64,3,TRUE())*IF(IFERROR(Employee_Master!P10,"")&lt;&gt;"Semi-Monthly",1,IF(Payroll_Register!$K$3="Every Period",1,IF(Payroll_Register!$K$3="1st Half",IF(Payroll_Register!$C$3="1st Half",1,0),IF(Payroll_Register!$C$3="2nd Half",1,0))))/IF(IFERROR(Employee_Master!P10,"")="Weekly",4.33,IF(IFERROR(Employee_Master!P10,"")="Monthly",1,IF(Payroll_Register!$K$3="Every Period",2,1)))),0)</f>
        <v>0</v>
      </c>
      <c r="H12" s="78">
        <f>IFERROR(IF(D12=0,0,MIN(MAX(D12*0.025,250),2500)*IF(IFERROR(Employee_Master!P10,"")&lt;&gt;"Semi-Monthly",1,IF(Payroll_Register!$K$3="Every Period",1,IF(Payroll_Register!$K$3="1st Half",IF(Payroll_Register!$C$3="1st Half",1,0),IF(Payroll_Register!$C$3="2nd Half",1,0))))/IF(IFERROR(Employee_Master!P10,"")="Weekly",4.33,IF(IFERROR(Employee_Master!P10,"")="Monthly",1,IF(Payroll_Register!$K$3="Every Period",2,1)))),0)</f>
        <v>0</v>
      </c>
      <c r="I12" s="78">
        <f>IFERROR(IF(D12=0,0,MIN(D12*0.02,200)*IF(IFERROR(Employee_Master!P10,"")&lt;&gt;"Semi-Monthly",1,IF(Payroll_Register!$K$3="Every Period",1,IF(Payroll_Register!$K$3="1st Half",IF(Payroll_Register!$C$3="1st Half",1,0),IF(Payroll_Register!$C$3="2nd Half",1,0))))/IF(IFERROR(Employee_Master!P10,"")="Weekly",4.33,IF(IFERROR(Employee_Master!P10,"")="Monthly",1,IF(Payroll_Register!$K$3="Every Period",2,1)))),0)</f>
        <v>0</v>
      </c>
      <c r="J12" s="45">
        <f>IFERROR(Attendance_Register!Q13,0)</f>
        <v>0</v>
      </c>
      <c r="K12" s="45">
        <v>0</v>
      </c>
      <c r="L12" s="46">
        <f t="shared" si="0"/>
        <v>0</v>
      </c>
      <c r="M12" s="78">
        <f t="shared" si="1"/>
        <v>0</v>
      </c>
      <c r="N12" s="46">
        <f t="shared" si="2"/>
        <v>0</v>
      </c>
      <c r="O12" s="78">
        <f>IFERROR(IF(D12=0,0,IF(N12&lt;=0,0,IF(N12*IF(IFERROR(Employee_Master!P10,"")="Weekly",0.5,IF(IFERROR(Employee_Master!P10,"")="Monthly",2,1))&lt;=10416.67,0,IF(N12*IF(IFERROR(Employee_Master!P10,"")="Weekly",0.5,IF(IFERROR(Employee_Master!P10,"")="Monthly",2,1))&lt;=16666.67,(N12*IF(IFERROR(Employee_Master!P10,"")="Weekly",0.5,IF(IFERROR(Employee_Master!P10,"")="Monthly",2,1))-10416.67)*0.15,IF(N12*IF(IFERROR(Employee_Master!P10,"")="Weekly",0.5,IF(IFERROR(Employee_Master!P10,"")="Monthly",2,1))&lt;=33333.33,937.5+(N12*IF(IFERROR(Employee_Master!P10,"")="Weekly",0.5,IF(IFERROR(Employee_Master!P10,"")="Monthly",2,1))-16666.67)*0.2,IF(N12*IF(IFERROR(Employee_Master!P10,"")="Weekly",0.5,IF(IFERROR(Employee_Master!P10,"")="Monthly",2,1))&lt;=83333.33,4270.83+(N12*IF(IFERROR(Employee_Master!P10,"")="Weekly",0.5,IF(IFERROR(Employee_Master!P10,"")="Monthly",2,1))-33333.33)*0.25,IF(N12*IF(IFERROR(Employee_Master!P10,"")="Weekly",0.5,IF(IFERROR(Employee_Master!P10,"")="Monthly",2,1))&lt;=333333.33,16770.83+(N12*IF(IFERROR(Employee_Master!P10,"")="Weekly",0.5,IF(IFERROR(Employee_Master!P10,"")="Monthly",2,1))-83333.33)*0.3,91770.83+(N12*IF(IFERROR(Employee_Master!P10,"")="Weekly",0.5,IF(IFERROR(Employee_Master!P10,"")="Monthly",2,1))-333333.33)*0.35))))))/IF(IFERROR(Employee_Master!P10,"")="Weekly",0.5,IF(IFERROR(Employee_Master!P10,"")="Monthly",2,1))),0)</f>
        <v>0</v>
      </c>
      <c r="P12" s="46">
        <f>IFERROR(IF(D12=0,0,D12/12/IF(IFERROR(Employee_Master!P10,"")="Weekly",4.33,IF(IFERROR(Employee_Master!P10,"")="Monthly",1,2))),0)</f>
        <v>0</v>
      </c>
      <c r="Q12" s="45">
        <v>0</v>
      </c>
      <c r="R12" s="79">
        <v>0</v>
      </c>
      <c r="S12" s="80">
        <f>IFERROR(Employee_Master!I10*R12*2,0)</f>
        <v>0</v>
      </c>
      <c r="T12" s="79">
        <v>0</v>
      </c>
      <c r="U12" s="80">
        <f>IFERROR(Employee_Master!I10*T12*0.3,0)</f>
        <v>0</v>
      </c>
      <c r="V12" s="81">
        <f t="shared" si="3"/>
        <v>0</v>
      </c>
      <c r="W12" s="82">
        <f>IFERROR(IF(D12=0,0,VLOOKUP(D12,SSS_Table!$B$4:$E$64,4,TRUE())*IF(IFERROR(Employee_Master!P10,"")&lt;&gt;"Semi-Monthly",1,IF(Payroll_Register!$K$3="Every Period",1,IF(Payroll_Register!$K$3="1st Half",IF(Payroll_Register!$C$3="1st Half",1,0),IF(Payroll_Register!$C$3="2nd Half",1,0))))/IF(IFERROR(Employee_Master!P10,"")="Weekly",4.33,IF(IFERROR(Employee_Master!P10,"")="Monthly",1,IF(Payroll_Register!$K$3="Every Period",2,1)))),0)</f>
        <v>0</v>
      </c>
      <c r="X12" s="82">
        <f t="shared" si="4"/>
        <v>0</v>
      </c>
      <c r="Y12" s="82">
        <f t="shared" si="5"/>
        <v>0</v>
      </c>
      <c r="Z12" s="82">
        <f t="shared" si="6"/>
        <v>0</v>
      </c>
    </row>
    <row r="13" spans="1:26" ht="19.5" customHeight="1" x14ac:dyDescent="0.25">
      <c r="A13" s="47" t="s">
        <v>83</v>
      </c>
      <c r="B13" s="83" t="str">
        <f>Employee_Master!B11</f>
        <v>EMP-008</v>
      </c>
      <c r="C13" s="84">
        <f>Employee_Master!C11</f>
        <v>0</v>
      </c>
      <c r="D13" s="85">
        <f>Employee_Master!H11</f>
        <v>0</v>
      </c>
      <c r="E13" s="41">
        <f>IFERROR(IF(IFERROR(Employee_Master!P11,"")="Weekly",5,IF(IFERROR(Employee_Master!P11,"")="Monthly",22,11)),0)</f>
        <v>11</v>
      </c>
      <c r="F13" s="48">
        <f>IFERROR(Employee_Master!I11*E13,0)</f>
        <v>0</v>
      </c>
      <c r="G13" s="78">
        <f>IFERROR(IF(D13=0,0,VLOOKUP(D13,SSS_Table!$B$4:$D$64,3,TRUE())*IF(IFERROR(Employee_Master!P11,"")&lt;&gt;"Semi-Monthly",1,IF(Payroll_Register!$K$3="Every Period",1,IF(Payroll_Register!$K$3="1st Half",IF(Payroll_Register!$C$3="1st Half",1,0),IF(Payroll_Register!$C$3="2nd Half",1,0))))/IF(IFERROR(Employee_Master!P11,"")="Weekly",4.33,IF(IFERROR(Employee_Master!P11,"")="Monthly",1,IF(Payroll_Register!$K$3="Every Period",2,1)))),0)</f>
        <v>0</v>
      </c>
      <c r="H13" s="78">
        <f>IFERROR(IF(D13=0,0,MIN(MAX(D13*0.025,250),2500)*IF(IFERROR(Employee_Master!P11,"")&lt;&gt;"Semi-Monthly",1,IF(Payroll_Register!$K$3="Every Period",1,IF(Payroll_Register!$K$3="1st Half",IF(Payroll_Register!$C$3="1st Half",1,0),IF(Payroll_Register!$C$3="2nd Half",1,0))))/IF(IFERROR(Employee_Master!P11,"")="Weekly",4.33,IF(IFERROR(Employee_Master!P11,"")="Monthly",1,IF(Payroll_Register!$K$3="Every Period",2,1)))),0)</f>
        <v>0</v>
      </c>
      <c r="I13" s="78">
        <f>IFERROR(IF(D13=0,0,MIN(D13*0.02,200)*IF(IFERROR(Employee_Master!P11,"")&lt;&gt;"Semi-Monthly",1,IF(Payroll_Register!$K$3="Every Period",1,IF(Payroll_Register!$K$3="1st Half",IF(Payroll_Register!$C$3="1st Half",1,0),IF(Payroll_Register!$C$3="2nd Half",1,0))))/IF(IFERROR(Employee_Master!P11,"")="Weekly",4.33,IF(IFERROR(Employee_Master!P11,"")="Monthly",1,IF(Payroll_Register!$K$3="Every Period",2,1)))),0)</f>
        <v>0</v>
      </c>
      <c r="J13" s="45">
        <f>IFERROR(Attendance_Register!Q14,0)</f>
        <v>0</v>
      </c>
      <c r="K13" s="45">
        <v>0</v>
      </c>
      <c r="L13" s="48">
        <f t="shared" si="0"/>
        <v>0</v>
      </c>
      <c r="M13" s="78">
        <f t="shared" si="1"/>
        <v>0</v>
      </c>
      <c r="N13" s="48">
        <f t="shared" si="2"/>
        <v>0</v>
      </c>
      <c r="O13" s="78">
        <f>IFERROR(IF(D13=0,0,IF(N13&lt;=0,0,IF(N13*IF(IFERROR(Employee_Master!P11,"")="Weekly",0.5,IF(IFERROR(Employee_Master!P11,"")="Monthly",2,1))&lt;=10416.67,0,IF(N13*IF(IFERROR(Employee_Master!P11,"")="Weekly",0.5,IF(IFERROR(Employee_Master!P11,"")="Monthly",2,1))&lt;=16666.67,(N13*IF(IFERROR(Employee_Master!P11,"")="Weekly",0.5,IF(IFERROR(Employee_Master!P11,"")="Monthly",2,1))-10416.67)*0.15,IF(N13*IF(IFERROR(Employee_Master!P11,"")="Weekly",0.5,IF(IFERROR(Employee_Master!P11,"")="Monthly",2,1))&lt;=33333.33,937.5+(N13*IF(IFERROR(Employee_Master!P11,"")="Weekly",0.5,IF(IFERROR(Employee_Master!P11,"")="Monthly",2,1))-16666.67)*0.2,IF(N13*IF(IFERROR(Employee_Master!P11,"")="Weekly",0.5,IF(IFERROR(Employee_Master!P11,"")="Monthly",2,1))&lt;=83333.33,4270.83+(N13*IF(IFERROR(Employee_Master!P11,"")="Weekly",0.5,IF(IFERROR(Employee_Master!P11,"")="Monthly",2,1))-33333.33)*0.25,IF(N13*IF(IFERROR(Employee_Master!P11,"")="Weekly",0.5,IF(IFERROR(Employee_Master!P11,"")="Monthly",2,1))&lt;=333333.33,16770.83+(N13*IF(IFERROR(Employee_Master!P11,"")="Weekly",0.5,IF(IFERROR(Employee_Master!P11,"")="Monthly",2,1))-83333.33)*0.3,91770.83+(N13*IF(IFERROR(Employee_Master!P11,"")="Weekly",0.5,IF(IFERROR(Employee_Master!P11,"")="Monthly",2,1))-333333.33)*0.35))))))/IF(IFERROR(Employee_Master!P11,"")="Weekly",0.5,IF(IFERROR(Employee_Master!P11,"")="Monthly",2,1))),0)</f>
        <v>0</v>
      </c>
      <c r="P13" s="48">
        <f>IFERROR(IF(D13=0,0,D13/12/IF(IFERROR(Employee_Master!P11,"")="Weekly",4.33,IF(IFERROR(Employee_Master!P11,"")="Monthly",1,2))),0)</f>
        <v>0</v>
      </c>
      <c r="Q13" s="45">
        <v>0</v>
      </c>
      <c r="R13" s="79">
        <v>0</v>
      </c>
      <c r="S13" s="80">
        <f>IFERROR(Employee_Master!I11*R13*2,0)</f>
        <v>0</v>
      </c>
      <c r="T13" s="79">
        <v>0</v>
      </c>
      <c r="U13" s="80">
        <f>IFERROR(Employee_Master!I11*T13*0.3,0)</f>
        <v>0</v>
      </c>
      <c r="V13" s="81">
        <f t="shared" si="3"/>
        <v>0</v>
      </c>
      <c r="W13" s="82">
        <f>IFERROR(IF(D13=0,0,VLOOKUP(D13,SSS_Table!$B$4:$E$64,4,TRUE())*IF(IFERROR(Employee_Master!P11,"")&lt;&gt;"Semi-Monthly",1,IF(Payroll_Register!$K$3="Every Period",1,IF(Payroll_Register!$K$3="1st Half",IF(Payroll_Register!$C$3="1st Half",1,0),IF(Payroll_Register!$C$3="2nd Half",1,0))))/IF(IFERROR(Employee_Master!P11,"")="Weekly",4.33,IF(IFERROR(Employee_Master!P11,"")="Monthly",1,IF(Payroll_Register!$K$3="Every Period",2,1)))),0)</f>
        <v>0</v>
      </c>
      <c r="X13" s="82">
        <f t="shared" si="4"/>
        <v>0</v>
      </c>
      <c r="Y13" s="82">
        <f t="shared" si="5"/>
        <v>0</v>
      </c>
      <c r="Z13" s="82">
        <f t="shared" si="6"/>
        <v>0</v>
      </c>
    </row>
    <row r="14" spans="1:26" ht="19.5" customHeight="1" x14ac:dyDescent="0.25">
      <c r="A14" s="40" t="s">
        <v>84</v>
      </c>
      <c r="B14" s="75" t="str">
        <f>Employee_Master!B12</f>
        <v>EMP-009</v>
      </c>
      <c r="C14" s="76">
        <f>Employee_Master!C12</f>
        <v>0</v>
      </c>
      <c r="D14" s="77">
        <f>Employee_Master!H12</f>
        <v>0</v>
      </c>
      <c r="E14" s="41">
        <f>IFERROR(IF(IFERROR(Employee_Master!P12,"")="Weekly",5,IF(IFERROR(Employee_Master!P12,"")="Monthly",22,11)),0)</f>
        <v>11</v>
      </c>
      <c r="F14" s="46">
        <f>IFERROR(Employee_Master!I12*E14,0)</f>
        <v>0</v>
      </c>
      <c r="G14" s="78">
        <f>IFERROR(IF(D14=0,0,VLOOKUP(D14,SSS_Table!$B$4:$D$64,3,TRUE())*IF(IFERROR(Employee_Master!P12,"")&lt;&gt;"Semi-Monthly",1,IF(Payroll_Register!$K$3="Every Period",1,IF(Payroll_Register!$K$3="1st Half",IF(Payroll_Register!$C$3="1st Half",1,0),IF(Payroll_Register!$C$3="2nd Half",1,0))))/IF(IFERROR(Employee_Master!P12,"")="Weekly",4.33,IF(IFERROR(Employee_Master!P12,"")="Monthly",1,IF(Payroll_Register!$K$3="Every Period",2,1)))),0)</f>
        <v>0</v>
      </c>
      <c r="H14" s="78">
        <f>IFERROR(IF(D14=0,0,MIN(MAX(D14*0.025,250),2500)*IF(IFERROR(Employee_Master!P12,"")&lt;&gt;"Semi-Monthly",1,IF(Payroll_Register!$K$3="Every Period",1,IF(Payroll_Register!$K$3="1st Half",IF(Payroll_Register!$C$3="1st Half",1,0),IF(Payroll_Register!$C$3="2nd Half",1,0))))/IF(IFERROR(Employee_Master!P12,"")="Weekly",4.33,IF(IFERROR(Employee_Master!P12,"")="Monthly",1,IF(Payroll_Register!$K$3="Every Period",2,1)))),0)</f>
        <v>0</v>
      </c>
      <c r="I14" s="78">
        <f>IFERROR(IF(D14=0,0,MIN(D14*0.02,200)*IF(IFERROR(Employee_Master!P12,"")&lt;&gt;"Semi-Monthly",1,IF(Payroll_Register!$K$3="Every Period",1,IF(Payroll_Register!$K$3="1st Half",IF(Payroll_Register!$C$3="1st Half",1,0),IF(Payroll_Register!$C$3="2nd Half",1,0))))/IF(IFERROR(Employee_Master!P12,"")="Weekly",4.33,IF(IFERROR(Employee_Master!P12,"")="Monthly",1,IF(Payroll_Register!$K$3="Every Period",2,1)))),0)</f>
        <v>0</v>
      </c>
      <c r="J14" s="45">
        <f>IFERROR(Attendance_Register!Q15,0)</f>
        <v>0</v>
      </c>
      <c r="K14" s="45">
        <v>0</v>
      </c>
      <c r="L14" s="46">
        <f t="shared" si="0"/>
        <v>0</v>
      </c>
      <c r="M14" s="78">
        <f t="shared" si="1"/>
        <v>0</v>
      </c>
      <c r="N14" s="46">
        <f t="shared" si="2"/>
        <v>0</v>
      </c>
      <c r="O14" s="78">
        <f>IFERROR(IF(D14=0,0,IF(N14&lt;=0,0,IF(N14*IF(IFERROR(Employee_Master!P12,"")="Weekly",0.5,IF(IFERROR(Employee_Master!P12,"")="Monthly",2,1))&lt;=10416.67,0,IF(N14*IF(IFERROR(Employee_Master!P12,"")="Weekly",0.5,IF(IFERROR(Employee_Master!P12,"")="Monthly",2,1))&lt;=16666.67,(N14*IF(IFERROR(Employee_Master!P12,"")="Weekly",0.5,IF(IFERROR(Employee_Master!P12,"")="Monthly",2,1))-10416.67)*0.15,IF(N14*IF(IFERROR(Employee_Master!P12,"")="Weekly",0.5,IF(IFERROR(Employee_Master!P12,"")="Monthly",2,1))&lt;=33333.33,937.5+(N14*IF(IFERROR(Employee_Master!P12,"")="Weekly",0.5,IF(IFERROR(Employee_Master!P12,"")="Monthly",2,1))-16666.67)*0.2,IF(N14*IF(IFERROR(Employee_Master!P12,"")="Weekly",0.5,IF(IFERROR(Employee_Master!P12,"")="Monthly",2,1))&lt;=83333.33,4270.83+(N14*IF(IFERROR(Employee_Master!P12,"")="Weekly",0.5,IF(IFERROR(Employee_Master!P12,"")="Monthly",2,1))-33333.33)*0.25,IF(N14*IF(IFERROR(Employee_Master!P12,"")="Weekly",0.5,IF(IFERROR(Employee_Master!P12,"")="Monthly",2,1))&lt;=333333.33,16770.83+(N14*IF(IFERROR(Employee_Master!P12,"")="Weekly",0.5,IF(IFERROR(Employee_Master!P12,"")="Monthly",2,1))-83333.33)*0.3,91770.83+(N14*IF(IFERROR(Employee_Master!P12,"")="Weekly",0.5,IF(IFERROR(Employee_Master!P12,"")="Monthly",2,1))-333333.33)*0.35))))))/IF(IFERROR(Employee_Master!P12,"")="Weekly",0.5,IF(IFERROR(Employee_Master!P12,"")="Monthly",2,1))),0)</f>
        <v>0</v>
      </c>
      <c r="P14" s="46">
        <f>IFERROR(IF(D14=0,0,D14/12/IF(IFERROR(Employee_Master!P12,"")="Weekly",4.33,IF(IFERROR(Employee_Master!P12,"")="Monthly",1,2))),0)</f>
        <v>0</v>
      </c>
      <c r="Q14" s="45">
        <v>0</v>
      </c>
      <c r="R14" s="79">
        <v>0</v>
      </c>
      <c r="S14" s="80">
        <f>IFERROR(Employee_Master!I12*R14*2,0)</f>
        <v>0</v>
      </c>
      <c r="T14" s="79">
        <v>0</v>
      </c>
      <c r="U14" s="80">
        <f>IFERROR(Employee_Master!I12*T14*0.3,0)</f>
        <v>0</v>
      </c>
      <c r="V14" s="81">
        <f t="shared" si="3"/>
        <v>0</v>
      </c>
      <c r="W14" s="82">
        <f>IFERROR(IF(D14=0,0,VLOOKUP(D14,SSS_Table!$B$4:$E$64,4,TRUE())*IF(IFERROR(Employee_Master!P12,"")&lt;&gt;"Semi-Monthly",1,IF(Payroll_Register!$K$3="Every Period",1,IF(Payroll_Register!$K$3="1st Half",IF(Payroll_Register!$C$3="1st Half",1,0),IF(Payroll_Register!$C$3="2nd Half",1,0))))/IF(IFERROR(Employee_Master!P12,"")="Weekly",4.33,IF(IFERROR(Employee_Master!P12,"")="Monthly",1,IF(Payroll_Register!$K$3="Every Period",2,1)))),0)</f>
        <v>0</v>
      </c>
      <c r="X14" s="82">
        <f t="shared" si="4"/>
        <v>0</v>
      </c>
      <c r="Y14" s="82">
        <f t="shared" si="5"/>
        <v>0</v>
      </c>
      <c r="Z14" s="82">
        <f t="shared" si="6"/>
        <v>0</v>
      </c>
    </row>
    <row r="15" spans="1:26" ht="19.5" customHeight="1" x14ac:dyDescent="0.25">
      <c r="A15" s="47" t="s">
        <v>85</v>
      </c>
      <c r="B15" s="83" t="str">
        <f>Employee_Master!B13</f>
        <v>EMP-010</v>
      </c>
      <c r="C15" s="84">
        <f>Employee_Master!C13</f>
        <v>0</v>
      </c>
      <c r="D15" s="85">
        <f>Employee_Master!H13</f>
        <v>0</v>
      </c>
      <c r="E15" s="41">
        <f>IFERROR(IF(IFERROR(Employee_Master!P13,"")="Weekly",5,IF(IFERROR(Employee_Master!P13,"")="Monthly",22,11)),0)</f>
        <v>11</v>
      </c>
      <c r="F15" s="48">
        <f>IFERROR(Employee_Master!I13*E15,0)</f>
        <v>0</v>
      </c>
      <c r="G15" s="78">
        <f>IFERROR(IF(D15=0,0,VLOOKUP(D15,SSS_Table!$B$4:$D$64,3,TRUE())*IF(IFERROR(Employee_Master!P13,"")&lt;&gt;"Semi-Monthly",1,IF(Payroll_Register!$K$3="Every Period",1,IF(Payroll_Register!$K$3="1st Half",IF(Payroll_Register!$C$3="1st Half",1,0),IF(Payroll_Register!$C$3="2nd Half",1,0))))/IF(IFERROR(Employee_Master!P13,"")="Weekly",4.33,IF(IFERROR(Employee_Master!P13,"")="Monthly",1,IF(Payroll_Register!$K$3="Every Period",2,1)))),0)</f>
        <v>0</v>
      </c>
      <c r="H15" s="78">
        <f>IFERROR(IF(D15=0,0,MIN(MAX(D15*0.025,250),2500)*IF(IFERROR(Employee_Master!P13,"")&lt;&gt;"Semi-Monthly",1,IF(Payroll_Register!$K$3="Every Period",1,IF(Payroll_Register!$K$3="1st Half",IF(Payroll_Register!$C$3="1st Half",1,0),IF(Payroll_Register!$C$3="2nd Half",1,0))))/IF(IFERROR(Employee_Master!P13,"")="Weekly",4.33,IF(IFERROR(Employee_Master!P13,"")="Monthly",1,IF(Payroll_Register!$K$3="Every Period",2,1)))),0)</f>
        <v>0</v>
      </c>
      <c r="I15" s="78">
        <f>IFERROR(IF(D15=0,0,MIN(D15*0.02,200)*IF(IFERROR(Employee_Master!P13,"")&lt;&gt;"Semi-Monthly",1,IF(Payroll_Register!$K$3="Every Period",1,IF(Payroll_Register!$K$3="1st Half",IF(Payroll_Register!$C$3="1st Half",1,0),IF(Payroll_Register!$C$3="2nd Half",1,0))))/IF(IFERROR(Employee_Master!P13,"")="Weekly",4.33,IF(IFERROR(Employee_Master!P13,"")="Monthly",1,IF(Payroll_Register!$K$3="Every Period",2,1)))),0)</f>
        <v>0</v>
      </c>
      <c r="J15" s="45">
        <f>IFERROR(Attendance_Register!Q16,0)</f>
        <v>0</v>
      </c>
      <c r="K15" s="45">
        <v>0</v>
      </c>
      <c r="L15" s="48">
        <f t="shared" si="0"/>
        <v>0</v>
      </c>
      <c r="M15" s="78">
        <f t="shared" si="1"/>
        <v>0</v>
      </c>
      <c r="N15" s="48">
        <f t="shared" si="2"/>
        <v>0</v>
      </c>
      <c r="O15" s="78">
        <f>IFERROR(IF(D15=0,0,IF(N15&lt;=0,0,IF(N15*IF(IFERROR(Employee_Master!P13,"")="Weekly",0.5,IF(IFERROR(Employee_Master!P13,"")="Monthly",2,1))&lt;=10416.67,0,IF(N15*IF(IFERROR(Employee_Master!P13,"")="Weekly",0.5,IF(IFERROR(Employee_Master!P13,"")="Monthly",2,1))&lt;=16666.67,(N15*IF(IFERROR(Employee_Master!P13,"")="Weekly",0.5,IF(IFERROR(Employee_Master!P13,"")="Monthly",2,1))-10416.67)*0.15,IF(N15*IF(IFERROR(Employee_Master!P13,"")="Weekly",0.5,IF(IFERROR(Employee_Master!P13,"")="Monthly",2,1))&lt;=33333.33,937.5+(N15*IF(IFERROR(Employee_Master!P13,"")="Weekly",0.5,IF(IFERROR(Employee_Master!P13,"")="Monthly",2,1))-16666.67)*0.2,IF(N15*IF(IFERROR(Employee_Master!P13,"")="Weekly",0.5,IF(IFERROR(Employee_Master!P13,"")="Monthly",2,1))&lt;=83333.33,4270.83+(N15*IF(IFERROR(Employee_Master!P13,"")="Weekly",0.5,IF(IFERROR(Employee_Master!P13,"")="Monthly",2,1))-33333.33)*0.25,IF(N15*IF(IFERROR(Employee_Master!P13,"")="Weekly",0.5,IF(IFERROR(Employee_Master!P13,"")="Monthly",2,1))&lt;=333333.33,16770.83+(N15*IF(IFERROR(Employee_Master!P13,"")="Weekly",0.5,IF(IFERROR(Employee_Master!P13,"")="Monthly",2,1))-83333.33)*0.3,91770.83+(N15*IF(IFERROR(Employee_Master!P13,"")="Weekly",0.5,IF(IFERROR(Employee_Master!P13,"")="Monthly",2,1))-333333.33)*0.35))))))/IF(IFERROR(Employee_Master!P13,"")="Weekly",0.5,IF(IFERROR(Employee_Master!P13,"")="Monthly",2,1))),0)</f>
        <v>0</v>
      </c>
      <c r="P15" s="48">
        <f>IFERROR(IF(D15=0,0,D15/12/IF(IFERROR(Employee_Master!P13,"")="Weekly",4.33,IF(IFERROR(Employee_Master!P13,"")="Monthly",1,2))),0)</f>
        <v>0</v>
      </c>
      <c r="Q15" s="45">
        <v>0</v>
      </c>
      <c r="R15" s="79">
        <v>0</v>
      </c>
      <c r="S15" s="80">
        <f>IFERROR(Employee_Master!I13*R15*2,0)</f>
        <v>0</v>
      </c>
      <c r="T15" s="79">
        <v>0</v>
      </c>
      <c r="U15" s="80">
        <f>IFERROR(Employee_Master!I13*T15*0.3,0)</f>
        <v>0</v>
      </c>
      <c r="V15" s="81">
        <f t="shared" si="3"/>
        <v>0</v>
      </c>
      <c r="W15" s="82">
        <f>IFERROR(IF(D15=0,0,VLOOKUP(D15,SSS_Table!$B$4:$E$64,4,TRUE())*IF(IFERROR(Employee_Master!P13,"")&lt;&gt;"Semi-Monthly",1,IF(Payroll_Register!$K$3="Every Period",1,IF(Payroll_Register!$K$3="1st Half",IF(Payroll_Register!$C$3="1st Half",1,0),IF(Payroll_Register!$C$3="2nd Half",1,0))))/IF(IFERROR(Employee_Master!P13,"")="Weekly",4.33,IF(IFERROR(Employee_Master!P13,"")="Monthly",1,IF(Payroll_Register!$K$3="Every Period",2,1)))),0)</f>
        <v>0</v>
      </c>
      <c r="X15" s="82">
        <f t="shared" si="4"/>
        <v>0</v>
      </c>
      <c r="Y15" s="82">
        <f t="shared" si="5"/>
        <v>0</v>
      </c>
      <c r="Z15" s="82">
        <f t="shared" si="6"/>
        <v>0</v>
      </c>
    </row>
    <row r="16" spans="1:26" ht="19.5" customHeight="1" x14ac:dyDescent="0.25">
      <c r="A16" s="40" t="s">
        <v>86</v>
      </c>
      <c r="B16" s="75" t="str">
        <f>Employee_Master!B14</f>
        <v>EMP-011</v>
      </c>
      <c r="C16" s="76">
        <f>Employee_Master!C14</f>
        <v>0</v>
      </c>
      <c r="D16" s="77">
        <f>Employee_Master!H14</f>
        <v>0</v>
      </c>
      <c r="E16" s="41">
        <f>IFERROR(IF(IFERROR(Employee_Master!P14,"")="Weekly",5,IF(IFERROR(Employee_Master!P14,"")="Monthly",22,11)),0)</f>
        <v>11</v>
      </c>
      <c r="F16" s="46">
        <f>IFERROR(Employee_Master!I14*E16,0)</f>
        <v>0</v>
      </c>
      <c r="G16" s="78">
        <f>IFERROR(IF(D16=0,0,VLOOKUP(D16,SSS_Table!$B$4:$D$64,3,TRUE())*IF(IFERROR(Employee_Master!P14,"")&lt;&gt;"Semi-Monthly",1,IF(Payroll_Register!$K$3="Every Period",1,IF(Payroll_Register!$K$3="1st Half",IF(Payroll_Register!$C$3="1st Half",1,0),IF(Payroll_Register!$C$3="2nd Half",1,0))))/IF(IFERROR(Employee_Master!P14,"")="Weekly",4.33,IF(IFERROR(Employee_Master!P14,"")="Monthly",1,IF(Payroll_Register!$K$3="Every Period",2,1)))),0)</f>
        <v>0</v>
      </c>
      <c r="H16" s="78">
        <f>IFERROR(IF(D16=0,0,MIN(MAX(D16*0.025,250),2500)*IF(IFERROR(Employee_Master!P14,"")&lt;&gt;"Semi-Monthly",1,IF(Payroll_Register!$K$3="Every Period",1,IF(Payroll_Register!$K$3="1st Half",IF(Payroll_Register!$C$3="1st Half",1,0),IF(Payroll_Register!$C$3="2nd Half",1,0))))/IF(IFERROR(Employee_Master!P14,"")="Weekly",4.33,IF(IFERROR(Employee_Master!P14,"")="Monthly",1,IF(Payroll_Register!$K$3="Every Period",2,1)))),0)</f>
        <v>0</v>
      </c>
      <c r="I16" s="78">
        <f>IFERROR(IF(D16=0,0,MIN(D16*0.02,200)*IF(IFERROR(Employee_Master!P14,"")&lt;&gt;"Semi-Monthly",1,IF(Payroll_Register!$K$3="Every Period",1,IF(Payroll_Register!$K$3="1st Half",IF(Payroll_Register!$C$3="1st Half",1,0),IF(Payroll_Register!$C$3="2nd Half",1,0))))/IF(IFERROR(Employee_Master!P14,"")="Weekly",4.33,IF(IFERROR(Employee_Master!P14,"")="Monthly",1,IF(Payroll_Register!$K$3="Every Period",2,1)))),0)</f>
        <v>0</v>
      </c>
      <c r="J16" s="45">
        <f>IFERROR(Attendance_Register!Q17,0)</f>
        <v>0</v>
      </c>
      <c r="K16" s="45">
        <v>0</v>
      </c>
      <c r="L16" s="46">
        <f t="shared" si="0"/>
        <v>0</v>
      </c>
      <c r="M16" s="78">
        <f t="shared" si="1"/>
        <v>0</v>
      </c>
      <c r="N16" s="46">
        <f t="shared" si="2"/>
        <v>0</v>
      </c>
      <c r="O16" s="78">
        <f>IFERROR(IF(D16=0,0,IF(N16&lt;=0,0,IF(N16*IF(IFERROR(Employee_Master!P14,"")="Weekly",0.5,IF(IFERROR(Employee_Master!P14,"")="Monthly",2,1))&lt;=10416.67,0,IF(N16*IF(IFERROR(Employee_Master!P14,"")="Weekly",0.5,IF(IFERROR(Employee_Master!P14,"")="Monthly",2,1))&lt;=16666.67,(N16*IF(IFERROR(Employee_Master!P14,"")="Weekly",0.5,IF(IFERROR(Employee_Master!P14,"")="Monthly",2,1))-10416.67)*0.15,IF(N16*IF(IFERROR(Employee_Master!P14,"")="Weekly",0.5,IF(IFERROR(Employee_Master!P14,"")="Monthly",2,1))&lt;=33333.33,937.5+(N16*IF(IFERROR(Employee_Master!P14,"")="Weekly",0.5,IF(IFERROR(Employee_Master!P14,"")="Monthly",2,1))-16666.67)*0.2,IF(N16*IF(IFERROR(Employee_Master!P14,"")="Weekly",0.5,IF(IFERROR(Employee_Master!P14,"")="Monthly",2,1))&lt;=83333.33,4270.83+(N16*IF(IFERROR(Employee_Master!P14,"")="Weekly",0.5,IF(IFERROR(Employee_Master!P14,"")="Monthly",2,1))-33333.33)*0.25,IF(N16*IF(IFERROR(Employee_Master!P14,"")="Weekly",0.5,IF(IFERROR(Employee_Master!P14,"")="Monthly",2,1))&lt;=333333.33,16770.83+(N16*IF(IFERROR(Employee_Master!P14,"")="Weekly",0.5,IF(IFERROR(Employee_Master!P14,"")="Monthly",2,1))-83333.33)*0.3,91770.83+(N16*IF(IFERROR(Employee_Master!P14,"")="Weekly",0.5,IF(IFERROR(Employee_Master!P14,"")="Monthly",2,1))-333333.33)*0.35))))))/IF(IFERROR(Employee_Master!P14,"")="Weekly",0.5,IF(IFERROR(Employee_Master!P14,"")="Monthly",2,1))),0)</f>
        <v>0</v>
      </c>
      <c r="P16" s="46">
        <f>IFERROR(IF(D16=0,0,D16/12/IF(IFERROR(Employee_Master!P14,"")="Weekly",4.33,IF(IFERROR(Employee_Master!P14,"")="Monthly",1,2))),0)</f>
        <v>0</v>
      </c>
      <c r="Q16" s="45">
        <v>0</v>
      </c>
      <c r="R16" s="79">
        <v>0</v>
      </c>
      <c r="S16" s="80">
        <f>IFERROR(Employee_Master!I14*R16*2,0)</f>
        <v>0</v>
      </c>
      <c r="T16" s="79">
        <v>0</v>
      </c>
      <c r="U16" s="80">
        <f>IFERROR(Employee_Master!I14*T16*0.3,0)</f>
        <v>0</v>
      </c>
      <c r="V16" s="81">
        <f t="shared" si="3"/>
        <v>0</v>
      </c>
      <c r="W16" s="82">
        <f>IFERROR(IF(D16=0,0,VLOOKUP(D16,SSS_Table!$B$4:$E$64,4,TRUE())*IF(IFERROR(Employee_Master!P14,"")&lt;&gt;"Semi-Monthly",1,IF(Payroll_Register!$K$3="Every Period",1,IF(Payroll_Register!$K$3="1st Half",IF(Payroll_Register!$C$3="1st Half",1,0),IF(Payroll_Register!$C$3="2nd Half",1,0))))/IF(IFERROR(Employee_Master!P14,"")="Weekly",4.33,IF(IFERROR(Employee_Master!P14,"")="Monthly",1,IF(Payroll_Register!$K$3="Every Period",2,1)))),0)</f>
        <v>0</v>
      </c>
      <c r="X16" s="82">
        <f t="shared" si="4"/>
        <v>0</v>
      </c>
      <c r="Y16" s="82">
        <f t="shared" si="5"/>
        <v>0</v>
      </c>
      <c r="Z16" s="82">
        <f t="shared" si="6"/>
        <v>0</v>
      </c>
    </row>
    <row r="17" spans="1:26" ht="19.5" customHeight="1" x14ac:dyDescent="0.25">
      <c r="A17" s="47" t="s">
        <v>87</v>
      </c>
      <c r="B17" s="83" t="str">
        <f>Employee_Master!B15</f>
        <v>EMP-012</v>
      </c>
      <c r="C17" s="84">
        <f>Employee_Master!C15</f>
        <v>0</v>
      </c>
      <c r="D17" s="85">
        <f>Employee_Master!H15</f>
        <v>0</v>
      </c>
      <c r="E17" s="41">
        <f>IFERROR(IF(IFERROR(Employee_Master!P15,"")="Weekly",5,IF(IFERROR(Employee_Master!P15,"")="Monthly",22,11)),0)</f>
        <v>11</v>
      </c>
      <c r="F17" s="48">
        <f>IFERROR(Employee_Master!I15*E17,0)</f>
        <v>0</v>
      </c>
      <c r="G17" s="78">
        <f>IFERROR(IF(D17=0,0,VLOOKUP(D17,SSS_Table!$B$4:$D$64,3,TRUE())*IF(IFERROR(Employee_Master!P15,"")&lt;&gt;"Semi-Monthly",1,IF(Payroll_Register!$K$3="Every Period",1,IF(Payroll_Register!$K$3="1st Half",IF(Payroll_Register!$C$3="1st Half",1,0),IF(Payroll_Register!$C$3="2nd Half",1,0))))/IF(IFERROR(Employee_Master!P15,"")="Weekly",4.33,IF(IFERROR(Employee_Master!P15,"")="Monthly",1,IF(Payroll_Register!$K$3="Every Period",2,1)))),0)</f>
        <v>0</v>
      </c>
      <c r="H17" s="78">
        <f>IFERROR(IF(D17=0,0,MIN(MAX(D17*0.025,250),2500)*IF(IFERROR(Employee_Master!P15,"")&lt;&gt;"Semi-Monthly",1,IF(Payroll_Register!$K$3="Every Period",1,IF(Payroll_Register!$K$3="1st Half",IF(Payroll_Register!$C$3="1st Half",1,0),IF(Payroll_Register!$C$3="2nd Half",1,0))))/IF(IFERROR(Employee_Master!P15,"")="Weekly",4.33,IF(IFERROR(Employee_Master!P15,"")="Monthly",1,IF(Payroll_Register!$K$3="Every Period",2,1)))),0)</f>
        <v>0</v>
      </c>
      <c r="I17" s="78">
        <f>IFERROR(IF(D17=0,0,MIN(D17*0.02,200)*IF(IFERROR(Employee_Master!P15,"")&lt;&gt;"Semi-Monthly",1,IF(Payroll_Register!$K$3="Every Period",1,IF(Payroll_Register!$K$3="1st Half",IF(Payroll_Register!$C$3="1st Half",1,0),IF(Payroll_Register!$C$3="2nd Half",1,0))))/IF(IFERROR(Employee_Master!P15,"")="Weekly",4.33,IF(IFERROR(Employee_Master!P15,"")="Monthly",1,IF(Payroll_Register!$K$3="Every Period",2,1)))),0)</f>
        <v>0</v>
      </c>
      <c r="J17" s="45">
        <f>IFERROR(Attendance_Register!Q18,0)</f>
        <v>0</v>
      </c>
      <c r="K17" s="45">
        <v>0</v>
      </c>
      <c r="L17" s="48">
        <f t="shared" si="0"/>
        <v>0</v>
      </c>
      <c r="M17" s="78">
        <f t="shared" si="1"/>
        <v>0</v>
      </c>
      <c r="N17" s="48">
        <f t="shared" si="2"/>
        <v>0</v>
      </c>
      <c r="O17" s="78">
        <f>IFERROR(IF(D17=0,0,IF(N17&lt;=0,0,IF(N17*IF(IFERROR(Employee_Master!P15,"")="Weekly",0.5,IF(IFERROR(Employee_Master!P15,"")="Monthly",2,1))&lt;=10416.67,0,IF(N17*IF(IFERROR(Employee_Master!P15,"")="Weekly",0.5,IF(IFERROR(Employee_Master!P15,"")="Monthly",2,1))&lt;=16666.67,(N17*IF(IFERROR(Employee_Master!P15,"")="Weekly",0.5,IF(IFERROR(Employee_Master!P15,"")="Monthly",2,1))-10416.67)*0.15,IF(N17*IF(IFERROR(Employee_Master!P15,"")="Weekly",0.5,IF(IFERROR(Employee_Master!P15,"")="Monthly",2,1))&lt;=33333.33,937.5+(N17*IF(IFERROR(Employee_Master!P15,"")="Weekly",0.5,IF(IFERROR(Employee_Master!P15,"")="Monthly",2,1))-16666.67)*0.2,IF(N17*IF(IFERROR(Employee_Master!P15,"")="Weekly",0.5,IF(IFERROR(Employee_Master!P15,"")="Monthly",2,1))&lt;=83333.33,4270.83+(N17*IF(IFERROR(Employee_Master!P15,"")="Weekly",0.5,IF(IFERROR(Employee_Master!P15,"")="Monthly",2,1))-33333.33)*0.25,IF(N17*IF(IFERROR(Employee_Master!P15,"")="Weekly",0.5,IF(IFERROR(Employee_Master!P15,"")="Monthly",2,1))&lt;=333333.33,16770.83+(N17*IF(IFERROR(Employee_Master!P15,"")="Weekly",0.5,IF(IFERROR(Employee_Master!P15,"")="Monthly",2,1))-83333.33)*0.3,91770.83+(N17*IF(IFERROR(Employee_Master!P15,"")="Weekly",0.5,IF(IFERROR(Employee_Master!P15,"")="Monthly",2,1))-333333.33)*0.35))))))/IF(IFERROR(Employee_Master!P15,"")="Weekly",0.5,IF(IFERROR(Employee_Master!P15,"")="Monthly",2,1))),0)</f>
        <v>0</v>
      </c>
      <c r="P17" s="48">
        <f>IFERROR(IF(D17=0,0,D17/12/IF(IFERROR(Employee_Master!P15,"")="Weekly",4.33,IF(IFERROR(Employee_Master!P15,"")="Monthly",1,2))),0)</f>
        <v>0</v>
      </c>
      <c r="Q17" s="45">
        <v>0</v>
      </c>
      <c r="R17" s="79">
        <v>0</v>
      </c>
      <c r="S17" s="80">
        <f>IFERROR(Employee_Master!I15*R17*2,0)</f>
        <v>0</v>
      </c>
      <c r="T17" s="79">
        <v>0</v>
      </c>
      <c r="U17" s="80">
        <f>IFERROR(Employee_Master!I15*T17*0.3,0)</f>
        <v>0</v>
      </c>
      <c r="V17" s="81">
        <f t="shared" si="3"/>
        <v>0</v>
      </c>
      <c r="W17" s="82">
        <f>IFERROR(IF(D17=0,0,VLOOKUP(D17,SSS_Table!$B$4:$E$64,4,TRUE())*IF(IFERROR(Employee_Master!P15,"")&lt;&gt;"Semi-Monthly",1,IF(Payroll_Register!$K$3="Every Period",1,IF(Payroll_Register!$K$3="1st Half",IF(Payroll_Register!$C$3="1st Half",1,0),IF(Payroll_Register!$C$3="2nd Half",1,0))))/IF(IFERROR(Employee_Master!P15,"")="Weekly",4.33,IF(IFERROR(Employee_Master!P15,"")="Monthly",1,IF(Payroll_Register!$K$3="Every Period",2,1)))),0)</f>
        <v>0</v>
      </c>
      <c r="X17" s="82">
        <f t="shared" si="4"/>
        <v>0</v>
      </c>
      <c r="Y17" s="82">
        <f t="shared" si="5"/>
        <v>0</v>
      </c>
      <c r="Z17" s="82">
        <f t="shared" si="6"/>
        <v>0</v>
      </c>
    </row>
    <row r="18" spans="1:26" ht="19.5" customHeight="1" x14ac:dyDescent="0.25">
      <c r="A18" s="40" t="s">
        <v>88</v>
      </c>
      <c r="B18" s="75" t="str">
        <f>Employee_Master!B16</f>
        <v>EMP-013</v>
      </c>
      <c r="C18" s="76">
        <f>Employee_Master!C16</f>
        <v>0</v>
      </c>
      <c r="D18" s="77">
        <f>Employee_Master!H16</f>
        <v>0</v>
      </c>
      <c r="E18" s="41">
        <f>IFERROR(IF(IFERROR(Employee_Master!P16,"")="Weekly",5,IF(IFERROR(Employee_Master!P16,"")="Monthly",22,11)),0)</f>
        <v>11</v>
      </c>
      <c r="F18" s="46">
        <f>IFERROR(Employee_Master!I16*E18,0)</f>
        <v>0</v>
      </c>
      <c r="G18" s="78">
        <f>IFERROR(IF(D18=0,0,VLOOKUP(D18,SSS_Table!$B$4:$D$64,3,TRUE())*IF(IFERROR(Employee_Master!P16,"")&lt;&gt;"Semi-Monthly",1,IF(Payroll_Register!$K$3="Every Period",1,IF(Payroll_Register!$K$3="1st Half",IF(Payroll_Register!$C$3="1st Half",1,0),IF(Payroll_Register!$C$3="2nd Half",1,0))))/IF(IFERROR(Employee_Master!P16,"")="Weekly",4.33,IF(IFERROR(Employee_Master!P16,"")="Monthly",1,IF(Payroll_Register!$K$3="Every Period",2,1)))),0)</f>
        <v>0</v>
      </c>
      <c r="H18" s="78">
        <f>IFERROR(IF(D18=0,0,MIN(MAX(D18*0.025,250),2500)*IF(IFERROR(Employee_Master!P16,"")&lt;&gt;"Semi-Monthly",1,IF(Payroll_Register!$K$3="Every Period",1,IF(Payroll_Register!$K$3="1st Half",IF(Payroll_Register!$C$3="1st Half",1,0),IF(Payroll_Register!$C$3="2nd Half",1,0))))/IF(IFERROR(Employee_Master!P16,"")="Weekly",4.33,IF(IFERROR(Employee_Master!P16,"")="Monthly",1,IF(Payroll_Register!$K$3="Every Period",2,1)))),0)</f>
        <v>0</v>
      </c>
      <c r="I18" s="78">
        <f>IFERROR(IF(D18=0,0,MIN(D18*0.02,200)*IF(IFERROR(Employee_Master!P16,"")&lt;&gt;"Semi-Monthly",1,IF(Payroll_Register!$K$3="Every Period",1,IF(Payroll_Register!$K$3="1st Half",IF(Payroll_Register!$C$3="1st Half",1,0),IF(Payroll_Register!$C$3="2nd Half",1,0))))/IF(IFERROR(Employee_Master!P16,"")="Weekly",4.33,IF(IFERROR(Employee_Master!P16,"")="Monthly",1,IF(Payroll_Register!$K$3="Every Period",2,1)))),0)</f>
        <v>0</v>
      </c>
      <c r="J18" s="45">
        <f>IFERROR(Attendance_Register!Q19,0)</f>
        <v>0</v>
      </c>
      <c r="K18" s="45">
        <v>0</v>
      </c>
      <c r="L18" s="46">
        <f t="shared" si="0"/>
        <v>0</v>
      </c>
      <c r="M18" s="78">
        <f t="shared" si="1"/>
        <v>0</v>
      </c>
      <c r="N18" s="46">
        <f t="shared" si="2"/>
        <v>0</v>
      </c>
      <c r="O18" s="78">
        <f>IFERROR(IF(D18=0,0,IF(N18&lt;=0,0,IF(N18*IF(IFERROR(Employee_Master!P16,"")="Weekly",0.5,IF(IFERROR(Employee_Master!P16,"")="Monthly",2,1))&lt;=10416.67,0,IF(N18*IF(IFERROR(Employee_Master!P16,"")="Weekly",0.5,IF(IFERROR(Employee_Master!P16,"")="Monthly",2,1))&lt;=16666.67,(N18*IF(IFERROR(Employee_Master!P16,"")="Weekly",0.5,IF(IFERROR(Employee_Master!P16,"")="Monthly",2,1))-10416.67)*0.15,IF(N18*IF(IFERROR(Employee_Master!P16,"")="Weekly",0.5,IF(IFERROR(Employee_Master!P16,"")="Monthly",2,1))&lt;=33333.33,937.5+(N18*IF(IFERROR(Employee_Master!P16,"")="Weekly",0.5,IF(IFERROR(Employee_Master!P16,"")="Monthly",2,1))-16666.67)*0.2,IF(N18*IF(IFERROR(Employee_Master!P16,"")="Weekly",0.5,IF(IFERROR(Employee_Master!P16,"")="Monthly",2,1))&lt;=83333.33,4270.83+(N18*IF(IFERROR(Employee_Master!P16,"")="Weekly",0.5,IF(IFERROR(Employee_Master!P16,"")="Monthly",2,1))-33333.33)*0.25,IF(N18*IF(IFERROR(Employee_Master!P16,"")="Weekly",0.5,IF(IFERROR(Employee_Master!P16,"")="Monthly",2,1))&lt;=333333.33,16770.83+(N18*IF(IFERROR(Employee_Master!P16,"")="Weekly",0.5,IF(IFERROR(Employee_Master!P16,"")="Monthly",2,1))-83333.33)*0.3,91770.83+(N18*IF(IFERROR(Employee_Master!P16,"")="Weekly",0.5,IF(IFERROR(Employee_Master!P16,"")="Monthly",2,1))-333333.33)*0.35))))))/IF(IFERROR(Employee_Master!P16,"")="Weekly",0.5,IF(IFERROR(Employee_Master!P16,"")="Monthly",2,1))),0)</f>
        <v>0</v>
      </c>
      <c r="P18" s="46">
        <f>IFERROR(IF(D18=0,0,D18/12/IF(IFERROR(Employee_Master!P16,"")="Weekly",4.33,IF(IFERROR(Employee_Master!P16,"")="Monthly",1,2))),0)</f>
        <v>0</v>
      </c>
      <c r="Q18" s="45">
        <v>0</v>
      </c>
      <c r="R18" s="79">
        <v>0</v>
      </c>
      <c r="S18" s="80">
        <f>IFERROR(Employee_Master!I16*R18*2,0)</f>
        <v>0</v>
      </c>
      <c r="T18" s="79">
        <v>0</v>
      </c>
      <c r="U18" s="80">
        <f>IFERROR(Employee_Master!I16*T18*0.3,0)</f>
        <v>0</v>
      </c>
      <c r="V18" s="81">
        <f t="shared" si="3"/>
        <v>0</v>
      </c>
      <c r="W18" s="82">
        <f>IFERROR(IF(D18=0,0,VLOOKUP(D18,SSS_Table!$B$4:$E$64,4,TRUE())*IF(IFERROR(Employee_Master!P16,"")&lt;&gt;"Semi-Monthly",1,IF(Payroll_Register!$K$3="Every Period",1,IF(Payroll_Register!$K$3="1st Half",IF(Payroll_Register!$C$3="1st Half",1,0),IF(Payroll_Register!$C$3="2nd Half",1,0))))/IF(IFERROR(Employee_Master!P16,"")="Weekly",4.33,IF(IFERROR(Employee_Master!P16,"")="Monthly",1,IF(Payroll_Register!$K$3="Every Period",2,1)))),0)</f>
        <v>0</v>
      </c>
      <c r="X18" s="82">
        <f t="shared" si="4"/>
        <v>0</v>
      </c>
      <c r="Y18" s="82">
        <f t="shared" si="5"/>
        <v>0</v>
      </c>
      <c r="Z18" s="82">
        <f t="shared" si="6"/>
        <v>0</v>
      </c>
    </row>
    <row r="19" spans="1:26" ht="19.5" customHeight="1" x14ac:dyDescent="0.25">
      <c r="A19" s="47" t="s">
        <v>89</v>
      </c>
      <c r="B19" s="83" t="str">
        <f>Employee_Master!B17</f>
        <v>EMP-014</v>
      </c>
      <c r="C19" s="84">
        <f>Employee_Master!C17</f>
        <v>0</v>
      </c>
      <c r="D19" s="85">
        <f>Employee_Master!H17</f>
        <v>0</v>
      </c>
      <c r="E19" s="41">
        <f>IFERROR(IF(IFERROR(Employee_Master!P17,"")="Weekly",5,IF(IFERROR(Employee_Master!P17,"")="Monthly",22,11)),0)</f>
        <v>11</v>
      </c>
      <c r="F19" s="48">
        <f>IFERROR(Employee_Master!I17*E19,0)</f>
        <v>0</v>
      </c>
      <c r="G19" s="78">
        <f>IFERROR(IF(D19=0,0,VLOOKUP(D19,SSS_Table!$B$4:$D$64,3,TRUE())*IF(IFERROR(Employee_Master!P17,"")&lt;&gt;"Semi-Monthly",1,IF(Payroll_Register!$K$3="Every Period",1,IF(Payroll_Register!$K$3="1st Half",IF(Payroll_Register!$C$3="1st Half",1,0),IF(Payroll_Register!$C$3="2nd Half",1,0))))/IF(IFERROR(Employee_Master!P17,"")="Weekly",4.33,IF(IFERROR(Employee_Master!P17,"")="Monthly",1,IF(Payroll_Register!$K$3="Every Period",2,1)))),0)</f>
        <v>0</v>
      </c>
      <c r="H19" s="78">
        <f>IFERROR(IF(D19=0,0,MIN(MAX(D19*0.025,250),2500)*IF(IFERROR(Employee_Master!P17,"")&lt;&gt;"Semi-Monthly",1,IF(Payroll_Register!$K$3="Every Period",1,IF(Payroll_Register!$K$3="1st Half",IF(Payroll_Register!$C$3="1st Half",1,0),IF(Payroll_Register!$C$3="2nd Half",1,0))))/IF(IFERROR(Employee_Master!P17,"")="Weekly",4.33,IF(IFERROR(Employee_Master!P17,"")="Monthly",1,IF(Payroll_Register!$K$3="Every Period",2,1)))),0)</f>
        <v>0</v>
      </c>
      <c r="I19" s="78">
        <f>IFERROR(IF(D19=0,0,MIN(D19*0.02,200)*IF(IFERROR(Employee_Master!P17,"")&lt;&gt;"Semi-Monthly",1,IF(Payroll_Register!$K$3="Every Period",1,IF(Payroll_Register!$K$3="1st Half",IF(Payroll_Register!$C$3="1st Half",1,0),IF(Payroll_Register!$C$3="2nd Half",1,0))))/IF(IFERROR(Employee_Master!P17,"")="Weekly",4.33,IF(IFERROR(Employee_Master!P17,"")="Monthly",1,IF(Payroll_Register!$K$3="Every Period",2,1)))),0)</f>
        <v>0</v>
      </c>
      <c r="J19" s="45">
        <f>IFERROR(Attendance_Register!Q20,0)</f>
        <v>0</v>
      </c>
      <c r="K19" s="45">
        <v>0</v>
      </c>
      <c r="L19" s="48">
        <f t="shared" si="0"/>
        <v>0</v>
      </c>
      <c r="M19" s="78">
        <f t="shared" si="1"/>
        <v>0</v>
      </c>
      <c r="N19" s="48">
        <f t="shared" si="2"/>
        <v>0</v>
      </c>
      <c r="O19" s="78">
        <f>IFERROR(IF(D19=0,0,IF(N19&lt;=0,0,IF(N19*IF(IFERROR(Employee_Master!P17,"")="Weekly",0.5,IF(IFERROR(Employee_Master!P17,"")="Monthly",2,1))&lt;=10416.67,0,IF(N19*IF(IFERROR(Employee_Master!P17,"")="Weekly",0.5,IF(IFERROR(Employee_Master!P17,"")="Monthly",2,1))&lt;=16666.67,(N19*IF(IFERROR(Employee_Master!P17,"")="Weekly",0.5,IF(IFERROR(Employee_Master!P17,"")="Monthly",2,1))-10416.67)*0.15,IF(N19*IF(IFERROR(Employee_Master!P17,"")="Weekly",0.5,IF(IFERROR(Employee_Master!P17,"")="Monthly",2,1))&lt;=33333.33,937.5+(N19*IF(IFERROR(Employee_Master!P17,"")="Weekly",0.5,IF(IFERROR(Employee_Master!P17,"")="Monthly",2,1))-16666.67)*0.2,IF(N19*IF(IFERROR(Employee_Master!P17,"")="Weekly",0.5,IF(IFERROR(Employee_Master!P17,"")="Monthly",2,1))&lt;=83333.33,4270.83+(N19*IF(IFERROR(Employee_Master!P17,"")="Weekly",0.5,IF(IFERROR(Employee_Master!P17,"")="Monthly",2,1))-33333.33)*0.25,IF(N19*IF(IFERROR(Employee_Master!P17,"")="Weekly",0.5,IF(IFERROR(Employee_Master!P17,"")="Monthly",2,1))&lt;=333333.33,16770.83+(N19*IF(IFERROR(Employee_Master!P17,"")="Weekly",0.5,IF(IFERROR(Employee_Master!P17,"")="Monthly",2,1))-83333.33)*0.3,91770.83+(N19*IF(IFERROR(Employee_Master!P17,"")="Weekly",0.5,IF(IFERROR(Employee_Master!P17,"")="Monthly",2,1))-333333.33)*0.35))))))/IF(IFERROR(Employee_Master!P17,"")="Weekly",0.5,IF(IFERROR(Employee_Master!P17,"")="Monthly",2,1))),0)</f>
        <v>0</v>
      </c>
      <c r="P19" s="48">
        <f>IFERROR(IF(D19=0,0,D19/12/IF(IFERROR(Employee_Master!P17,"")="Weekly",4.33,IF(IFERROR(Employee_Master!P17,"")="Monthly",1,2))),0)</f>
        <v>0</v>
      </c>
      <c r="Q19" s="45">
        <v>0</v>
      </c>
      <c r="R19" s="79">
        <v>0</v>
      </c>
      <c r="S19" s="80">
        <f>IFERROR(Employee_Master!I17*R19*2,0)</f>
        <v>0</v>
      </c>
      <c r="T19" s="79">
        <v>0</v>
      </c>
      <c r="U19" s="80">
        <f>IFERROR(Employee_Master!I17*T19*0.3,0)</f>
        <v>0</v>
      </c>
      <c r="V19" s="81">
        <f t="shared" si="3"/>
        <v>0</v>
      </c>
      <c r="W19" s="82">
        <f>IFERROR(IF(D19=0,0,VLOOKUP(D19,SSS_Table!$B$4:$E$64,4,TRUE())*IF(IFERROR(Employee_Master!P17,"")&lt;&gt;"Semi-Monthly",1,IF(Payroll_Register!$K$3="Every Period",1,IF(Payroll_Register!$K$3="1st Half",IF(Payroll_Register!$C$3="1st Half",1,0),IF(Payroll_Register!$C$3="2nd Half",1,0))))/IF(IFERROR(Employee_Master!P17,"")="Weekly",4.33,IF(IFERROR(Employee_Master!P17,"")="Monthly",1,IF(Payroll_Register!$K$3="Every Period",2,1)))),0)</f>
        <v>0</v>
      </c>
      <c r="X19" s="82">
        <f t="shared" si="4"/>
        <v>0</v>
      </c>
      <c r="Y19" s="82">
        <f t="shared" si="5"/>
        <v>0</v>
      </c>
      <c r="Z19" s="82">
        <f t="shared" si="6"/>
        <v>0</v>
      </c>
    </row>
    <row r="20" spans="1:26" ht="19.5" customHeight="1" x14ac:dyDescent="0.25">
      <c r="A20" s="40" t="s">
        <v>90</v>
      </c>
      <c r="B20" s="75" t="str">
        <f>Employee_Master!B18</f>
        <v>EMP-015</v>
      </c>
      <c r="C20" s="76">
        <f>Employee_Master!C18</f>
        <v>0</v>
      </c>
      <c r="D20" s="77">
        <f>Employee_Master!H18</f>
        <v>0</v>
      </c>
      <c r="E20" s="41">
        <f>IFERROR(IF(IFERROR(Employee_Master!P18,"")="Weekly",5,IF(IFERROR(Employee_Master!P18,"")="Monthly",22,11)),0)</f>
        <v>11</v>
      </c>
      <c r="F20" s="46">
        <f>IFERROR(Employee_Master!I18*E20,0)</f>
        <v>0</v>
      </c>
      <c r="G20" s="78">
        <f>IFERROR(IF(D20=0,0,VLOOKUP(D20,SSS_Table!$B$4:$D$64,3,TRUE())*IF(IFERROR(Employee_Master!P18,"")&lt;&gt;"Semi-Monthly",1,IF(Payroll_Register!$K$3="Every Period",1,IF(Payroll_Register!$K$3="1st Half",IF(Payroll_Register!$C$3="1st Half",1,0),IF(Payroll_Register!$C$3="2nd Half",1,0))))/IF(IFERROR(Employee_Master!P18,"")="Weekly",4.33,IF(IFERROR(Employee_Master!P18,"")="Monthly",1,IF(Payroll_Register!$K$3="Every Period",2,1)))),0)</f>
        <v>0</v>
      </c>
      <c r="H20" s="78">
        <f>IFERROR(IF(D20=0,0,MIN(MAX(D20*0.025,250),2500)*IF(IFERROR(Employee_Master!P18,"")&lt;&gt;"Semi-Monthly",1,IF(Payroll_Register!$K$3="Every Period",1,IF(Payroll_Register!$K$3="1st Half",IF(Payroll_Register!$C$3="1st Half",1,0),IF(Payroll_Register!$C$3="2nd Half",1,0))))/IF(IFERROR(Employee_Master!P18,"")="Weekly",4.33,IF(IFERROR(Employee_Master!P18,"")="Monthly",1,IF(Payroll_Register!$K$3="Every Period",2,1)))),0)</f>
        <v>0</v>
      </c>
      <c r="I20" s="78">
        <f>IFERROR(IF(D20=0,0,MIN(D20*0.02,200)*IF(IFERROR(Employee_Master!P18,"")&lt;&gt;"Semi-Monthly",1,IF(Payroll_Register!$K$3="Every Period",1,IF(Payroll_Register!$K$3="1st Half",IF(Payroll_Register!$C$3="1st Half",1,0),IF(Payroll_Register!$C$3="2nd Half",1,0))))/IF(IFERROR(Employee_Master!P18,"")="Weekly",4.33,IF(IFERROR(Employee_Master!P18,"")="Monthly",1,IF(Payroll_Register!$K$3="Every Period",2,1)))),0)</f>
        <v>0</v>
      </c>
      <c r="J20" s="45">
        <f>IFERROR(Attendance_Register!Q21,0)</f>
        <v>0</v>
      </c>
      <c r="K20" s="45">
        <v>0</v>
      </c>
      <c r="L20" s="46">
        <f t="shared" si="0"/>
        <v>0</v>
      </c>
      <c r="M20" s="78">
        <f t="shared" si="1"/>
        <v>0</v>
      </c>
      <c r="N20" s="46">
        <f t="shared" si="2"/>
        <v>0</v>
      </c>
      <c r="O20" s="78">
        <f>IFERROR(IF(D20=0,0,IF(N20&lt;=0,0,IF(N20*IF(IFERROR(Employee_Master!P18,"")="Weekly",0.5,IF(IFERROR(Employee_Master!P18,"")="Monthly",2,1))&lt;=10416.67,0,IF(N20*IF(IFERROR(Employee_Master!P18,"")="Weekly",0.5,IF(IFERROR(Employee_Master!P18,"")="Monthly",2,1))&lt;=16666.67,(N20*IF(IFERROR(Employee_Master!P18,"")="Weekly",0.5,IF(IFERROR(Employee_Master!P18,"")="Monthly",2,1))-10416.67)*0.15,IF(N20*IF(IFERROR(Employee_Master!P18,"")="Weekly",0.5,IF(IFERROR(Employee_Master!P18,"")="Monthly",2,1))&lt;=33333.33,937.5+(N20*IF(IFERROR(Employee_Master!P18,"")="Weekly",0.5,IF(IFERROR(Employee_Master!P18,"")="Monthly",2,1))-16666.67)*0.2,IF(N20*IF(IFERROR(Employee_Master!P18,"")="Weekly",0.5,IF(IFERROR(Employee_Master!P18,"")="Monthly",2,1))&lt;=83333.33,4270.83+(N20*IF(IFERROR(Employee_Master!P18,"")="Weekly",0.5,IF(IFERROR(Employee_Master!P18,"")="Monthly",2,1))-33333.33)*0.25,IF(N20*IF(IFERROR(Employee_Master!P18,"")="Weekly",0.5,IF(IFERROR(Employee_Master!P18,"")="Monthly",2,1))&lt;=333333.33,16770.83+(N20*IF(IFERROR(Employee_Master!P18,"")="Weekly",0.5,IF(IFERROR(Employee_Master!P18,"")="Monthly",2,1))-83333.33)*0.3,91770.83+(N20*IF(IFERROR(Employee_Master!P18,"")="Weekly",0.5,IF(IFERROR(Employee_Master!P18,"")="Monthly",2,1))-333333.33)*0.35))))))/IF(IFERROR(Employee_Master!P18,"")="Weekly",0.5,IF(IFERROR(Employee_Master!P18,"")="Monthly",2,1))),0)</f>
        <v>0</v>
      </c>
      <c r="P20" s="46">
        <f>IFERROR(IF(D20=0,0,D20/12/IF(IFERROR(Employee_Master!P18,"")="Weekly",4.33,IF(IFERROR(Employee_Master!P18,"")="Monthly",1,2))),0)</f>
        <v>0</v>
      </c>
      <c r="Q20" s="45">
        <v>0</v>
      </c>
      <c r="R20" s="79">
        <v>0</v>
      </c>
      <c r="S20" s="80">
        <f>IFERROR(Employee_Master!I18*R20*2,0)</f>
        <v>0</v>
      </c>
      <c r="T20" s="79">
        <v>0</v>
      </c>
      <c r="U20" s="80">
        <f>IFERROR(Employee_Master!I18*T20*0.3,0)</f>
        <v>0</v>
      </c>
      <c r="V20" s="81">
        <f t="shared" si="3"/>
        <v>0</v>
      </c>
      <c r="W20" s="82">
        <f>IFERROR(IF(D20=0,0,VLOOKUP(D20,SSS_Table!$B$4:$E$64,4,TRUE())*IF(IFERROR(Employee_Master!P18,"")&lt;&gt;"Semi-Monthly",1,IF(Payroll_Register!$K$3="Every Period",1,IF(Payroll_Register!$K$3="1st Half",IF(Payroll_Register!$C$3="1st Half",1,0),IF(Payroll_Register!$C$3="2nd Half",1,0))))/IF(IFERROR(Employee_Master!P18,"")="Weekly",4.33,IF(IFERROR(Employee_Master!P18,"")="Monthly",1,IF(Payroll_Register!$K$3="Every Period",2,1)))),0)</f>
        <v>0</v>
      </c>
      <c r="X20" s="82">
        <f t="shared" si="4"/>
        <v>0</v>
      </c>
      <c r="Y20" s="82">
        <f t="shared" si="5"/>
        <v>0</v>
      </c>
      <c r="Z20" s="82">
        <f t="shared" si="6"/>
        <v>0</v>
      </c>
    </row>
    <row r="21" spans="1:26" ht="19.5" customHeight="1" x14ac:dyDescent="0.25">
      <c r="A21" s="47" t="s">
        <v>91</v>
      </c>
      <c r="B21" s="83" t="str">
        <f>Employee_Master!B19</f>
        <v>EMP-016</v>
      </c>
      <c r="C21" s="84">
        <f>Employee_Master!C19</f>
        <v>0</v>
      </c>
      <c r="D21" s="85">
        <f>Employee_Master!H19</f>
        <v>0</v>
      </c>
      <c r="E21" s="41">
        <f>IFERROR(IF(IFERROR(Employee_Master!P19,"")="Weekly",5,IF(IFERROR(Employee_Master!P19,"")="Monthly",22,11)),0)</f>
        <v>11</v>
      </c>
      <c r="F21" s="48">
        <f>IFERROR(Employee_Master!I19*E21,0)</f>
        <v>0</v>
      </c>
      <c r="G21" s="78">
        <f>IFERROR(IF(D21=0,0,VLOOKUP(D21,SSS_Table!$B$4:$D$64,3,TRUE())*IF(IFERROR(Employee_Master!P19,"")&lt;&gt;"Semi-Monthly",1,IF(Payroll_Register!$K$3="Every Period",1,IF(Payroll_Register!$K$3="1st Half",IF(Payroll_Register!$C$3="1st Half",1,0),IF(Payroll_Register!$C$3="2nd Half",1,0))))/IF(IFERROR(Employee_Master!P19,"")="Weekly",4.33,IF(IFERROR(Employee_Master!P19,"")="Monthly",1,IF(Payroll_Register!$K$3="Every Period",2,1)))),0)</f>
        <v>0</v>
      </c>
      <c r="H21" s="78">
        <f>IFERROR(IF(D21=0,0,MIN(MAX(D21*0.025,250),2500)*IF(IFERROR(Employee_Master!P19,"")&lt;&gt;"Semi-Monthly",1,IF(Payroll_Register!$K$3="Every Period",1,IF(Payroll_Register!$K$3="1st Half",IF(Payroll_Register!$C$3="1st Half",1,0),IF(Payroll_Register!$C$3="2nd Half",1,0))))/IF(IFERROR(Employee_Master!P19,"")="Weekly",4.33,IF(IFERROR(Employee_Master!P19,"")="Monthly",1,IF(Payroll_Register!$K$3="Every Period",2,1)))),0)</f>
        <v>0</v>
      </c>
      <c r="I21" s="78">
        <f>IFERROR(IF(D21=0,0,MIN(D21*0.02,200)*IF(IFERROR(Employee_Master!P19,"")&lt;&gt;"Semi-Monthly",1,IF(Payroll_Register!$K$3="Every Period",1,IF(Payroll_Register!$K$3="1st Half",IF(Payroll_Register!$C$3="1st Half",1,0),IF(Payroll_Register!$C$3="2nd Half",1,0))))/IF(IFERROR(Employee_Master!P19,"")="Weekly",4.33,IF(IFERROR(Employee_Master!P19,"")="Monthly",1,IF(Payroll_Register!$K$3="Every Period",2,1)))),0)</f>
        <v>0</v>
      </c>
      <c r="J21" s="45">
        <f>IFERROR(Attendance_Register!Q22,0)</f>
        <v>0</v>
      </c>
      <c r="K21" s="45">
        <v>0</v>
      </c>
      <c r="L21" s="48">
        <f t="shared" si="0"/>
        <v>0</v>
      </c>
      <c r="M21" s="78">
        <f t="shared" si="1"/>
        <v>0</v>
      </c>
      <c r="N21" s="48">
        <f t="shared" si="2"/>
        <v>0</v>
      </c>
      <c r="O21" s="78">
        <f>IFERROR(IF(D21=0,0,IF(N21&lt;=0,0,IF(N21*IF(IFERROR(Employee_Master!P19,"")="Weekly",0.5,IF(IFERROR(Employee_Master!P19,"")="Monthly",2,1))&lt;=10416.67,0,IF(N21*IF(IFERROR(Employee_Master!P19,"")="Weekly",0.5,IF(IFERROR(Employee_Master!P19,"")="Monthly",2,1))&lt;=16666.67,(N21*IF(IFERROR(Employee_Master!P19,"")="Weekly",0.5,IF(IFERROR(Employee_Master!P19,"")="Monthly",2,1))-10416.67)*0.15,IF(N21*IF(IFERROR(Employee_Master!P19,"")="Weekly",0.5,IF(IFERROR(Employee_Master!P19,"")="Monthly",2,1))&lt;=33333.33,937.5+(N21*IF(IFERROR(Employee_Master!P19,"")="Weekly",0.5,IF(IFERROR(Employee_Master!P19,"")="Monthly",2,1))-16666.67)*0.2,IF(N21*IF(IFERROR(Employee_Master!P19,"")="Weekly",0.5,IF(IFERROR(Employee_Master!P19,"")="Monthly",2,1))&lt;=83333.33,4270.83+(N21*IF(IFERROR(Employee_Master!P19,"")="Weekly",0.5,IF(IFERROR(Employee_Master!P19,"")="Monthly",2,1))-33333.33)*0.25,IF(N21*IF(IFERROR(Employee_Master!P19,"")="Weekly",0.5,IF(IFERROR(Employee_Master!P19,"")="Monthly",2,1))&lt;=333333.33,16770.83+(N21*IF(IFERROR(Employee_Master!P19,"")="Weekly",0.5,IF(IFERROR(Employee_Master!P19,"")="Monthly",2,1))-83333.33)*0.3,91770.83+(N21*IF(IFERROR(Employee_Master!P19,"")="Weekly",0.5,IF(IFERROR(Employee_Master!P19,"")="Monthly",2,1))-333333.33)*0.35))))))/IF(IFERROR(Employee_Master!P19,"")="Weekly",0.5,IF(IFERROR(Employee_Master!P19,"")="Monthly",2,1))),0)</f>
        <v>0</v>
      </c>
      <c r="P21" s="48">
        <f>IFERROR(IF(D21=0,0,D21/12/IF(IFERROR(Employee_Master!P19,"")="Weekly",4.33,IF(IFERROR(Employee_Master!P19,"")="Monthly",1,2))),0)</f>
        <v>0</v>
      </c>
      <c r="Q21" s="45">
        <v>0</v>
      </c>
      <c r="R21" s="79">
        <v>0</v>
      </c>
      <c r="S21" s="80">
        <f>IFERROR(Employee_Master!I19*R21*2,0)</f>
        <v>0</v>
      </c>
      <c r="T21" s="79">
        <v>0</v>
      </c>
      <c r="U21" s="80">
        <f>IFERROR(Employee_Master!I19*T21*0.3,0)</f>
        <v>0</v>
      </c>
      <c r="V21" s="81">
        <f t="shared" si="3"/>
        <v>0</v>
      </c>
      <c r="W21" s="82">
        <f>IFERROR(IF(D21=0,0,VLOOKUP(D21,SSS_Table!$B$4:$E$64,4,TRUE())*IF(IFERROR(Employee_Master!P19,"")&lt;&gt;"Semi-Monthly",1,IF(Payroll_Register!$K$3="Every Period",1,IF(Payroll_Register!$K$3="1st Half",IF(Payroll_Register!$C$3="1st Half",1,0),IF(Payroll_Register!$C$3="2nd Half",1,0))))/IF(IFERROR(Employee_Master!P19,"")="Weekly",4.33,IF(IFERROR(Employee_Master!P19,"")="Monthly",1,IF(Payroll_Register!$K$3="Every Period",2,1)))),0)</f>
        <v>0</v>
      </c>
      <c r="X21" s="82">
        <f t="shared" si="4"/>
        <v>0</v>
      </c>
      <c r="Y21" s="82">
        <f t="shared" si="5"/>
        <v>0</v>
      </c>
      <c r="Z21" s="82">
        <f t="shared" si="6"/>
        <v>0</v>
      </c>
    </row>
    <row r="22" spans="1:26" ht="19.5" customHeight="1" x14ac:dyDescent="0.25">
      <c r="A22" s="40" t="s">
        <v>92</v>
      </c>
      <c r="B22" s="75" t="str">
        <f>Employee_Master!B20</f>
        <v>EMP-017</v>
      </c>
      <c r="C22" s="76">
        <f>Employee_Master!C20</f>
        <v>0</v>
      </c>
      <c r="D22" s="77">
        <f>Employee_Master!H20</f>
        <v>0</v>
      </c>
      <c r="E22" s="41">
        <f>IFERROR(IF(IFERROR(Employee_Master!P20,"")="Weekly",5,IF(IFERROR(Employee_Master!P20,"")="Monthly",22,11)),0)</f>
        <v>11</v>
      </c>
      <c r="F22" s="46">
        <f>IFERROR(Employee_Master!I20*E22,0)</f>
        <v>0</v>
      </c>
      <c r="G22" s="78">
        <f>IFERROR(IF(D22=0,0,VLOOKUP(D22,SSS_Table!$B$4:$D$64,3,TRUE())*IF(IFERROR(Employee_Master!P20,"")&lt;&gt;"Semi-Monthly",1,IF(Payroll_Register!$K$3="Every Period",1,IF(Payroll_Register!$K$3="1st Half",IF(Payroll_Register!$C$3="1st Half",1,0),IF(Payroll_Register!$C$3="2nd Half",1,0))))/IF(IFERROR(Employee_Master!P20,"")="Weekly",4.33,IF(IFERROR(Employee_Master!P20,"")="Monthly",1,IF(Payroll_Register!$K$3="Every Period",2,1)))),0)</f>
        <v>0</v>
      </c>
      <c r="H22" s="78">
        <f>IFERROR(IF(D22=0,0,MIN(MAX(D22*0.025,250),2500)*IF(IFERROR(Employee_Master!P20,"")&lt;&gt;"Semi-Monthly",1,IF(Payroll_Register!$K$3="Every Period",1,IF(Payroll_Register!$K$3="1st Half",IF(Payroll_Register!$C$3="1st Half",1,0),IF(Payroll_Register!$C$3="2nd Half",1,0))))/IF(IFERROR(Employee_Master!P20,"")="Weekly",4.33,IF(IFERROR(Employee_Master!P20,"")="Monthly",1,IF(Payroll_Register!$K$3="Every Period",2,1)))),0)</f>
        <v>0</v>
      </c>
      <c r="I22" s="78">
        <f>IFERROR(IF(D22=0,0,MIN(D22*0.02,200)*IF(IFERROR(Employee_Master!P20,"")&lt;&gt;"Semi-Monthly",1,IF(Payroll_Register!$K$3="Every Period",1,IF(Payroll_Register!$K$3="1st Half",IF(Payroll_Register!$C$3="1st Half",1,0),IF(Payroll_Register!$C$3="2nd Half",1,0))))/IF(IFERROR(Employee_Master!P20,"")="Weekly",4.33,IF(IFERROR(Employee_Master!P20,"")="Monthly",1,IF(Payroll_Register!$K$3="Every Period",2,1)))),0)</f>
        <v>0</v>
      </c>
      <c r="J22" s="45">
        <f>IFERROR(Attendance_Register!Q23,0)</f>
        <v>0</v>
      </c>
      <c r="K22" s="45">
        <v>0</v>
      </c>
      <c r="L22" s="46">
        <f t="shared" si="0"/>
        <v>0</v>
      </c>
      <c r="M22" s="78">
        <f t="shared" si="1"/>
        <v>0</v>
      </c>
      <c r="N22" s="46">
        <f t="shared" si="2"/>
        <v>0</v>
      </c>
      <c r="O22" s="78">
        <f>IFERROR(IF(D22=0,0,IF(N22&lt;=0,0,IF(N22*IF(IFERROR(Employee_Master!P20,"")="Weekly",0.5,IF(IFERROR(Employee_Master!P20,"")="Monthly",2,1))&lt;=10416.67,0,IF(N22*IF(IFERROR(Employee_Master!P20,"")="Weekly",0.5,IF(IFERROR(Employee_Master!P20,"")="Monthly",2,1))&lt;=16666.67,(N22*IF(IFERROR(Employee_Master!P20,"")="Weekly",0.5,IF(IFERROR(Employee_Master!P20,"")="Monthly",2,1))-10416.67)*0.15,IF(N22*IF(IFERROR(Employee_Master!P20,"")="Weekly",0.5,IF(IFERROR(Employee_Master!P20,"")="Monthly",2,1))&lt;=33333.33,937.5+(N22*IF(IFERROR(Employee_Master!P20,"")="Weekly",0.5,IF(IFERROR(Employee_Master!P20,"")="Monthly",2,1))-16666.67)*0.2,IF(N22*IF(IFERROR(Employee_Master!P20,"")="Weekly",0.5,IF(IFERROR(Employee_Master!P20,"")="Monthly",2,1))&lt;=83333.33,4270.83+(N22*IF(IFERROR(Employee_Master!P20,"")="Weekly",0.5,IF(IFERROR(Employee_Master!P20,"")="Monthly",2,1))-33333.33)*0.25,IF(N22*IF(IFERROR(Employee_Master!P20,"")="Weekly",0.5,IF(IFERROR(Employee_Master!P20,"")="Monthly",2,1))&lt;=333333.33,16770.83+(N22*IF(IFERROR(Employee_Master!P20,"")="Weekly",0.5,IF(IFERROR(Employee_Master!P20,"")="Monthly",2,1))-83333.33)*0.3,91770.83+(N22*IF(IFERROR(Employee_Master!P20,"")="Weekly",0.5,IF(IFERROR(Employee_Master!P20,"")="Monthly",2,1))-333333.33)*0.35))))))/IF(IFERROR(Employee_Master!P20,"")="Weekly",0.5,IF(IFERROR(Employee_Master!P20,"")="Monthly",2,1))),0)</f>
        <v>0</v>
      </c>
      <c r="P22" s="46">
        <f>IFERROR(IF(D22=0,0,D22/12/IF(IFERROR(Employee_Master!P20,"")="Weekly",4.33,IF(IFERROR(Employee_Master!P20,"")="Monthly",1,2))),0)</f>
        <v>0</v>
      </c>
      <c r="Q22" s="45">
        <v>0</v>
      </c>
      <c r="R22" s="79">
        <v>0</v>
      </c>
      <c r="S22" s="80">
        <f>IFERROR(Employee_Master!I20*R22*2,0)</f>
        <v>0</v>
      </c>
      <c r="T22" s="79">
        <v>0</v>
      </c>
      <c r="U22" s="80">
        <f>IFERROR(Employee_Master!I20*T22*0.3,0)</f>
        <v>0</v>
      </c>
      <c r="V22" s="81">
        <f t="shared" si="3"/>
        <v>0</v>
      </c>
      <c r="W22" s="82">
        <f>IFERROR(IF(D22=0,0,VLOOKUP(D22,SSS_Table!$B$4:$E$64,4,TRUE())*IF(IFERROR(Employee_Master!P20,"")&lt;&gt;"Semi-Monthly",1,IF(Payroll_Register!$K$3="Every Period",1,IF(Payroll_Register!$K$3="1st Half",IF(Payroll_Register!$C$3="1st Half",1,0),IF(Payroll_Register!$C$3="2nd Half",1,0))))/IF(IFERROR(Employee_Master!P20,"")="Weekly",4.33,IF(IFERROR(Employee_Master!P20,"")="Monthly",1,IF(Payroll_Register!$K$3="Every Period",2,1)))),0)</f>
        <v>0</v>
      </c>
      <c r="X22" s="82">
        <f t="shared" si="4"/>
        <v>0</v>
      </c>
      <c r="Y22" s="82">
        <f t="shared" si="5"/>
        <v>0</v>
      </c>
      <c r="Z22" s="82">
        <f t="shared" si="6"/>
        <v>0</v>
      </c>
    </row>
    <row r="23" spans="1:26" ht="19.5" customHeight="1" x14ac:dyDescent="0.25">
      <c r="A23" s="47" t="s">
        <v>93</v>
      </c>
      <c r="B23" s="83" t="str">
        <f>Employee_Master!B21</f>
        <v>EMP-018</v>
      </c>
      <c r="C23" s="84">
        <f>Employee_Master!C21</f>
        <v>0</v>
      </c>
      <c r="D23" s="85">
        <f>Employee_Master!H21</f>
        <v>0</v>
      </c>
      <c r="E23" s="41">
        <f>IFERROR(IF(IFERROR(Employee_Master!P21,"")="Weekly",5,IF(IFERROR(Employee_Master!P21,"")="Monthly",22,11)),0)</f>
        <v>11</v>
      </c>
      <c r="F23" s="48">
        <f>IFERROR(Employee_Master!I21*E23,0)</f>
        <v>0</v>
      </c>
      <c r="G23" s="78">
        <f>IFERROR(IF(D23=0,0,VLOOKUP(D23,SSS_Table!$B$4:$D$64,3,TRUE())*IF(IFERROR(Employee_Master!P21,"")&lt;&gt;"Semi-Monthly",1,IF(Payroll_Register!$K$3="Every Period",1,IF(Payroll_Register!$K$3="1st Half",IF(Payroll_Register!$C$3="1st Half",1,0),IF(Payroll_Register!$C$3="2nd Half",1,0))))/IF(IFERROR(Employee_Master!P21,"")="Weekly",4.33,IF(IFERROR(Employee_Master!P21,"")="Monthly",1,IF(Payroll_Register!$K$3="Every Period",2,1)))),0)</f>
        <v>0</v>
      </c>
      <c r="H23" s="78">
        <f>IFERROR(IF(D23=0,0,MIN(MAX(D23*0.025,250),2500)*IF(IFERROR(Employee_Master!P21,"")&lt;&gt;"Semi-Monthly",1,IF(Payroll_Register!$K$3="Every Period",1,IF(Payroll_Register!$K$3="1st Half",IF(Payroll_Register!$C$3="1st Half",1,0),IF(Payroll_Register!$C$3="2nd Half",1,0))))/IF(IFERROR(Employee_Master!P21,"")="Weekly",4.33,IF(IFERROR(Employee_Master!P21,"")="Monthly",1,IF(Payroll_Register!$K$3="Every Period",2,1)))),0)</f>
        <v>0</v>
      </c>
      <c r="I23" s="78">
        <f>IFERROR(IF(D23=0,0,MIN(D23*0.02,200)*IF(IFERROR(Employee_Master!P21,"")&lt;&gt;"Semi-Monthly",1,IF(Payroll_Register!$K$3="Every Period",1,IF(Payroll_Register!$K$3="1st Half",IF(Payroll_Register!$C$3="1st Half",1,0),IF(Payroll_Register!$C$3="2nd Half",1,0))))/IF(IFERROR(Employee_Master!P21,"")="Weekly",4.33,IF(IFERROR(Employee_Master!P21,"")="Monthly",1,IF(Payroll_Register!$K$3="Every Period",2,1)))),0)</f>
        <v>0</v>
      </c>
      <c r="J23" s="45">
        <f>IFERROR(Attendance_Register!Q24,0)</f>
        <v>0</v>
      </c>
      <c r="K23" s="45">
        <v>0</v>
      </c>
      <c r="L23" s="48">
        <f t="shared" si="0"/>
        <v>0</v>
      </c>
      <c r="M23" s="78">
        <f t="shared" si="1"/>
        <v>0</v>
      </c>
      <c r="N23" s="48">
        <f t="shared" si="2"/>
        <v>0</v>
      </c>
      <c r="O23" s="78">
        <f>IFERROR(IF(D23=0,0,IF(N23&lt;=0,0,IF(N23*IF(IFERROR(Employee_Master!P21,"")="Weekly",0.5,IF(IFERROR(Employee_Master!P21,"")="Monthly",2,1))&lt;=10416.67,0,IF(N23*IF(IFERROR(Employee_Master!P21,"")="Weekly",0.5,IF(IFERROR(Employee_Master!P21,"")="Monthly",2,1))&lt;=16666.67,(N23*IF(IFERROR(Employee_Master!P21,"")="Weekly",0.5,IF(IFERROR(Employee_Master!P21,"")="Monthly",2,1))-10416.67)*0.15,IF(N23*IF(IFERROR(Employee_Master!P21,"")="Weekly",0.5,IF(IFERROR(Employee_Master!P21,"")="Monthly",2,1))&lt;=33333.33,937.5+(N23*IF(IFERROR(Employee_Master!P21,"")="Weekly",0.5,IF(IFERROR(Employee_Master!P21,"")="Monthly",2,1))-16666.67)*0.2,IF(N23*IF(IFERROR(Employee_Master!P21,"")="Weekly",0.5,IF(IFERROR(Employee_Master!P21,"")="Monthly",2,1))&lt;=83333.33,4270.83+(N23*IF(IFERROR(Employee_Master!P21,"")="Weekly",0.5,IF(IFERROR(Employee_Master!P21,"")="Monthly",2,1))-33333.33)*0.25,IF(N23*IF(IFERROR(Employee_Master!P21,"")="Weekly",0.5,IF(IFERROR(Employee_Master!P21,"")="Monthly",2,1))&lt;=333333.33,16770.83+(N23*IF(IFERROR(Employee_Master!P21,"")="Weekly",0.5,IF(IFERROR(Employee_Master!P21,"")="Monthly",2,1))-83333.33)*0.3,91770.83+(N23*IF(IFERROR(Employee_Master!P21,"")="Weekly",0.5,IF(IFERROR(Employee_Master!P21,"")="Monthly",2,1))-333333.33)*0.35))))))/IF(IFERROR(Employee_Master!P21,"")="Weekly",0.5,IF(IFERROR(Employee_Master!P21,"")="Monthly",2,1))),0)</f>
        <v>0</v>
      </c>
      <c r="P23" s="48">
        <f>IFERROR(IF(D23=0,0,D23/12/IF(IFERROR(Employee_Master!P21,"")="Weekly",4.33,IF(IFERROR(Employee_Master!P21,"")="Monthly",1,2))),0)</f>
        <v>0</v>
      </c>
      <c r="Q23" s="45">
        <v>0</v>
      </c>
      <c r="R23" s="79">
        <v>0</v>
      </c>
      <c r="S23" s="80">
        <f>IFERROR(Employee_Master!I21*R23*2,0)</f>
        <v>0</v>
      </c>
      <c r="T23" s="79">
        <v>0</v>
      </c>
      <c r="U23" s="80">
        <f>IFERROR(Employee_Master!I21*T23*0.3,0)</f>
        <v>0</v>
      </c>
      <c r="V23" s="81">
        <f t="shared" si="3"/>
        <v>0</v>
      </c>
      <c r="W23" s="82">
        <f>IFERROR(IF(D23=0,0,VLOOKUP(D23,SSS_Table!$B$4:$E$64,4,TRUE())*IF(IFERROR(Employee_Master!P21,"")&lt;&gt;"Semi-Monthly",1,IF(Payroll_Register!$K$3="Every Period",1,IF(Payroll_Register!$K$3="1st Half",IF(Payroll_Register!$C$3="1st Half",1,0),IF(Payroll_Register!$C$3="2nd Half",1,0))))/IF(IFERROR(Employee_Master!P21,"")="Weekly",4.33,IF(IFERROR(Employee_Master!P21,"")="Monthly",1,IF(Payroll_Register!$K$3="Every Period",2,1)))),0)</f>
        <v>0</v>
      </c>
      <c r="X23" s="82">
        <f t="shared" si="4"/>
        <v>0</v>
      </c>
      <c r="Y23" s="82">
        <f t="shared" si="5"/>
        <v>0</v>
      </c>
      <c r="Z23" s="82">
        <f t="shared" si="6"/>
        <v>0</v>
      </c>
    </row>
    <row r="24" spans="1:26" ht="19.5" customHeight="1" x14ac:dyDescent="0.25">
      <c r="A24" s="40" t="s">
        <v>94</v>
      </c>
      <c r="B24" s="75" t="str">
        <f>Employee_Master!B22</f>
        <v>EMP-019</v>
      </c>
      <c r="C24" s="76">
        <f>Employee_Master!C22</f>
        <v>0</v>
      </c>
      <c r="D24" s="77">
        <f>Employee_Master!H22</f>
        <v>0</v>
      </c>
      <c r="E24" s="41">
        <f>IFERROR(IF(IFERROR(Employee_Master!P22,"")="Weekly",5,IF(IFERROR(Employee_Master!P22,"")="Monthly",22,11)),0)</f>
        <v>11</v>
      </c>
      <c r="F24" s="46">
        <f>IFERROR(Employee_Master!I22*E24,0)</f>
        <v>0</v>
      </c>
      <c r="G24" s="78">
        <f>IFERROR(IF(D24=0,0,VLOOKUP(D24,SSS_Table!$B$4:$D$64,3,TRUE())*IF(IFERROR(Employee_Master!P22,"")&lt;&gt;"Semi-Monthly",1,IF(Payroll_Register!$K$3="Every Period",1,IF(Payroll_Register!$K$3="1st Half",IF(Payroll_Register!$C$3="1st Half",1,0),IF(Payroll_Register!$C$3="2nd Half",1,0))))/IF(IFERROR(Employee_Master!P22,"")="Weekly",4.33,IF(IFERROR(Employee_Master!P22,"")="Monthly",1,IF(Payroll_Register!$K$3="Every Period",2,1)))),0)</f>
        <v>0</v>
      </c>
      <c r="H24" s="78">
        <f>IFERROR(IF(D24=0,0,MIN(MAX(D24*0.025,250),2500)*IF(IFERROR(Employee_Master!P22,"")&lt;&gt;"Semi-Monthly",1,IF(Payroll_Register!$K$3="Every Period",1,IF(Payroll_Register!$K$3="1st Half",IF(Payroll_Register!$C$3="1st Half",1,0),IF(Payroll_Register!$C$3="2nd Half",1,0))))/IF(IFERROR(Employee_Master!P22,"")="Weekly",4.33,IF(IFERROR(Employee_Master!P22,"")="Monthly",1,IF(Payroll_Register!$K$3="Every Period",2,1)))),0)</f>
        <v>0</v>
      </c>
      <c r="I24" s="78">
        <f>IFERROR(IF(D24=0,0,MIN(D24*0.02,200)*IF(IFERROR(Employee_Master!P22,"")&lt;&gt;"Semi-Monthly",1,IF(Payroll_Register!$K$3="Every Period",1,IF(Payroll_Register!$K$3="1st Half",IF(Payroll_Register!$C$3="1st Half",1,0),IF(Payroll_Register!$C$3="2nd Half",1,0))))/IF(IFERROR(Employee_Master!P22,"")="Weekly",4.33,IF(IFERROR(Employee_Master!P22,"")="Monthly",1,IF(Payroll_Register!$K$3="Every Period",2,1)))),0)</f>
        <v>0</v>
      </c>
      <c r="J24" s="45">
        <f>IFERROR(Attendance_Register!Q25,0)</f>
        <v>0</v>
      </c>
      <c r="K24" s="45">
        <v>0</v>
      </c>
      <c r="L24" s="46">
        <f t="shared" si="0"/>
        <v>0</v>
      </c>
      <c r="M24" s="78">
        <f t="shared" si="1"/>
        <v>0</v>
      </c>
      <c r="N24" s="46">
        <f t="shared" si="2"/>
        <v>0</v>
      </c>
      <c r="O24" s="78">
        <f>IFERROR(IF(D24=0,0,IF(N24&lt;=0,0,IF(N24*IF(IFERROR(Employee_Master!P22,"")="Weekly",0.5,IF(IFERROR(Employee_Master!P22,"")="Monthly",2,1))&lt;=10416.67,0,IF(N24*IF(IFERROR(Employee_Master!P22,"")="Weekly",0.5,IF(IFERROR(Employee_Master!P22,"")="Monthly",2,1))&lt;=16666.67,(N24*IF(IFERROR(Employee_Master!P22,"")="Weekly",0.5,IF(IFERROR(Employee_Master!P22,"")="Monthly",2,1))-10416.67)*0.15,IF(N24*IF(IFERROR(Employee_Master!P22,"")="Weekly",0.5,IF(IFERROR(Employee_Master!P22,"")="Monthly",2,1))&lt;=33333.33,937.5+(N24*IF(IFERROR(Employee_Master!P22,"")="Weekly",0.5,IF(IFERROR(Employee_Master!P22,"")="Monthly",2,1))-16666.67)*0.2,IF(N24*IF(IFERROR(Employee_Master!P22,"")="Weekly",0.5,IF(IFERROR(Employee_Master!P22,"")="Monthly",2,1))&lt;=83333.33,4270.83+(N24*IF(IFERROR(Employee_Master!P22,"")="Weekly",0.5,IF(IFERROR(Employee_Master!P22,"")="Monthly",2,1))-33333.33)*0.25,IF(N24*IF(IFERROR(Employee_Master!P22,"")="Weekly",0.5,IF(IFERROR(Employee_Master!P22,"")="Monthly",2,1))&lt;=333333.33,16770.83+(N24*IF(IFERROR(Employee_Master!P22,"")="Weekly",0.5,IF(IFERROR(Employee_Master!P22,"")="Monthly",2,1))-83333.33)*0.3,91770.83+(N24*IF(IFERROR(Employee_Master!P22,"")="Weekly",0.5,IF(IFERROR(Employee_Master!P22,"")="Monthly",2,1))-333333.33)*0.35))))))/IF(IFERROR(Employee_Master!P22,"")="Weekly",0.5,IF(IFERROR(Employee_Master!P22,"")="Monthly",2,1))),0)</f>
        <v>0</v>
      </c>
      <c r="P24" s="46">
        <f>IFERROR(IF(D24=0,0,D24/12/IF(IFERROR(Employee_Master!P22,"")="Weekly",4.33,IF(IFERROR(Employee_Master!P22,"")="Monthly",1,2))),0)</f>
        <v>0</v>
      </c>
      <c r="Q24" s="45">
        <v>0</v>
      </c>
      <c r="R24" s="79">
        <v>0</v>
      </c>
      <c r="S24" s="80">
        <f>IFERROR(Employee_Master!I22*R24*2,0)</f>
        <v>0</v>
      </c>
      <c r="T24" s="79">
        <v>0</v>
      </c>
      <c r="U24" s="80">
        <f>IFERROR(Employee_Master!I22*T24*0.3,0)</f>
        <v>0</v>
      </c>
      <c r="V24" s="81">
        <f t="shared" si="3"/>
        <v>0</v>
      </c>
      <c r="W24" s="82">
        <f>IFERROR(IF(D24=0,0,VLOOKUP(D24,SSS_Table!$B$4:$E$64,4,TRUE())*IF(IFERROR(Employee_Master!P22,"")&lt;&gt;"Semi-Monthly",1,IF(Payroll_Register!$K$3="Every Period",1,IF(Payroll_Register!$K$3="1st Half",IF(Payroll_Register!$C$3="1st Half",1,0),IF(Payroll_Register!$C$3="2nd Half",1,0))))/IF(IFERROR(Employee_Master!P22,"")="Weekly",4.33,IF(IFERROR(Employee_Master!P22,"")="Monthly",1,IF(Payroll_Register!$K$3="Every Period",2,1)))),0)</f>
        <v>0</v>
      </c>
      <c r="X24" s="82">
        <f t="shared" si="4"/>
        <v>0</v>
      </c>
      <c r="Y24" s="82">
        <f t="shared" si="5"/>
        <v>0</v>
      </c>
      <c r="Z24" s="82">
        <f t="shared" si="6"/>
        <v>0</v>
      </c>
    </row>
    <row r="25" spans="1:26" ht="19.5" customHeight="1" x14ac:dyDescent="0.25">
      <c r="A25" s="47" t="s">
        <v>95</v>
      </c>
      <c r="B25" s="83" t="str">
        <f>Employee_Master!B23</f>
        <v>EMP-020</v>
      </c>
      <c r="C25" s="84">
        <f>Employee_Master!C23</f>
        <v>0</v>
      </c>
      <c r="D25" s="85">
        <f>Employee_Master!H23</f>
        <v>0</v>
      </c>
      <c r="E25" s="41">
        <f>IFERROR(IF(IFERROR(Employee_Master!P23,"")="Weekly",5,IF(IFERROR(Employee_Master!P23,"")="Monthly",22,11)),0)</f>
        <v>11</v>
      </c>
      <c r="F25" s="48">
        <f>IFERROR(Employee_Master!I23*E25,0)</f>
        <v>0</v>
      </c>
      <c r="G25" s="78">
        <f>IFERROR(IF(D25=0,0,VLOOKUP(D25,SSS_Table!$B$4:$D$64,3,TRUE())*IF(IFERROR(Employee_Master!P23,"")&lt;&gt;"Semi-Monthly",1,IF(Payroll_Register!$K$3="Every Period",1,IF(Payroll_Register!$K$3="1st Half",IF(Payroll_Register!$C$3="1st Half",1,0),IF(Payroll_Register!$C$3="2nd Half",1,0))))/IF(IFERROR(Employee_Master!P23,"")="Weekly",4.33,IF(IFERROR(Employee_Master!P23,"")="Monthly",1,IF(Payroll_Register!$K$3="Every Period",2,1)))),0)</f>
        <v>0</v>
      </c>
      <c r="H25" s="78">
        <f>IFERROR(IF(D25=0,0,MIN(MAX(D25*0.025,250),2500)*IF(IFERROR(Employee_Master!P23,"")&lt;&gt;"Semi-Monthly",1,IF(Payroll_Register!$K$3="Every Period",1,IF(Payroll_Register!$K$3="1st Half",IF(Payroll_Register!$C$3="1st Half",1,0),IF(Payroll_Register!$C$3="2nd Half",1,0))))/IF(IFERROR(Employee_Master!P23,"")="Weekly",4.33,IF(IFERROR(Employee_Master!P23,"")="Monthly",1,IF(Payroll_Register!$K$3="Every Period",2,1)))),0)</f>
        <v>0</v>
      </c>
      <c r="I25" s="78">
        <f>IFERROR(IF(D25=0,0,MIN(D25*0.02,200)*IF(IFERROR(Employee_Master!P23,"")&lt;&gt;"Semi-Monthly",1,IF(Payroll_Register!$K$3="Every Period",1,IF(Payroll_Register!$K$3="1st Half",IF(Payroll_Register!$C$3="1st Half",1,0),IF(Payroll_Register!$C$3="2nd Half",1,0))))/IF(IFERROR(Employee_Master!P23,"")="Weekly",4.33,IF(IFERROR(Employee_Master!P23,"")="Monthly",1,IF(Payroll_Register!$K$3="Every Period",2,1)))),0)</f>
        <v>0</v>
      </c>
      <c r="J25" s="45">
        <f>IFERROR(Attendance_Register!Q26,0)</f>
        <v>0</v>
      </c>
      <c r="K25" s="45">
        <v>0</v>
      </c>
      <c r="L25" s="48">
        <f t="shared" si="0"/>
        <v>0</v>
      </c>
      <c r="M25" s="78">
        <f t="shared" si="1"/>
        <v>0</v>
      </c>
      <c r="N25" s="48">
        <f t="shared" si="2"/>
        <v>0</v>
      </c>
      <c r="O25" s="78">
        <f>IFERROR(IF(D25=0,0,IF(N25&lt;=0,0,IF(N25*IF(IFERROR(Employee_Master!P23,"")="Weekly",0.5,IF(IFERROR(Employee_Master!P23,"")="Monthly",2,1))&lt;=10416.67,0,IF(N25*IF(IFERROR(Employee_Master!P23,"")="Weekly",0.5,IF(IFERROR(Employee_Master!P23,"")="Monthly",2,1))&lt;=16666.67,(N25*IF(IFERROR(Employee_Master!P23,"")="Weekly",0.5,IF(IFERROR(Employee_Master!P23,"")="Monthly",2,1))-10416.67)*0.15,IF(N25*IF(IFERROR(Employee_Master!P23,"")="Weekly",0.5,IF(IFERROR(Employee_Master!P23,"")="Monthly",2,1))&lt;=33333.33,937.5+(N25*IF(IFERROR(Employee_Master!P23,"")="Weekly",0.5,IF(IFERROR(Employee_Master!P23,"")="Monthly",2,1))-16666.67)*0.2,IF(N25*IF(IFERROR(Employee_Master!P23,"")="Weekly",0.5,IF(IFERROR(Employee_Master!P23,"")="Monthly",2,1))&lt;=83333.33,4270.83+(N25*IF(IFERROR(Employee_Master!P23,"")="Weekly",0.5,IF(IFERROR(Employee_Master!P23,"")="Monthly",2,1))-33333.33)*0.25,IF(N25*IF(IFERROR(Employee_Master!P23,"")="Weekly",0.5,IF(IFERROR(Employee_Master!P23,"")="Monthly",2,1))&lt;=333333.33,16770.83+(N25*IF(IFERROR(Employee_Master!P23,"")="Weekly",0.5,IF(IFERROR(Employee_Master!P23,"")="Monthly",2,1))-83333.33)*0.3,91770.83+(N25*IF(IFERROR(Employee_Master!P23,"")="Weekly",0.5,IF(IFERROR(Employee_Master!P23,"")="Monthly",2,1))-333333.33)*0.35))))))/IF(IFERROR(Employee_Master!P23,"")="Weekly",0.5,IF(IFERROR(Employee_Master!P23,"")="Monthly",2,1))),0)</f>
        <v>0</v>
      </c>
      <c r="P25" s="48">
        <f>IFERROR(IF(D25=0,0,D25/12/IF(IFERROR(Employee_Master!P23,"")="Weekly",4.33,IF(IFERROR(Employee_Master!P23,"")="Monthly",1,2))),0)</f>
        <v>0</v>
      </c>
      <c r="Q25" s="45">
        <v>0</v>
      </c>
      <c r="R25" s="79">
        <v>0</v>
      </c>
      <c r="S25" s="80">
        <f>IFERROR(Employee_Master!I23*R25*2,0)</f>
        <v>0</v>
      </c>
      <c r="T25" s="79">
        <v>0</v>
      </c>
      <c r="U25" s="80">
        <f>IFERROR(Employee_Master!I23*T25*0.3,0)</f>
        <v>0</v>
      </c>
      <c r="V25" s="81">
        <f t="shared" si="3"/>
        <v>0</v>
      </c>
      <c r="W25" s="82">
        <f>IFERROR(IF(D25=0,0,VLOOKUP(D25,SSS_Table!$B$4:$E$64,4,TRUE())*IF(IFERROR(Employee_Master!P23,"")&lt;&gt;"Semi-Monthly",1,IF(Payroll_Register!$K$3="Every Period",1,IF(Payroll_Register!$K$3="1st Half",IF(Payroll_Register!$C$3="1st Half",1,0),IF(Payroll_Register!$C$3="2nd Half",1,0))))/IF(IFERROR(Employee_Master!P23,"")="Weekly",4.33,IF(IFERROR(Employee_Master!P23,"")="Monthly",1,IF(Payroll_Register!$K$3="Every Period",2,1)))),0)</f>
        <v>0</v>
      </c>
      <c r="X25" s="82">
        <f t="shared" si="4"/>
        <v>0</v>
      </c>
      <c r="Y25" s="82">
        <f t="shared" si="5"/>
        <v>0</v>
      </c>
      <c r="Z25" s="82">
        <f t="shared" si="6"/>
        <v>0</v>
      </c>
    </row>
    <row r="26" spans="1:26" ht="19.5" customHeight="1" x14ac:dyDescent="0.25">
      <c r="A26" s="40" t="s">
        <v>96</v>
      </c>
      <c r="B26" s="75" t="str">
        <f>Employee_Master!B24</f>
        <v>EMP-021</v>
      </c>
      <c r="C26" s="76">
        <f>Employee_Master!C24</f>
        <v>0</v>
      </c>
      <c r="D26" s="77">
        <f>Employee_Master!H24</f>
        <v>0</v>
      </c>
      <c r="E26" s="41">
        <f>IFERROR(IF(IFERROR(Employee_Master!P24,"")="Weekly",5,IF(IFERROR(Employee_Master!P24,"")="Monthly",22,11)),0)</f>
        <v>11</v>
      </c>
      <c r="F26" s="46">
        <f>IFERROR(Employee_Master!I24*E26,0)</f>
        <v>0</v>
      </c>
      <c r="G26" s="78">
        <f>IFERROR(IF(D26=0,0,VLOOKUP(D26,SSS_Table!$B$4:$D$64,3,TRUE())*IF(IFERROR(Employee_Master!P24,"")&lt;&gt;"Semi-Monthly",1,IF(Payroll_Register!$K$3="Every Period",1,IF(Payroll_Register!$K$3="1st Half",IF(Payroll_Register!$C$3="1st Half",1,0),IF(Payroll_Register!$C$3="2nd Half",1,0))))/IF(IFERROR(Employee_Master!P24,"")="Weekly",4.33,IF(IFERROR(Employee_Master!P24,"")="Monthly",1,IF(Payroll_Register!$K$3="Every Period",2,1)))),0)</f>
        <v>0</v>
      </c>
      <c r="H26" s="78">
        <f>IFERROR(IF(D26=0,0,MIN(MAX(D26*0.025,250),2500)*IF(IFERROR(Employee_Master!P24,"")&lt;&gt;"Semi-Monthly",1,IF(Payroll_Register!$K$3="Every Period",1,IF(Payroll_Register!$K$3="1st Half",IF(Payroll_Register!$C$3="1st Half",1,0),IF(Payroll_Register!$C$3="2nd Half",1,0))))/IF(IFERROR(Employee_Master!P24,"")="Weekly",4.33,IF(IFERROR(Employee_Master!P24,"")="Monthly",1,IF(Payroll_Register!$K$3="Every Period",2,1)))),0)</f>
        <v>0</v>
      </c>
      <c r="I26" s="78">
        <f>IFERROR(IF(D26=0,0,MIN(D26*0.02,200)*IF(IFERROR(Employee_Master!P24,"")&lt;&gt;"Semi-Monthly",1,IF(Payroll_Register!$K$3="Every Period",1,IF(Payroll_Register!$K$3="1st Half",IF(Payroll_Register!$C$3="1st Half",1,0),IF(Payroll_Register!$C$3="2nd Half",1,0))))/IF(IFERROR(Employee_Master!P24,"")="Weekly",4.33,IF(IFERROR(Employee_Master!P24,"")="Monthly",1,IF(Payroll_Register!$K$3="Every Period",2,1)))),0)</f>
        <v>0</v>
      </c>
      <c r="J26" s="45">
        <f>IFERROR(Attendance_Register!Q27,0)</f>
        <v>0</v>
      </c>
      <c r="K26" s="45">
        <v>0</v>
      </c>
      <c r="L26" s="46">
        <f t="shared" si="0"/>
        <v>0</v>
      </c>
      <c r="M26" s="78">
        <f t="shared" si="1"/>
        <v>0</v>
      </c>
      <c r="N26" s="46">
        <f t="shared" si="2"/>
        <v>0</v>
      </c>
      <c r="O26" s="78">
        <f>IFERROR(IF(D26=0,0,IF(N26&lt;=0,0,IF(N26*IF(IFERROR(Employee_Master!P24,"")="Weekly",0.5,IF(IFERROR(Employee_Master!P24,"")="Monthly",2,1))&lt;=10416.67,0,IF(N26*IF(IFERROR(Employee_Master!P24,"")="Weekly",0.5,IF(IFERROR(Employee_Master!P24,"")="Monthly",2,1))&lt;=16666.67,(N26*IF(IFERROR(Employee_Master!P24,"")="Weekly",0.5,IF(IFERROR(Employee_Master!P24,"")="Monthly",2,1))-10416.67)*0.15,IF(N26*IF(IFERROR(Employee_Master!P24,"")="Weekly",0.5,IF(IFERROR(Employee_Master!P24,"")="Monthly",2,1))&lt;=33333.33,937.5+(N26*IF(IFERROR(Employee_Master!P24,"")="Weekly",0.5,IF(IFERROR(Employee_Master!P24,"")="Monthly",2,1))-16666.67)*0.2,IF(N26*IF(IFERROR(Employee_Master!P24,"")="Weekly",0.5,IF(IFERROR(Employee_Master!P24,"")="Monthly",2,1))&lt;=83333.33,4270.83+(N26*IF(IFERROR(Employee_Master!P24,"")="Weekly",0.5,IF(IFERROR(Employee_Master!P24,"")="Monthly",2,1))-33333.33)*0.25,IF(N26*IF(IFERROR(Employee_Master!P24,"")="Weekly",0.5,IF(IFERROR(Employee_Master!P24,"")="Monthly",2,1))&lt;=333333.33,16770.83+(N26*IF(IFERROR(Employee_Master!P24,"")="Weekly",0.5,IF(IFERROR(Employee_Master!P24,"")="Monthly",2,1))-83333.33)*0.3,91770.83+(N26*IF(IFERROR(Employee_Master!P24,"")="Weekly",0.5,IF(IFERROR(Employee_Master!P24,"")="Monthly",2,1))-333333.33)*0.35))))))/IF(IFERROR(Employee_Master!P24,"")="Weekly",0.5,IF(IFERROR(Employee_Master!P24,"")="Monthly",2,1))),0)</f>
        <v>0</v>
      </c>
      <c r="P26" s="46">
        <f>IFERROR(IF(D26=0,0,D26/12/IF(IFERROR(Employee_Master!P24,"")="Weekly",4.33,IF(IFERROR(Employee_Master!P24,"")="Monthly",1,2))),0)</f>
        <v>0</v>
      </c>
      <c r="Q26" s="45">
        <v>0</v>
      </c>
      <c r="R26" s="79">
        <v>0</v>
      </c>
      <c r="S26" s="80">
        <f>IFERROR(Employee_Master!I24*R26*2,0)</f>
        <v>0</v>
      </c>
      <c r="T26" s="79">
        <v>0</v>
      </c>
      <c r="U26" s="80">
        <f>IFERROR(Employee_Master!I24*T26*0.3,0)</f>
        <v>0</v>
      </c>
      <c r="V26" s="81">
        <f t="shared" si="3"/>
        <v>0</v>
      </c>
      <c r="W26" s="82">
        <f>IFERROR(IF(D26=0,0,VLOOKUP(D26,SSS_Table!$B$4:$E$64,4,TRUE())*IF(IFERROR(Employee_Master!P24,"")&lt;&gt;"Semi-Monthly",1,IF(Payroll_Register!$K$3="Every Period",1,IF(Payroll_Register!$K$3="1st Half",IF(Payroll_Register!$C$3="1st Half",1,0),IF(Payroll_Register!$C$3="2nd Half",1,0))))/IF(IFERROR(Employee_Master!P24,"")="Weekly",4.33,IF(IFERROR(Employee_Master!P24,"")="Monthly",1,IF(Payroll_Register!$K$3="Every Period",2,1)))),0)</f>
        <v>0</v>
      </c>
      <c r="X26" s="82">
        <f t="shared" si="4"/>
        <v>0</v>
      </c>
      <c r="Y26" s="82">
        <f t="shared" si="5"/>
        <v>0</v>
      </c>
      <c r="Z26" s="82">
        <f t="shared" si="6"/>
        <v>0</v>
      </c>
    </row>
    <row r="27" spans="1:26" ht="19.5" customHeight="1" x14ac:dyDescent="0.25">
      <c r="A27" s="47" t="s">
        <v>97</v>
      </c>
      <c r="B27" s="83" t="str">
        <f>Employee_Master!B25</f>
        <v>EMP-022</v>
      </c>
      <c r="C27" s="84">
        <f>Employee_Master!C25</f>
        <v>0</v>
      </c>
      <c r="D27" s="85">
        <f>Employee_Master!H25</f>
        <v>0</v>
      </c>
      <c r="E27" s="41">
        <f>IFERROR(IF(IFERROR(Employee_Master!P25,"")="Weekly",5,IF(IFERROR(Employee_Master!P25,"")="Monthly",22,11)),0)</f>
        <v>11</v>
      </c>
      <c r="F27" s="48">
        <f>IFERROR(Employee_Master!I25*E27,0)</f>
        <v>0</v>
      </c>
      <c r="G27" s="78">
        <f>IFERROR(IF(D27=0,0,VLOOKUP(D27,SSS_Table!$B$4:$D$64,3,TRUE())*IF(IFERROR(Employee_Master!P25,"")&lt;&gt;"Semi-Monthly",1,IF(Payroll_Register!$K$3="Every Period",1,IF(Payroll_Register!$K$3="1st Half",IF(Payroll_Register!$C$3="1st Half",1,0),IF(Payroll_Register!$C$3="2nd Half",1,0))))/IF(IFERROR(Employee_Master!P25,"")="Weekly",4.33,IF(IFERROR(Employee_Master!P25,"")="Monthly",1,IF(Payroll_Register!$K$3="Every Period",2,1)))),0)</f>
        <v>0</v>
      </c>
      <c r="H27" s="78">
        <f>IFERROR(IF(D27=0,0,MIN(MAX(D27*0.025,250),2500)*IF(IFERROR(Employee_Master!P25,"")&lt;&gt;"Semi-Monthly",1,IF(Payroll_Register!$K$3="Every Period",1,IF(Payroll_Register!$K$3="1st Half",IF(Payroll_Register!$C$3="1st Half",1,0),IF(Payroll_Register!$C$3="2nd Half",1,0))))/IF(IFERROR(Employee_Master!P25,"")="Weekly",4.33,IF(IFERROR(Employee_Master!P25,"")="Monthly",1,IF(Payroll_Register!$K$3="Every Period",2,1)))),0)</f>
        <v>0</v>
      </c>
      <c r="I27" s="78">
        <f>IFERROR(IF(D27=0,0,MIN(D27*0.02,200)*IF(IFERROR(Employee_Master!P25,"")&lt;&gt;"Semi-Monthly",1,IF(Payroll_Register!$K$3="Every Period",1,IF(Payroll_Register!$K$3="1st Half",IF(Payroll_Register!$C$3="1st Half",1,0),IF(Payroll_Register!$C$3="2nd Half",1,0))))/IF(IFERROR(Employee_Master!P25,"")="Weekly",4.33,IF(IFERROR(Employee_Master!P25,"")="Monthly",1,IF(Payroll_Register!$K$3="Every Period",2,1)))),0)</f>
        <v>0</v>
      </c>
      <c r="J27" s="45">
        <f>IFERROR(Attendance_Register!Q28,0)</f>
        <v>0</v>
      </c>
      <c r="K27" s="45">
        <v>0</v>
      </c>
      <c r="L27" s="48">
        <f t="shared" si="0"/>
        <v>0</v>
      </c>
      <c r="M27" s="78">
        <f t="shared" si="1"/>
        <v>0</v>
      </c>
      <c r="N27" s="48">
        <f t="shared" si="2"/>
        <v>0</v>
      </c>
      <c r="O27" s="78">
        <f>IFERROR(IF(D27=0,0,IF(N27&lt;=0,0,IF(N27*IF(IFERROR(Employee_Master!P25,"")="Weekly",0.5,IF(IFERROR(Employee_Master!P25,"")="Monthly",2,1))&lt;=10416.67,0,IF(N27*IF(IFERROR(Employee_Master!P25,"")="Weekly",0.5,IF(IFERROR(Employee_Master!P25,"")="Monthly",2,1))&lt;=16666.67,(N27*IF(IFERROR(Employee_Master!P25,"")="Weekly",0.5,IF(IFERROR(Employee_Master!P25,"")="Monthly",2,1))-10416.67)*0.15,IF(N27*IF(IFERROR(Employee_Master!P25,"")="Weekly",0.5,IF(IFERROR(Employee_Master!P25,"")="Monthly",2,1))&lt;=33333.33,937.5+(N27*IF(IFERROR(Employee_Master!P25,"")="Weekly",0.5,IF(IFERROR(Employee_Master!P25,"")="Monthly",2,1))-16666.67)*0.2,IF(N27*IF(IFERROR(Employee_Master!P25,"")="Weekly",0.5,IF(IFERROR(Employee_Master!P25,"")="Monthly",2,1))&lt;=83333.33,4270.83+(N27*IF(IFERROR(Employee_Master!P25,"")="Weekly",0.5,IF(IFERROR(Employee_Master!P25,"")="Monthly",2,1))-33333.33)*0.25,IF(N27*IF(IFERROR(Employee_Master!P25,"")="Weekly",0.5,IF(IFERROR(Employee_Master!P25,"")="Monthly",2,1))&lt;=333333.33,16770.83+(N27*IF(IFERROR(Employee_Master!P25,"")="Weekly",0.5,IF(IFERROR(Employee_Master!P25,"")="Monthly",2,1))-83333.33)*0.3,91770.83+(N27*IF(IFERROR(Employee_Master!P25,"")="Weekly",0.5,IF(IFERROR(Employee_Master!P25,"")="Monthly",2,1))-333333.33)*0.35))))))/IF(IFERROR(Employee_Master!P25,"")="Weekly",0.5,IF(IFERROR(Employee_Master!P25,"")="Monthly",2,1))),0)</f>
        <v>0</v>
      </c>
      <c r="P27" s="48">
        <f>IFERROR(IF(D27=0,0,D27/12/IF(IFERROR(Employee_Master!P25,"")="Weekly",4.33,IF(IFERROR(Employee_Master!P25,"")="Monthly",1,2))),0)</f>
        <v>0</v>
      </c>
      <c r="Q27" s="45">
        <v>0</v>
      </c>
      <c r="R27" s="79">
        <v>0</v>
      </c>
      <c r="S27" s="80">
        <f>IFERROR(Employee_Master!I25*R27*2,0)</f>
        <v>0</v>
      </c>
      <c r="T27" s="79">
        <v>0</v>
      </c>
      <c r="U27" s="80">
        <f>IFERROR(Employee_Master!I25*T27*0.3,0)</f>
        <v>0</v>
      </c>
      <c r="V27" s="81">
        <f t="shared" si="3"/>
        <v>0</v>
      </c>
      <c r="W27" s="82">
        <f>IFERROR(IF(D27=0,0,VLOOKUP(D27,SSS_Table!$B$4:$E$64,4,TRUE())*IF(IFERROR(Employee_Master!P25,"")&lt;&gt;"Semi-Monthly",1,IF(Payroll_Register!$K$3="Every Period",1,IF(Payroll_Register!$K$3="1st Half",IF(Payroll_Register!$C$3="1st Half",1,0),IF(Payroll_Register!$C$3="2nd Half",1,0))))/IF(IFERROR(Employee_Master!P25,"")="Weekly",4.33,IF(IFERROR(Employee_Master!P25,"")="Monthly",1,IF(Payroll_Register!$K$3="Every Period",2,1)))),0)</f>
        <v>0</v>
      </c>
      <c r="X27" s="82">
        <f t="shared" si="4"/>
        <v>0</v>
      </c>
      <c r="Y27" s="82">
        <f t="shared" si="5"/>
        <v>0</v>
      </c>
      <c r="Z27" s="82">
        <f t="shared" si="6"/>
        <v>0</v>
      </c>
    </row>
    <row r="28" spans="1:26" ht="19.5" customHeight="1" x14ac:dyDescent="0.25">
      <c r="A28" s="40" t="s">
        <v>98</v>
      </c>
      <c r="B28" s="75" t="str">
        <f>Employee_Master!B26</f>
        <v>EMP-023</v>
      </c>
      <c r="C28" s="76">
        <f>Employee_Master!C26</f>
        <v>0</v>
      </c>
      <c r="D28" s="77">
        <f>Employee_Master!H26</f>
        <v>0</v>
      </c>
      <c r="E28" s="41">
        <f>IFERROR(IF(IFERROR(Employee_Master!P26,"")="Weekly",5,IF(IFERROR(Employee_Master!P26,"")="Monthly",22,11)),0)</f>
        <v>11</v>
      </c>
      <c r="F28" s="46">
        <f>IFERROR(Employee_Master!I26*E28,0)</f>
        <v>0</v>
      </c>
      <c r="G28" s="78">
        <f>IFERROR(IF(D28=0,0,VLOOKUP(D28,SSS_Table!$B$4:$D$64,3,TRUE())*IF(IFERROR(Employee_Master!P26,"")&lt;&gt;"Semi-Monthly",1,IF(Payroll_Register!$K$3="Every Period",1,IF(Payroll_Register!$K$3="1st Half",IF(Payroll_Register!$C$3="1st Half",1,0),IF(Payroll_Register!$C$3="2nd Half",1,0))))/IF(IFERROR(Employee_Master!P26,"")="Weekly",4.33,IF(IFERROR(Employee_Master!P26,"")="Monthly",1,IF(Payroll_Register!$K$3="Every Period",2,1)))),0)</f>
        <v>0</v>
      </c>
      <c r="H28" s="78">
        <f>IFERROR(IF(D28=0,0,MIN(MAX(D28*0.025,250),2500)*IF(IFERROR(Employee_Master!P26,"")&lt;&gt;"Semi-Monthly",1,IF(Payroll_Register!$K$3="Every Period",1,IF(Payroll_Register!$K$3="1st Half",IF(Payroll_Register!$C$3="1st Half",1,0),IF(Payroll_Register!$C$3="2nd Half",1,0))))/IF(IFERROR(Employee_Master!P26,"")="Weekly",4.33,IF(IFERROR(Employee_Master!P26,"")="Monthly",1,IF(Payroll_Register!$K$3="Every Period",2,1)))),0)</f>
        <v>0</v>
      </c>
      <c r="I28" s="78">
        <f>IFERROR(IF(D28=0,0,MIN(D28*0.02,200)*IF(IFERROR(Employee_Master!P26,"")&lt;&gt;"Semi-Monthly",1,IF(Payroll_Register!$K$3="Every Period",1,IF(Payroll_Register!$K$3="1st Half",IF(Payroll_Register!$C$3="1st Half",1,0),IF(Payroll_Register!$C$3="2nd Half",1,0))))/IF(IFERROR(Employee_Master!P26,"")="Weekly",4.33,IF(IFERROR(Employee_Master!P26,"")="Monthly",1,IF(Payroll_Register!$K$3="Every Period",2,1)))),0)</f>
        <v>0</v>
      </c>
      <c r="J28" s="45">
        <f>IFERROR(Attendance_Register!Q29,0)</f>
        <v>0</v>
      </c>
      <c r="K28" s="45">
        <v>0</v>
      </c>
      <c r="L28" s="46">
        <f t="shared" si="0"/>
        <v>0</v>
      </c>
      <c r="M28" s="78">
        <f t="shared" si="1"/>
        <v>0</v>
      </c>
      <c r="N28" s="46">
        <f t="shared" si="2"/>
        <v>0</v>
      </c>
      <c r="O28" s="78">
        <f>IFERROR(IF(D28=0,0,IF(N28&lt;=0,0,IF(N28*IF(IFERROR(Employee_Master!P26,"")="Weekly",0.5,IF(IFERROR(Employee_Master!P26,"")="Monthly",2,1))&lt;=10416.67,0,IF(N28*IF(IFERROR(Employee_Master!P26,"")="Weekly",0.5,IF(IFERROR(Employee_Master!P26,"")="Monthly",2,1))&lt;=16666.67,(N28*IF(IFERROR(Employee_Master!P26,"")="Weekly",0.5,IF(IFERROR(Employee_Master!P26,"")="Monthly",2,1))-10416.67)*0.15,IF(N28*IF(IFERROR(Employee_Master!P26,"")="Weekly",0.5,IF(IFERROR(Employee_Master!P26,"")="Monthly",2,1))&lt;=33333.33,937.5+(N28*IF(IFERROR(Employee_Master!P26,"")="Weekly",0.5,IF(IFERROR(Employee_Master!P26,"")="Monthly",2,1))-16666.67)*0.2,IF(N28*IF(IFERROR(Employee_Master!P26,"")="Weekly",0.5,IF(IFERROR(Employee_Master!P26,"")="Monthly",2,1))&lt;=83333.33,4270.83+(N28*IF(IFERROR(Employee_Master!P26,"")="Weekly",0.5,IF(IFERROR(Employee_Master!P26,"")="Monthly",2,1))-33333.33)*0.25,IF(N28*IF(IFERROR(Employee_Master!P26,"")="Weekly",0.5,IF(IFERROR(Employee_Master!P26,"")="Monthly",2,1))&lt;=333333.33,16770.83+(N28*IF(IFERROR(Employee_Master!P26,"")="Weekly",0.5,IF(IFERROR(Employee_Master!P26,"")="Monthly",2,1))-83333.33)*0.3,91770.83+(N28*IF(IFERROR(Employee_Master!P26,"")="Weekly",0.5,IF(IFERROR(Employee_Master!P26,"")="Monthly",2,1))-333333.33)*0.35))))))/IF(IFERROR(Employee_Master!P26,"")="Weekly",0.5,IF(IFERROR(Employee_Master!P26,"")="Monthly",2,1))),0)</f>
        <v>0</v>
      </c>
      <c r="P28" s="46">
        <f>IFERROR(IF(D28=0,0,D28/12/IF(IFERROR(Employee_Master!P26,"")="Weekly",4.33,IF(IFERROR(Employee_Master!P26,"")="Monthly",1,2))),0)</f>
        <v>0</v>
      </c>
      <c r="Q28" s="45">
        <v>0</v>
      </c>
      <c r="R28" s="79">
        <v>0</v>
      </c>
      <c r="S28" s="80">
        <f>IFERROR(Employee_Master!I26*R28*2,0)</f>
        <v>0</v>
      </c>
      <c r="T28" s="79">
        <v>0</v>
      </c>
      <c r="U28" s="80">
        <f>IFERROR(Employee_Master!I26*T28*0.3,0)</f>
        <v>0</v>
      </c>
      <c r="V28" s="81">
        <f t="shared" si="3"/>
        <v>0</v>
      </c>
      <c r="W28" s="82">
        <f>IFERROR(IF(D28=0,0,VLOOKUP(D28,SSS_Table!$B$4:$E$64,4,TRUE())*IF(IFERROR(Employee_Master!P26,"")&lt;&gt;"Semi-Monthly",1,IF(Payroll_Register!$K$3="Every Period",1,IF(Payroll_Register!$K$3="1st Half",IF(Payroll_Register!$C$3="1st Half",1,0),IF(Payroll_Register!$C$3="2nd Half",1,0))))/IF(IFERROR(Employee_Master!P26,"")="Weekly",4.33,IF(IFERROR(Employee_Master!P26,"")="Monthly",1,IF(Payroll_Register!$K$3="Every Period",2,1)))),0)</f>
        <v>0</v>
      </c>
      <c r="X28" s="82">
        <f t="shared" si="4"/>
        <v>0</v>
      </c>
      <c r="Y28" s="82">
        <f t="shared" si="5"/>
        <v>0</v>
      </c>
      <c r="Z28" s="82">
        <f t="shared" si="6"/>
        <v>0</v>
      </c>
    </row>
    <row r="29" spans="1:26" ht="19.5" customHeight="1" x14ac:dyDescent="0.25">
      <c r="A29" s="47" t="s">
        <v>99</v>
      </c>
      <c r="B29" s="83" t="str">
        <f>Employee_Master!B27</f>
        <v>EMP-024</v>
      </c>
      <c r="C29" s="84">
        <f>Employee_Master!C27</f>
        <v>0</v>
      </c>
      <c r="D29" s="85">
        <f>Employee_Master!H27</f>
        <v>0</v>
      </c>
      <c r="E29" s="41">
        <f>IFERROR(IF(IFERROR(Employee_Master!P27,"")="Weekly",5,IF(IFERROR(Employee_Master!P27,"")="Monthly",22,11)),0)</f>
        <v>11</v>
      </c>
      <c r="F29" s="48">
        <f>IFERROR(Employee_Master!I27*E29,0)</f>
        <v>0</v>
      </c>
      <c r="G29" s="78">
        <f>IFERROR(IF(D29=0,0,VLOOKUP(D29,SSS_Table!$B$4:$D$64,3,TRUE())*IF(IFERROR(Employee_Master!P27,"")&lt;&gt;"Semi-Monthly",1,IF(Payroll_Register!$K$3="Every Period",1,IF(Payroll_Register!$K$3="1st Half",IF(Payroll_Register!$C$3="1st Half",1,0),IF(Payroll_Register!$C$3="2nd Half",1,0))))/IF(IFERROR(Employee_Master!P27,"")="Weekly",4.33,IF(IFERROR(Employee_Master!P27,"")="Monthly",1,IF(Payroll_Register!$K$3="Every Period",2,1)))),0)</f>
        <v>0</v>
      </c>
      <c r="H29" s="78">
        <f>IFERROR(IF(D29=0,0,MIN(MAX(D29*0.025,250),2500)*IF(IFERROR(Employee_Master!P27,"")&lt;&gt;"Semi-Monthly",1,IF(Payroll_Register!$K$3="Every Period",1,IF(Payroll_Register!$K$3="1st Half",IF(Payroll_Register!$C$3="1st Half",1,0),IF(Payroll_Register!$C$3="2nd Half",1,0))))/IF(IFERROR(Employee_Master!P27,"")="Weekly",4.33,IF(IFERROR(Employee_Master!P27,"")="Monthly",1,IF(Payroll_Register!$K$3="Every Period",2,1)))),0)</f>
        <v>0</v>
      </c>
      <c r="I29" s="78">
        <f>IFERROR(IF(D29=0,0,MIN(D29*0.02,200)*IF(IFERROR(Employee_Master!P27,"")&lt;&gt;"Semi-Monthly",1,IF(Payroll_Register!$K$3="Every Period",1,IF(Payroll_Register!$K$3="1st Half",IF(Payroll_Register!$C$3="1st Half",1,0),IF(Payroll_Register!$C$3="2nd Half",1,0))))/IF(IFERROR(Employee_Master!P27,"")="Weekly",4.33,IF(IFERROR(Employee_Master!P27,"")="Monthly",1,IF(Payroll_Register!$K$3="Every Period",2,1)))),0)</f>
        <v>0</v>
      </c>
      <c r="J29" s="45">
        <f>IFERROR(Attendance_Register!Q30,0)</f>
        <v>0</v>
      </c>
      <c r="K29" s="45">
        <v>0</v>
      </c>
      <c r="L29" s="48">
        <f t="shared" si="0"/>
        <v>0</v>
      </c>
      <c r="M29" s="78">
        <f t="shared" si="1"/>
        <v>0</v>
      </c>
      <c r="N29" s="48">
        <f t="shared" si="2"/>
        <v>0</v>
      </c>
      <c r="O29" s="78">
        <f>IFERROR(IF(D29=0,0,IF(N29&lt;=0,0,IF(N29*IF(IFERROR(Employee_Master!P27,"")="Weekly",0.5,IF(IFERROR(Employee_Master!P27,"")="Monthly",2,1))&lt;=10416.67,0,IF(N29*IF(IFERROR(Employee_Master!P27,"")="Weekly",0.5,IF(IFERROR(Employee_Master!P27,"")="Monthly",2,1))&lt;=16666.67,(N29*IF(IFERROR(Employee_Master!P27,"")="Weekly",0.5,IF(IFERROR(Employee_Master!P27,"")="Monthly",2,1))-10416.67)*0.15,IF(N29*IF(IFERROR(Employee_Master!P27,"")="Weekly",0.5,IF(IFERROR(Employee_Master!P27,"")="Monthly",2,1))&lt;=33333.33,937.5+(N29*IF(IFERROR(Employee_Master!P27,"")="Weekly",0.5,IF(IFERROR(Employee_Master!P27,"")="Monthly",2,1))-16666.67)*0.2,IF(N29*IF(IFERROR(Employee_Master!P27,"")="Weekly",0.5,IF(IFERROR(Employee_Master!P27,"")="Monthly",2,1))&lt;=83333.33,4270.83+(N29*IF(IFERROR(Employee_Master!P27,"")="Weekly",0.5,IF(IFERROR(Employee_Master!P27,"")="Monthly",2,1))-33333.33)*0.25,IF(N29*IF(IFERROR(Employee_Master!P27,"")="Weekly",0.5,IF(IFERROR(Employee_Master!P27,"")="Monthly",2,1))&lt;=333333.33,16770.83+(N29*IF(IFERROR(Employee_Master!P27,"")="Weekly",0.5,IF(IFERROR(Employee_Master!P27,"")="Monthly",2,1))-83333.33)*0.3,91770.83+(N29*IF(IFERROR(Employee_Master!P27,"")="Weekly",0.5,IF(IFERROR(Employee_Master!P27,"")="Monthly",2,1))-333333.33)*0.35))))))/IF(IFERROR(Employee_Master!P27,"")="Weekly",0.5,IF(IFERROR(Employee_Master!P27,"")="Monthly",2,1))),0)</f>
        <v>0</v>
      </c>
      <c r="P29" s="48">
        <f>IFERROR(IF(D29=0,0,D29/12/IF(IFERROR(Employee_Master!P27,"")="Weekly",4.33,IF(IFERROR(Employee_Master!P27,"")="Monthly",1,2))),0)</f>
        <v>0</v>
      </c>
      <c r="Q29" s="45">
        <v>0</v>
      </c>
      <c r="R29" s="79">
        <v>0</v>
      </c>
      <c r="S29" s="80">
        <f>IFERROR(Employee_Master!I27*R29*2,0)</f>
        <v>0</v>
      </c>
      <c r="T29" s="79">
        <v>0</v>
      </c>
      <c r="U29" s="80">
        <f>IFERROR(Employee_Master!I27*T29*0.3,0)</f>
        <v>0</v>
      </c>
      <c r="V29" s="81">
        <f t="shared" si="3"/>
        <v>0</v>
      </c>
      <c r="W29" s="82">
        <f>IFERROR(IF(D29=0,0,VLOOKUP(D29,SSS_Table!$B$4:$E$64,4,TRUE())*IF(IFERROR(Employee_Master!P27,"")&lt;&gt;"Semi-Monthly",1,IF(Payroll_Register!$K$3="Every Period",1,IF(Payroll_Register!$K$3="1st Half",IF(Payroll_Register!$C$3="1st Half",1,0),IF(Payroll_Register!$C$3="2nd Half",1,0))))/IF(IFERROR(Employee_Master!P27,"")="Weekly",4.33,IF(IFERROR(Employee_Master!P27,"")="Monthly",1,IF(Payroll_Register!$K$3="Every Period",2,1)))),0)</f>
        <v>0</v>
      </c>
      <c r="X29" s="82">
        <f t="shared" si="4"/>
        <v>0</v>
      </c>
      <c r="Y29" s="82">
        <f t="shared" si="5"/>
        <v>0</v>
      </c>
      <c r="Z29" s="82">
        <f t="shared" si="6"/>
        <v>0</v>
      </c>
    </row>
    <row r="30" spans="1:26" ht="19.5" customHeight="1" x14ac:dyDescent="0.25">
      <c r="A30" s="40" t="s">
        <v>100</v>
      </c>
      <c r="B30" s="75" t="str">
        <f>Employee_Master!B28</f>
        <v>EMP-025</v>
      </c>
      <c r="C30" s="76">
        <f>Employee_Master!C28</f>
        <v>0</v>
      </c>
      <c r="D30" s="77">
        <f>Employee_Master!H28</f>
        <v>0</v>
      </c>
      <c r="E30" s="41">
        <f>IFERROR(IF(IFERROR(Employee_Master!P28,"")="Weekly",5,IF(IFERROR(Employee_Master!P28,"")="Monthly",22,11)),0)</f>
        <v>11</v>
      </c>
      <c r="F30" s="46">
        <f>IFERROR(Employee_Master!I28*E30,0)</f>
        <v>0</v>
      </c>
      <c r="G30" s="78">
        <f>IFERROR(IF(D30=0,0,VLOOKUP(D30,SSS_Table!$B$4:$D$64,3,TRUE())*IF(IFERROR(Employee_Master!P28,"")&lt;&gt;"Semi-Monthly",1,IF(Payroll_Register!$K$3="Every Period",1,IF(Payroll_Register!$K$3="1st Half",IF(Payroll_Register!$C$3="1st Half",1,0),IF(Payroll_Register!$C$3="2nd Half",1,0))))/IF(IFERROR(Employee_Master!P28,"")="Weekly",4.33,IF(IFERROR(Employee_Master!P28,"")="Monthly",1,IF(Payroll_Register!$K$3="Every Period",2,1)))),0)</f>
        <v>0</v>
      </c>
      <c r="H30" s="78">
        <f>IFERROR(IF(D30=0,0,MIN(MAX(D30*0.025,250),2500)*IF(IFERROR(Employee_Master!P28,"")&lt;&gt;"Semi-Monthly",1,IF(Payroll_Register!$K$3="Every Period",1,IF(Payroll_Register!$K$3="1st Half",IF(Payroll_Register!$C$3="1st Half",1,0),IF(Payroll_Register!$C$3="2nd Half",1,0))))/IF(IFERROR(Employee_Master!P28,"")="Weekly",4.33,IF(IFERROR(Employee_Master!P28,"")="Monthly",1,IF(Payroll_Register!$K$3="Every Period",2,1)))),0)</f>
        <v>0</v>
      </c>
      <c r="I30" s="78">
        <f>IFERROR(IF(D30=0,0,MIN(D30*0.02,200)*IF(IFERROR(Employee_Master!P28,"")&lt;&gt;"Semi-Monthly",1,IF(Payroll_Register!$K$3="Every Period",1,IF(Payroll_Register!$K$3="1st Half",IF(Payroll_Register!$C$3="1st Half",1,0),IF(Payroll_Register!$C$3="2nd Half",1,0))))/IF(IFERROR(Employee_Master!P28,"")="Weekly",4.33,IF(IFERROR(Employee_Master!P28,"")="Monthly",1,IF(Payroll_Register!$K$3="Every Period",2,1)))),0)</f>
        <v>0</v>
      </c>
      <c r="J30" s="45">
        <f>IFERROR(Attendance_Register!Q31,0)</f>
        <v>0</v>
      </c>
      <c r="K30" s="45">
        <v>0</v>
      </c>
      <c r="L30" s="46">
        <f t="shared" si="0"/>
        <v>0</v>
      </c>
      <c r="M30" s="78">
        <f t="shared" si="1"/>
        <v>0</v>
      </c>
      <c r="N30" s="46">
        <f t="shared" si="2"/>
        <v>0</v>
      </c>
      <c r="O30" s="78">
        <f>IFERROR(IF(D30=0,0,IF(N30&lt;=0,0,IF(N30*IF(IFERROR(Employee_Master!P28,"")="Weekly",0.5,IF(IFERROR(Employee_Master!P28,"")="Monthly",2,1))&lt;=10416.67,0,IF(N30*IF(IFERROR(Employee_Master!P28,"")="Weekly",0.5,IF(IFERROR(Employee_Master!P28,"")="Monthly",2,1))&lt;=16666.67,(N30*IF(IFERROR(Employee_Master!P28,"")="Weekly",0.5,IF(IFERROR(Employee_Master!P28,"")="Monthly",2,1))-10416.67)*0.15,IF(N30*IF(IFERROR(Employee_Master!P28,"")="Weekly",0.5,IF(IFERROR(Employee_Master!P28,"")="Monthly",2,1))&lt;=33333.33,937.5+(N30*IF(IFERROR(Employee_Master!P28,"")="Weekly",0.5,IF(IFERROR(Employee_Master!P28,"")="Monthly",2,1))-16666.67)*0.2,IF(N30*IF(IFERROR(Employee_Master!P28,"")="Weekly",0.5,IF(IFERROR(Employee_Master!P28,"")="Monthly",2,1))&lt;=83333.33,4270.83+(N30*IF(IFERROR(Employee_Master!P28,"")="Weekly",0.5,IF(IFERROR(Employee_Master!P28,"")="Monthly",2,1))-33333.33)*0.25,IF(N30*IF(IFERROR(Employee_Master!P28,"")="Weekly",0.5,IF(IFERROR(Employee_Master!P28,"")="Monthly",2,1))&lt;=333333.33,16770.83+(N30*IF(IFERROR(Employee_Master!P28,"")="Weekly",0.5,IF(IFERROR(Employee_Master!P28,"")="Monthly",2,1))-83333.33)*0.3,91770.83+(N30*IF(IFERROR(Employee_Master!P28,"")="Weekly",0.5,IF(IFERROR(Employee_Master!P28,"")="Monthly",2,1))-333333.33)*0.35))))))/IF(IFERROR(Employee_Master!P28,"")="Weekly",0.5,IF(IFERROR(Employee_Master!P28,"")="Monthly",2,1))),0)</f>
        <v>0</v>
      </c>
      <c r="P30" s="46">
        <f>IFERROR(IF(D30=0,0,D30/12/IF(IFERROR(Employee_Master!P28,"")="Weekly",4.33,IF(IFERROR(Employee_Master!P28,"")="Monthly",1,2))),0)</f>
        <v>0</v>
      </c>
      <c r="Q30" s="45">
        <v>0</v>
      </c>
      <c r="R30" s="79">
        <v>0</v>
      </c>
      <c r="S30" s="80">
        <f>IFERROR(Employee_Master!I28*R30*2,0)</f>
        <v>0</v>
      </c>
      <c r="T30" s="79">
        <v>0</v>
      </c>
      <c r="U30" s="80">
        <f>IFERROR(Employee_Master!I28*T30*0.3,0)</f>
        <v>0</v>
      </c>
      <c r="V30" s="81">
        <f t="shared" si="3"/>
        <v>0</v>
      </c>
      <c r="W30" s="82">
        <f>IFERROR(IF(D30=0,0,VLOOKUP(D30,SSS_Table!$B$4:$E$64,4,TRUE())*IF(IFERROR(Employee_Master!P28,"")&lt;&gt;"Semi-Monthly",1,IF(Payroll_Register!$K$3="Every Period",1,IF(Payroll_Register!$K$3="1st Half",IF(Payroll_Register!$C$3="1st Half",1,0),IF(Payroll_Register!$C$3="2nd Half",1,0))))/IF(IFERROR(Employee_Master!P28,"")="Weekly",4.33,IF(IFERROR(Employee_Master!P28,"")="Monthly",1,IF(Payroll_Register!$K$3="Every Period",2,1)))),0)</f>
        <v>0</v>
      </c>
      <c r="X30" s="82">
        <f t="shared" si="4"/>
        <v>0</v>
      </c>
      <c r="Y30" s="82">
        <f t="shared" si="5"/>
        <v>0</v>
      </c>
      <c r="Z30" s="82">
        <f t="shared" si="6"/>
        <v>0</v>
      </c>
    </row>
    <row r="31" spans="1:26" ht="19.5" customHeight="1" x14ac:dyDescent="0.25">
      <c r="A31" s="47" t="s">
        <v>101</v>
      </c>
      <c r="B31" s="83" t="str">
        <f>Employee_Master!B29</f>
        <v>EMP-026</v>
      </c>
      <c r="C31" s="84">
        <f>Employee_Master!C29</f>
        <v>0</v>
      </c>
      <c r="D31" s="85">
        <f>Employee_Master!H29</f>
        <v>0</v>
      </c>
      <c r="E31" s="41">
        <f>IFERROR(IF(IFERROR(Employee_Master!P29,"")="Weekly",5,IF(IFERROR(Employee_Master!P29,"")="Monthly",22,11)),0)</f>
        <v>11</v>
      </c>
      <c r="F31" s="48">
        <f>IFERROR(Employee_Master!I29*E31,0)</f>
        <v>0</v>
      </c>
      <c r="G31" s="78">
        <f>IFERROR(IF(D31=0,0,VLOOKUP(D31,SSS_Table!$B$4:$D$64,3,TRUE())*IF(IFERROR(Employee_Master!P29,"")&lt;&gt;"Semi-Monthly",1,IF(Payroll_Register!$K$3="Every Period",1,IF(Payroll_Register!$K$3="1st Half",IF(Payroll_Register!$C$3="1st Half",1,0),IF(Payroll_Register!$C$3="2nd Half",1,0))))/IF(IFERROR(Employee_Master!P29,"")="Weekly",4.33,IF(IFERROR(Employee_Master!P29,"")="Monthly",1,IF(Payroll_Register!$K$3="Every Period",2,1)))),0)</f>
        <v>0</v>
      </c>
      <c r="H31" s="78">
        <f>IFERROR(IF(D31=0,0,MIN(MAX(D31*0.025,250),2500)*IF(IFERROR(Employee_Master!P29,"")&lt;&gt;"Semi-Monthly",1,IF(Payroll_Register!$K$3="Every Period",1,IF(Payroll_Register!$K$3="1st Half",IF(Payroll_Register!$C$3="1st Half",1,0),IF(Payroll_Register!$C$3="2nd Half",1,0))))/IF(IFERROR(Employee_Master!P29,"")="Weekly",4.33,IF(IFERROR(Employee_Master!P29,"")="Monthly",1,IF(Payroll_Register!$K$3="Every Period",2,1)))),0)</f>
        <v>0</v>
      </c>
      <c r="I31" s="78">
        <f>IFERROR(IF(D31=0,0,MIN(D31*0.02,200)*IF(IFERROR(Employee_Master!P29,"")&lt;&gt;"Semi-Monthly",1,IF(Payroll_Register!$K$3="Every Period",1,IF(Payroll_Register!$K$3="1st Half",IF(Payroll_Register!$C$3="1st Half",1,0),IF(Payroll_Register!$C$3="2nd Half",1,0))))/IF(IFERROR(Employee_Master!P29,"")="Weekly",4.33,IF(IFERROR(Employee_Master!P29,"")="Monthly",1,IF(Payroll_Register!$K$3="Every Period",2,1)))),0)</f>
        <v>0</v>
      </c>
      <c r="J31" s="45">
        <f>IFERROR(Attendance_Register!Q32,0)</f>
        <v>0</v>
      </c>
      <c r="K31" s="45">
        <v>0</v>
      </c>
      <c r="L31" s="48">
        <f t="shared" si="0"/>
        <v>0</v>
      </c>
      <c r="M31" s="78">
        <f t="shared" si="1"/>
        <v>0</v>
      </c>
      <c r="N31" s="48">
        <f t="shared" si="2"/>
        <v>0</v>
      </c>
      <c r="O31" s="78">
        <f>IFERROR(IF(D31=0,0,IF(N31&lt;=0,0,IF(N31*IF(IFERROR(Employee_Master!P29,"")="Weekly",0.5,IF(IFERROR(Employee_Master!P29,"")="Monthly",2,1))&lt;=10416.67,0,IF(N31*IF(IFERROR(Employee_Master!P29,"")="Weekly",0.5,IF(IFERROR(Employee_Master!P29,"")="Monthly",2,1))&lt;=16666.67,(N31*IF(IFERROR(Employee_Master!P29,"")="Weekly",0.5,IF(IFERROR(Employee_Master!P29,"")="Monthly",2,1))-10416.67)*0.15,IF(N31*IF(IFERROR(Employee_Master!P29,"")="Weekly",0.5,IF(IFERROR(Employee_Master!P29,"")="Monthly",2,1))&lt;=33333.33,937.5+(N31*IF(IFERROR(Employee_Master!P29,"")="Weekly",0.5,IF(IFERROR(Employee_Master!P29,"")="Monthly",2,1))-16666.67)*0.2,IF(N31*IF(IFERROR(Employee_Master!P29,"")="Weekly",0.5,IF(IFERROR(Employee_Master!P29,"")="Monthly",2,1))&lt;=83333.33,4270.83+(N31*IF(IFERROR(Employee_Master!P29,"")="Weekly",0.5,IF(IFERROR(Employee_Master!P29,"")="Monthly",2,1))-33333.33)*0.25,IF(N31*IF(IFERROR(Employee_Master!P29,"")="Weekly",0.5,IF(IFERROR(Employee_Master!P29,"")="Monthly",2,1))&lt;=333333.33,16770.83+(N31*IF(IFERROR(Employee_Master!P29,"")="Weekly",0.5,IF(IFERROR(Employee_Master!P29,"")="Monthly",2,1))-83333.33)*0.3,91770.83+(N31*IF(IFERROR(Employee_Master!P29,"")="Weekly",0.5,IF(IFERROR(Employee_Master!P29,"")="Monthly",2,1))-333333.33)*0.35))))))/IF(IFERROR(Employee_Master!P29,"")="Weekly",0.5,IF(IFERROR(Employee_Master!P29,"")="Monthly",2,1))),0)</f>
        <v>0</v>
      </c>
      <c r="P31" s="48">
        <f>IFERROR(IF(D31=0,0,D31/12/IF(IFERROR(Employee_Master!P29,"")="Weekly",4.33,IF(IFERROR(Employee_Master!P29,"")="Monthly",1,2))),0)</f>
        <v>0</v>
      </c>
      <c r="Q31" s="45">
        <v>0</v>
      </c>
      <c r="R31" s="79">
        <v>0</v>
      </c>
      <c r="S31" s="80">
        <f>IFERROR(Employee_Master!I29*R31*2,0)</f>
        <v>0</v>
      </c>
      <c r="T31" s="79">
        <v>0</v>
      </c>
      <c r="U31" s="80">
        <f>IFERROR(Employee_Master!I29*T31*0.3,0)</f>
        <v>0</v>
      </c>
      <c r="V31" s="81">
        <f t="shared" si="3"/>
        <v>0</v>
      </c>
      <c r="W31" s="82">
        <f>IFERROR(IF(D31=0,0,VLOOKUP(D31,SSS_Table!$B$4:$E$64,4,TRUE())*IF(IFERROR(Employee_Master!P29,"")&lt;&gt;"Semi-Monthly",1,IF(Payroll_Register!$K$3="Every Period",1,IF(Payroll_Register!$K$3="1st Half",IF(Payroll_Register!$C$3="1st Half",1,0),IF(Payroll_Register!$C$3="2nd Half",1,0))))/IF(IFERROR(Employee_Master!P29,"")="Weekly",4.33,IF(IFERROR(Employee_Master!P29,"")="Monthly",1,IF(Payroll_Register!$K$3="Every Period",2,1)))),0)</f>
        <v>0</v>
      </c>
      <c r="X31" s="82">
        <f t="shared" si="4"/>
        <v>0</v>
      </c>
      <c r="Y31" s="82">
        <f t="shared" si="5"/>
        <v>0</v>
      </c>
      <c r="Z31" s="82">
        <f t="shared" si="6"/>
        <v>0</v>
      </c>
    </row>
    <row r="32" spans="1:26" ht="19.5" customHeight="1" x14ac:dyDescent="0.25">
      <c r="A32" s="40" t="s">
        <v>102</v>
      </c>
      <c r="B32" s="75" t="str">
        <f>Employee_Master!B30</f>
        <v>EMP-027</v>
      </c>
      <c r="C32" s="76">
        <f>Employee_Master!C30</f>
        <v>0</v>
      </c>
      <c r="D32" s="77">
        <f>Employee_Master!H30</f>
        <v>0</v>
      </c>
      <c r="E32" s="41">
        <f>IFERROR(IF(IFERROR(Employee_Master!P30,"")="Weekly",5,IF(IFERROR(Employee_Master!P30,"")="Monthly",22,11)),0)</f>
        <v>11</v>
      </c>
      <c r="F32" s="46">
        <f>IFERROR(Employee_Master!I30*E32,0)</f>
        <v>0</v>
      </c>
      <c r="G32" s="78">
        <f>IFERROR(IF(D32=0,0,VLOOKUP(D32,SSS_Table!$B$4:$D$64,3,TRUE())*IF(IFERROR(Employee_Master!P30,"")&lt;&gt;"Semi-Monthly",1,IF(Payroll_Register!$K$3="Every Period",1,IF(Payroll_Register!$K$3="1st Half",IF(Payroll_Register!$C$3="1st Half",1,0),IF(Payroll_Register!$C$3="2nd Half",1,0))))/IF(IFERROR(Employee_Master!P30,"")="Weekly",4.33,IF(IFERROR(Employee_Master!P30,"")="Monthly",1,IF(Payroll_Register!$K$3="Every Period",2,1)))),0)</f>
        <v>0</v>
      </c>
      <c r="H32" s="78">
        <f>IFERROR(IF(D32=0,0,MIN(MAX(D32*0.025,250),2500)*IF(IFERROR(Employee_Master!P30,"")&lt;&gt;"Semi-Monthly",1,IF(Payroll_Register!$K$3="Every Period",1,IF(Payroll_Register!$K$3="1st Half",IF(Payroll_Register!$C$3="1st Half",1,0),IF(Payroll_Register!$C$3="2nd Half",1,0))))/IF(IFERROR(Employee_Master!P30,"")="Weekly",4.33,IF(IFERROR(Employee_Master!P30,"")="Monthly",1,IF(Payroll_Register!$K$3="Every Period",2,1)))),0)</f>
        <v>0</v>
      </c>
      <c r="I32" s="78">
        <f>IFERROR(IF(D32=0,0,MIN(D32*0.02,200)*IF(IFERROR(Employee_Master!P30,"")&lt;&gt;"Semi-Monthly",1,IF(Payroll_Register!$K$3="Every Period",1,IF(Payroll_Register!$K$3="1st Half",IF(Payroll_Register!$C$3="1st Half",1,0),IF(Payroll_Register!$C$3="2nd Half",1,0))))/IF(IFERROR(Employee_Master!P30,"")="Weekly",4.33,IF(IFERROR(Employee_Master!P30,"")="Monthly",1,IF(Payroll_Register!$K$3="Every Period",2,1)))),0)</f>
        <v>0</v>
      </c>
      <c r="J32" s="45">
        <f>IFERROR(Attendance_Register!Q33,0)</f>
        <v>0</v>
      </c>
      <c r="K32" s="45">
        <v>0</v>
      </c>
      <c r="L32" s="46">
        <f t="shared" si="0"/>
        <v>0</v>
      </c>
      <c r="M32" s="78">
        <f t="shared" si="1"/>
        <v>0</v>
      </c>
      <c r="N32" s="46">
        <f t="shared" si="2"/>
        <v>0</v>
      </c>
      <c r="O32" s="78">
        <f>IFERROR(IF(D32=0,0,IF(N32&lt;=0,0,IF(N32*IF(IFERROR(Employee_Master!P30,"")="Weekly",0.5,IF(IFERROR(Employee_Master!P30,"")="Monthly",2,1))&lt;=10416.67,0,IF(N32*IF(IFERROR(Employee_Master!P30,"")="Weekly",0.5,IF(IFERROR(Employee_Master!P30,"")="Monthly",2,1))&lt;=16666.67,(N32*IF(IFERROR(Employee_Master!P30,"")="Weekly",0.5,IF(IFERROR(Employee_Master!P30,"")="Monthly",2,1))-10416.67)*0.15,IF(N32*IF(IFERROR(Employee_Master!P30,"")="Weekly",0.5,IF(IFERROR(Employee_Master!P30,"")="Monthly",2,1))&lt;=33333.33,937.5+(N32*IF(IFERROR(Employee_Master!P30,"")="Weekly",0.5,IF(IFERROR(Employee_Master!P30,"")="Monthly",2,1))-16666.67)*0.2,IF(N32*IF(IFERROR(Employee_Master!P30,"")="Weekly",0.5,IF(IFERROR(Employee_Master!P30,"")="Monthly",2,1))&lt;=83333.33,4270.83+(N32*IF(IFERROR(Employee_Master!P30,"")="Weekly",0.5,IF(IFERROR(Employee_Master!P30,"")="Monthly",2,1))-33333.33)*0.25,IF(N32*IF(IFERROR(Employee_Master!P30,"")="Weekly",0.5,IF(IFERROR(Employee_Master!P30,"")="Monthly",2,1))&lt;=333333.33,16770.83+(N32*IF(IFERROR(Employee_Master!P30,"")="Weekly",0.5,IF(IFERROR(Employee_Master!P30,"")="Monthly",2,1))-83333.33)*0.3,91770.83+(N32*IF(IFERROR(Employee_Master!P30,"")="Weekly",0.5,IF(IFERROR(Employee_Master!P30,"")="Monthly",2,1))-333333.33)*0.35))))))/IF(IFERROR(Employee_Master!P30,"")="Weekly",0.5,IF(IFERROR(Employee_Master!P30,"")="Monthly",2,1))),0)</f>
        <v>0</v>
      </c>
      <c r="P32" s="46">
        <f>IFERROR(IF(D32=0,0,D32/12/IF(IFERROR(Employee_Master!P30,"")="Weekly",4.33,IF(IFERROR(Employee_Master!P30,"")="Monthly",1,2))),0)</f>
        <v>0</v>
      </c>
      <c r="Q32" s="45">
        <v>0</v>
      </c>
      <c r="R32" s="79">
        <v>0</v>
      </c>
      <c r="S32" s="80">
        <f>IFERROR(Employee_Master!I30*R32*2,0)</f>
        <v>0</v>
      </c>
      <c r="T32" s="79">
        <v>0</v>
      </c>
      <c r="U32" s="80">
        <f>IFERROR(Employee_Master!I30*T32*0.3,0)</f>
        <v>0</v>
      </c>
      <c r="V32" s="81">
        <f t="shared" si="3"/>
        <v>0</v>
      </c>
      <c r="W32" s="82">
        <f>IFERROR(IF(D32=0,0,VLOOKUP(D32,SSS_Table!$B$4:$E$64,4,TRUE())*IF(IFERROR(Employee_Master!P30,"")&lt;&gt;"Semi-Monthly",1,IF(Payroll_Register!$K$3="Every Period",1,IF(Payroll_Register!$K$3="1st Half",IF(Payroll_Register!$C$3="1st Half",1,0),IF(Payroll_Register!$C$3="2nd Half",1,0))))/IF(IFERROR(Employee_Master!P30,"")="Weekly",4.33,IF(IFERROR(Employee_Master!P30,"")="Monthly",1,IF(Payroll_Register!$K$3="Every Period",2,1)))),0)</f>
        <v>0</v>
      </c>
      <c r="X32" s="82">
        <f t="shared" si="4"/>
        <v>0</v>
      </c>
      <c r="Y32" s="82">
        <f t="shared" si="5"/>
        <v>0</v>
      </c>
      <c r="Z32" s="82">
        <f t="shared" si="6"/>
        <v>0</v>
      </c>
    </row>
    <row r="33" spans="1:26" ht="19.5" customHeight="1" x14ac:dyDescent="0.25">
      <c r="A33" s="47" t="s">
        <v>103</v>
      </c>
      <c r="B33" s="83" t="str">
        <f>Employee_Master!B31</f>
        <v>EMP-028</v>
      </c>
      <c r="C33" s="84">
        <f>Employee_Master!C31</f>
        <v>0</v>
      </c>
      <c r="D33" s="85">
        <f>Employee_Master!H31</f>
        <v>0</v>
      </c>
      <c r="E33" s="41">
        <f>IFERROR(IF(IFERROR(Employee_Master!P31,"")="Weekly",5,IF(IFERROR(Employee_Master!P31,"")="Monthly",22,11)),0)</f>
        <v>11</v>
      </c>
      <c r="F33" s="48">
        <f>IFERROR(Employee_Master!I31*E33,0)</f>
        <v>0</v>
      </c>
      <c r="G33" s="78">
        <f>IFERROR(IF(D33=0,0,VLOOKUP(D33,SSS_Table!$B$4:$D$64,3,TRUE())*IF(IFERROR(Employee_Master!P31,"")&lt;&gt;"Semi-Monthly",1,IF(Payroll_Register!$K$3="Every Period",1,IF(Payroll_Register!$K$3="1st Half",IF(Payroll_Register!$C$3="1st Half",1,0),IF(Payroll_Register!$C$3="2nd Half",1,0))))/IF(IFERROR(Employee_Master!P31,"")="Weekly",4.33,IF(IFERROR(Employee_Master!P31,"")="Monthly",1,IF(Payroll_Register!$K$3="Every Period",2,1)))),0)</f>
        <v>0</v>
      </c>
      <c r="H33" s="78">
        <f>IFERROR(IF(D33=0,0,MIN(MAX(D33*0.025,250),2500)*IF(IFERROR(Employee_Master!P31,"")&lt;&gt;"Semi-Monthly",1,IF(Payroll_Register!$K$3="Every Period",1,IF(Payroll_Register!$K$3="1st Half",IF(Payroll_Register!$C$3="1st Half",1,0),IF(Payroll_Register!$C$3="2nd Half",1,0))))/IF(IFERROR(Employee_Master!P31,"")="Weekly",4.33,IF(IFERROR(Employee_Master!P31,"")="Monthly",1,IF(Payroll_Register!$K$3="Every Period",2,1)))),0)</f>
        <v>0</v>
      </c>
      <c r="I33" s="78">
        <f>IFERROR(IF(D33=0,0,MIN(D33*0.02,200)*IF(IFERROR(Employee_Master!P31,"")&lt;&gt;"Semi-Monthly",1,IF(Payroll_Register!$K$3="Every Period",1,IF(Payroll_Register!$K$3="1st Half",IF(Payroll_Register!$C$3="1st Half",1,0),IF(Payroll_Register!$C$3="2nd Half",1,0))))/IF(IFERROR(Employee_Master!P31,"")="Weekly",4.33,IF(IFERROR(Employee_Master!P31,"")="Monthly",1,IF(Payroll_Register!$K$3="Every Period",2,1)))),0)</f>
        <v>0</v>
      </c>
      <c r="J33" s="45">
        <f>IFERROR(Attendance_Register!Q34,0)</f>
        <v>0</v>
      </c>
      <c r="K33" s="45">
        <v>0</v>
      </c>
      <c r="L33" s="48">
        <f t="shared" si="0"/>
        <v>0</v>
      </c>
      <c r="M33" s="78">
        <f t="shared" si="1"/>
        <v>0</v>
      </c>
      <c r="N33" s="48">
        <f t="shared" si="2"/>
        <v>0</v>
      </c>
      <c r="O33" s="78">
        <f>IFERROR(IF(D33=0,0,IF(N33&lt;=0,0,IF(N33*IF(IFERROR(Employee_Master!P31,"")="Weekly",0.5,IF(IFERROR(Employee_Master!P31,"")="Monthly",2,1))&lt;=10416.67,0,IF(N33*IF(IFERROR(Employee_Master!P31,"")="Weekly",0.5,IF(IFERROR(Employee_Master!P31,"")="Monthly",2,1))&lt;=16666.67,(N33*IF(IFERROR(Employee_Master!P31,"")="Weekly",0.5,IF(IFERROR(Employee_Master!P31,"")="Monthly",2,1))-10416.67)*0.15,IF(N33*IF(IFERROR(Employee_Master!P31,"")="Weekly",0.5,IF(IFERROR(Employee_Master!P31,"")="Monthly",2,1))&lt;=33333.33,937.5+(N33*IF(IFERROR(Employee_Master!P31,"")="Weekly",0.5,IF(IFERROR(Employee_Master!P31,"")="Monthly",2,1))-16666.67)*0.2,IF(N33*IF(IFERROR(Employee_Master!P31,"")="Weekly",0.5,IF(IFERROR(Employee_Master!P31,"")="Monthly",2,1))&lt;=83333.33,4270.83+(N33*IF(IFERROR(Employee_Master!P31,"")="Weekly",0.5,IF(IFERROR(Employee_Master!P31,"")="Monthly",2,1))-33333.33)*0.25,IF(N33*IF(IFERROR(Employee_Master!P31,"")="Weekly",0.5,IF(IFERROR(Employee_Master!P31,"")="Monthly",2,1))&lt;=333333.33,16770.83+(N33*IF(IFERROR(Employee_Master!P31,"")="Weekly",0.5,IF(IFERROR(Employee_Master!P31,"")="Monthly",2,1))-83333.33)*0.3,91770.83+(N33*IF(IFERROR(Employee_Master!P31,"")="Weekly",0.5,IF(IFERROR(Employee_Master!P31,"")="Monthly",2,1))-333333.33)*0.35))))))/IF(IFERROR(Employee_Master!P31,"")="Weekly",0.5,IF(IFERROR(Employee_Master!P31,"")="Monthly",2,1))),0)</f>
        <v>0</v>
      </c>
      <c r="P33" s="48">
        <f>IFERROR(IF(D33=0,0,D33/12/IF(IFERROR(Employee_Master!P31,"")="Weekly",4.33,IF(IFERROR(Employee_Master!P31,"")="Monthly",1,2))),0)</f>
        <v>0</v>
      </c>
      <c r="Q33" s="45">
        <v>0</v>
      </c>
      <c r="R33" s="79">
        <v>0</v>
      </c>
      <c r="S33" s="80">
        <f>IFERROR(Employee_Master!I31*R33*2,0)</f>
        <v>0</v>
      </c>
      <c r="T33" s="79">
        <v>0</v>
      </c>
      <c r="U33" s="80">
        <f>IFERROR(Employee_Master!I31*T33*0.3,0)</f>
        <v>0</v>
      </c>
      <c r="V33" s="81">
        <f t="shared" si="3"/>
        <v>0</v>
      </c>
      <c r="W33" s="82">
        <f>IFERROR(IF(D33=0,0,VLOOKUP(D33,SSS_Table!$B$4:$E$64,4,TRUE())*IF(IFERROR(Employee_Master!P31,"")&lt;&gt;"Semi-Monthly",1,IF(Payroll_Register!$K$3="Every Period",1,IF(Payroll_Register!$K$3="1st Half",IF(Payroll_Register!$C$3="1st Half",1,0),IF(Payroll_Register!$C$3="2nd Half",1,0))))/IF(IFERROR(Employee_Master!P31,"")="Weekly",4.33,IF(IFERROR(Employee_Master!P31,"")="Monthly",1,IF(Payroll_Register!$K$3="Every Period",2,1)))),0)</f>
        <v>0</v>
      </c>
      <c r="X33" s="82">
        <f t="shared" si="4"/>
        <v>0</v>
      </c>
      <c r="Y33" s="82">
        <f t="shared" si="5"/>
        <v>0</v>
      </c>
      <c r="Z33" s="82">
        <f t="shared" si="6"/>
        <v>0</v>
      </c>
    </row>
    <row r="34" spans="1:26" ht="19.5" customHeight="1" x14ac:dyDescent="0.25">
      <c r="A34" s="40" t="s">
        <v>104</v>
      </c>
      <c r="B34" s="75" t="str">
        <f>Employee_Master!B32</f>
        <v>EMP-029</v>
      </c>
      <c r="C34" s="76">
        <f>Employee_Master!C32</f>
        <v>0</v>
      </c>
      <c r="D34" s="77">
        <f>Employee_Master!H32</f>
        <v>0</v>
      </c>
      <c r="E34" s="41">
        <f>IFERROR(IF(IFERROR(Employee_Master!P32,"")="Weekly",5,IF(IFERROR(Employee_Master!P32,"")="Monthly",22,11)),0)</f>
        <v>11</v>
      </c>
      <c r="F34" s="46">
        <f>IFERROR(Employee_Master!I32*E34,0)</f>
        <v>0</v>
      </c>
      <c r="G34" s="78">
        <f>IFERROR(IF(D34=0,0,VLOOKUP(D34,SSS_Table!$B$4:$D$64,3,TRUE())*IF(IFERROR(Employee_Master!P32,"")&lt;&gt;"Semi-Monthly",1,IF(Payroll_Register!$K$3="Every Period",1,IF(Payroll_Register!$K$3="1st Half",IF(Payroll_Register!$C$3="1st Half",1,0),IF(Payroll_Register!$C$3="2nd Half",1,0))))/IF(IFERROR(Employee_Master!P32,"")="Weekly",4.33,IF(IFERROR(Employee_Master!P32,"")="Monthly",1,IF(Payroll_Register!$K$3="Every Period",2,1)))),0)</f>
        <v>0</v>
      </c>
      <c r="H34" s="78">
        <f>IFERROR(IF(D34=0,0,MIN(MAX(D34*0.025,250),2500)*IF(IFERROR(Employee_Master!P32,"")&lt;&gt;"Semi-Monthly",1,IF(Payroll_Register!$K$3="Every Period",1,IF(Payroll_Register!$K$3="1st Half",IF(Payroll_Register!$C$3="1st Half",1,0),IF(Payroll_Register!$C$3="2nd Half",1,0))))/IF(IFERROR(Employee_Master!P32,"")="Weekly",4.33,IF(IFERROR(Employee_Master!P32,"")="Monthly",1,IF(Payroll_Register!$K$3="Every Period",2,1)))),0)</f>
        <v>0</v>
      </c>
      <c r="I34" s="78">
        <f>IFERROR(IF(D34=0,0,MIN(D34*0.02,200)*IF(IFERROR(Employee_Master!P32,"")&lt;&gt;"Semi-Monthly",1,IF(Payroll_Register!$K$3="Every Period",1,IF(Payroll_Register!$K$3="1st Half",IF(Payroll_Register!$C$3="1st Half",1,0),IF(Payroll_Register!$C$3="2nd Half",1,0))))/IF(IFERROR(Employee_Master!P32,"")="Weekly",4.33,IF(IFERROR(Employee_Master!P32,"")="Monthly",1,IF(Payroll_Register!$K$3="Every Period",2,1)))),0)</f>
        <v>0</v>
      </c>
      <c r="J34" s="45">
        <f>IFERROR(Attendance_Register!Q35,0)</f>
        <v>0</v>
      </c>
      <c r="K34" s="45">
        <v>0</v>
      </c>
      <c r="L34" s="46">
        <f t="shared" si="0"/>
        <v>0</v>
      </c>
      <c r="M34" s="78">
        <f t="shared" si="1"/>
        <v>0</v>
      </c>
      <c r="N34" s="46">
        <f t="shared" si="2"/>
        <v>0</v>
      </c>
      <c r="O34" s="78">
        <f>IFERROR(IF(D34=0,0,IF(N34&lt;=0,0,IF(N34*IF(IFERROR(Employee_Master!P32,"")="Weekly",0.5,IF(IFERROR(Employee_Master!P32,"")="Monthly",2,1))&lt;=10416.67,0,IF(N34*IF(IFERROR(Employee_Master!P32,"")="Weekly",0.5,IF(IFERROR(Employee_Master!P32,"")="Monthly",2,1))&lt;=16666.67,(N34*IF(IFERROR(Employee_Master!P32,"")="Weekly",0.5,IF(IFERROR(Employee_Master!P32,"")="Monthly",2,1))-10416.67)*0.15,IF(N34*IF(IFERROR(Employee_Master!P32,"")="Weekly",0.5,IF(IFERROR(Employee_Master!P32,"")="Monthly",2,1))&lt;=33333.33,937.5+(N34*IF(IFERROR(Employee_Master!P32,"")="Weekly",0.5,IF(IFERROR(Employee_Master!P32,"")="Monthly",2,1))-16666.67)*0.2,IF(N34*IF(IFERROR(Employee_Master!P32,"")="Weekly",0.5,IF(IFERROR(Employee_Master!P32,"")="Monthly",2,1))&lt;=83333.33,4270.83+(N34*IF(IFERROR(Employee_Master!P32,"")="Weekly",0.5,IF(IFERROR(Employee_Master!P32,"")="Monthly",2,1))-33333.33)*0.25,IF(N34*IF(IFERROR(Employee_Master!P32,"")="Weekly",0.5,IF(IFERROR(Employee_Master!P32,"")="Monthly",2,1))&lt;=333333.33,16770.83+(N34*IF(IFERROR(Employee_Master!P32,"")="Weekly",0.5,IF(IFERROR(Employee_Master!P32,"")="Monthly",2,1))-83333.33)*0.3,91770.83+(N34*IF(IFERROR(Employee_Master!P32,"")="Weekly",0.5,IF(IFERROR(Employee_Master!P32,"")="Monthly",2,1))-333333.33)*0.35))))))/IF(IFERROR(Employee_Master!P32,"")="Weekly",0.5,IF(IFERROR(Employee_Master!P32,"")="Monthly",2,1))),0)</f>
        <v>0</v>
      </c>
      <c r="P34" s="46">
        <f>IFERROR(IF(D34=0,0,D34/12/IF(IFERROR(Employee_Master!P32,"")="Weekly",4.33,IF(IFERROR(Employee_Master!P32,"")="Monthly",1,2))),0)</f>
        <v>0</v>
      </c>
      <c r="Q34" s="45">
        <v>0</v>
      </c>
      <c r="R34" s="79">
        <v>0</v>
      </c>
      <c r="S34" s="80">
        <f>IFERROR(Employee_Master!I32*R34*2,0)</f>
        <v>0</v>
      </c>
      <c r="T34" s="79">
        <v>0</v>
      </c>
      <c r="U34" s="80">
        <f>IFERROR(Employee_Master!I32*T34*0.3,0)</f>
        <v>0</v>
      </c>
      <c r="V34" s="81">
        <f t="shared" si="3"/>
        <v>0</v>
      </c>
      <c r="W34" s="82">
        <f>IFERROR(IF(D34=0,0,VLOOKUP(D34,SSS_Table!$B$4:$E$64,4,TRUE())*IF(IFERROR(Employee_Master!P32,"")&lt;&gt;"Semi-Monthly",1,IF(Payroll_Register!$K$3="Every Period",1,IF(Payroll_Register!$K$3="1st Half",IF(Payroll_Register!$C$3="1st Half",1,0),IF(Payroll_Register!$C$3="2nd Half",1,0))))/IF(IFERROR(Employee_Master!P32,"")="Weekly",4.33,IF(IFERROR(Employee_Master!P32,"")="Monthly",1,IF(Payroll_Register!$K$3="Every Period",2,1)))),0)</f>
        <v>0</v>
      </c>
      <c r="X34" s="82">
        <f t="shared" si="4"/>
        <v>0</v>
      </c>
      <c r="Y34" s="82">
        <f t="shared" si="5"/>
        <v>0</v>
      </c>
      <c r="Z34" s="82">
        <f t="shared" si="6"/>
        <v>0</v>
      </c>
    </row>
    <row r="35" spans="1:26" ht="19.5" customHeight="1" x14ac:dyDescent="0.25">
      <c r="A35" s="47" t="s">
        <v>105</v>
      </c>
      <c r="B35" s="83" t="str">
        <f>Employee_Master!B33</f>
        <v>EMP-030</v>
      </c>
      <c r="C35" s="84">
        <f>Employee_Master!C33</f>
        <v>0</v>
      </c>
      <c r="D35" s="85">
        <f>Employee_Master!H33</f>
        <v>0</v>
      </c>
      <c r="E35" s="41">
        <f>IFERROR(IF(IFERROR(Employee_Master!P33,"")="Weekly",5,IF(IFERROR(Employee_Master!P33,"")="Monthly",22,11)),0)</f>
        <v>11</v>
      </c>
      <c r="F35" s="48">
        <f>IFERROR(Employee_Master!I33*E35,0)</f>
        <v>0</v>
      </c>
      <c r="G35" s="78">
        <f>IFERROR(IF(D35=0,0,VLOOKUP(D35,SSS_Table!$B$4:$D$64,3,TRUE())*IF(IFERROR(Employee_Master!P33,"")&lt;&gt;"Semi-Monthly",1,IF(Payroll_Register!$K$3="Every Period",1,IF(Payroll_Register!$K$3="1st Half",IF(Payroll_Register!$C$3="1st Half",1,0),IF(Payroll_Register!$C$3="2nd Half",1,0))))/IF(IFERROR(Employee_Master!P33,"")="Weekly",4.33,IF(IFERROR(Employee_Master!P33,"")="Monthly",1,IF(Payroll_Register!$K$3="Every Period",2,1)))),0)</f>
        <v>0</v>
      </c>
      <c r="H35" s="78">
        <f>IFERROR(IF(D35=0,0,MIN(MAX(D35*0.025,250),2500)*IF(IFERROR(Employee_Master!P33,"")&lt;&gt;"Semi-Monthly",1,IF(Payroll_Register!$K$3="Every Period",1,IF(Payroll_Register!$K$3="1st Half",IF(Payroll_Register!$C$3="1st Half",1,0),IF(Payroll_Register!$C$3="2nd Half",1,0))))/IF(IFERROR(Employee_Master!P33,"")="Weekly",4.33,IF(IFERROR(Employee_Master!P33,"")="Monthly",1,IF(Payroll_Register!$K$3="Every Period",2,1)))),0)</f>
        <v>0</v>
      </c>
      <c r="I35" s="78">
        <f>IFERROR(IF(D35=0,0,MIN(D35*0.02,200)*IF(IFERROR(Employee_Master!P33,"")&lt;&gt;"Semi-Monthly",1,IF(Payroll_Register!$K$3="Every Period",1,IF(Payroll_Register!$K$3="1st Half",IF(Payroll_Register!$C$3="1st Half",1,0),IF(Payroll_Register!$C$3="2nd Half",1,0))))/IF(IFERROR(Employee_Master!P33,"")="Weekly",4.33,IF(IFERROR(Employee_Master!P33,"")="Monthly",1,IF(Payroll_Register!$K$3="Every Period",2,1)))),0)</f>
        <v>0</v>
      </c>
      <c r="J35" s="45">
        <f>IFERROR(Attendance_Register!Q36,0)</f>
        <v>0</v>
      </c>
      <c r="K35" s="45">
        <v>0</v>
      </c>
      <c r="L35" s="48">
        <f t="shared" si="0"/>
        <v>0</v>
      </c>
      <c r="M35" s="78">
        <f t="shared" si="1"/>
        <v>0</v>
      </c>
      <c r="N35" s="48">
        <f t="shared" si="2"/>
        <v>0</v>
      </c>
      <c r="O35" s="78">
        <f>IFERROR(IF(D35=0,0,IF(N35&lt;=0,0,IF(N35*IF(IFERROR(Employee_Master!P33,"")="Weekly",0.5,IF(IFERROR(Employee_Master!P33,"")="Monthly",2,1))&lt;=10416.67,0,IF(N35*IF(IFERROR(Employee_Master!P33,"")="Weekly",0.5,IF(IFERROR(Employee_Master!P33,"")="Monthly",2,1))&lt;=16666.67,(N35*IF(IFERROR(Employee_Master!P33,"")="Weekly",0.5,IF(IFERROR(Employee_Master!P33,"")="Monthly",2,1))-10416.67)*0.15,IF(N35*IF(IFERROR(Employee_Master!P33,"")="Weekly",0.5,IF(IFERROR(Employee_Master!P33,"")="Monthly",2,1))&lt;=33333.33,937.5+(N35*IF(IFERROR(Employee_Master!P33,"")="Weekly",0.5,IF(IFERROR(Employee_Master!P33,"")="Monthly",2,1))-16666.67)*0.2,IF(N35*IF(IFERROR(Employee_Master!P33,"")="Weekly",0.5,IF(IFERROR(Employee_Master!P33,"")="Monthly",2,1))&lt;=83333.33,4270.83+(N35*IF(IFERROR(Employee_Master!P33,"")="Weekly",0.5,IF(IFERROR(Employee_Master!P33,"")="Monthly",2,1))-33333.33)*0.25,IF(N35*IF(IFERROR(Employee_Master!P33,"")="Weekly",0.5,IF(IFERROR(Employee_Master!P33,"")="Monthly",2,1))&lt;=333333.33,16770.83+(N35*IF(IFERROR(Employee_Master!P33,"")="Weekly",0.5,IF(IFERROR(Employee_Master!P33,"")="Monthly",2,1))-83333.33)*0.3,91770.83+(N35*IF(IFERROR(Employee_Master!P33,"")="Weekly",0.5,IF(IFERROR(Employee_Master!P33,"")="Monthly",2,1))-333333.33)*0.35))))))/IF(IFERROR(Employee_Master!P33,"")="Weekly",0.5,IF(IFERROR(Employee_Master!P33,"")="Monthly",2,1))),0)</f>
        <v>0</v>
      </c>
      <c r="P35" s="48">
        <f>IFERROR(IF(D35=0,0,D35/12/IF(IFERROR(Employee_Master!P33,"")="Weekly",4.33,IF(IFERROR(Employee_Master!P33,"")="Monthly",1,2))),0)</f>
        <v>0</v>
      </c>
      <c r="Q35" s="45">
        <v>0</v>
      </c>
      <c r="R35" s="79">
        <v>0</v>
      </c>
      <c r="S35" s="80">
        <f>IFERROR(Employee_Master!I33*R35*2,0)</f>
        <v>0</v>
      </c>
      <c r="T35" s="79">
        <v>0</v>
      </c>
      <c r="U35" s="80">
        <f>IFERROR(Employee_Master!I33*T35*0.3,0)</f>
        <v>0</v>
      </c>
      <c r="V35" s="81">
        <f t="shared" si="3"/>
        <v>0</v>
      </c>
      <c r="W35" s="82">
        <f>IFERROR(IF(D35=0,0,VLOOKUP(D35,SSS_Table!$B$4:$E$64,4,TRUE())*IF(IFERROR(Employee_Master!P33,"")&lt;&gt;"Semi-Monthly",1,IF(Payroll_Register!$K$3="Every Period",1,IF(Payroll_Register!$K$3="1st Half",IF(Payroll_Register!$C$3="1st Half",1,0),IF(Payroll_Register!$C$3="2nd Half",1,0))))/IF(IFERROR(Employee_Master!P33,"")="Weekly",4.33,IF(IFERROR(Employee_Master!P33,"")="Monthly",1,IF(Payroll_Register!$K$3="Every Period",2,1)))),0)</f>
        <v>0</v>
      </c>
      <c r="X35" s="82">
        <f t="shared" si="4"/>
        <v>0</v>
      </c>
      <c r="Y35" s="82">
        <f t="shared" si="5"/>
        <v>0</v>
      </c>
      <c r="Z35" s="82">
        <f t="shared" si="6"/>
        <v>0</v>
      </c>
    </row>
    <row r="36" spans="1:26" ht="19.5" customHeight="1" x14ac:dyDescent="0.25">
      <c r="A36" s="40" t="s">
        <v>106</v>
      </c>
      <c r="B36" s="75" t="str">
        <f>Employee_Master!B34</f>
        <v>EMP-031</v>
      </c>
      <c r="C36" s="76">
        <f>Employee_Master!C34</f>
        <v>0</v>
      </c>
      <c r="D36" s="77">
        <f>Employee_Master!H34</f>
        <v>0</v>
      </c>
      <c r="E36" s="41">
        <f>IFERROR(IF(IFERROR(Employee_Master!P34,"")="Weekly",5,IF(IFERROR(Employee_Master!P34,"")="Monthly",22,11)),0)</f>
        <v>11</v>
      </c>
      <c r="F36" s="46">
        <f>IFERROR(Employee_Master!I34*E36,0)</f>
        <v>0</v>
      </c>
      <c r="G36" s="78">
        <f>IFERROR(IF(D36=0,0,VLOOKUP(D36,SSS_Table!$B$4:$D$64,3,TRUE())*IF(IFERROR(Employee_Master!P34,"")&lt;&gt;"Semi-Monthly",1,IF(Payroll_Register!$K$3="Every Period",1,IF(Payroll_Register!$K$3="1st Half",IF(Payroll_Register!$C$3="1st Half",1,0),IF(Payroll_Register!$C$3="2nd Half",1,0))))/IF(IFERROR(Employee_Master!P34,"")="Weekly",4.33,IF(IFERROR(Employee_Master!P34,"")="Monthly",1,IF(Payroll_Register!$K$3="Every Period",2,1)))),0)</f>
        <v>0</v>
      </c>
      <c r="H36" s="78">
        <f>IFERROR(IF(D36=0,0,MIN(MAX(D36*0.025,250),2500)*IF(IFERROR(Employee_Master!P34,"")&lt;&gt;"Semi-Monthly",1,IF(Payroll_Register!$K$3="Every Period",1,IF(Payroll_Register!$K$3="1st Half",IF(Payroll_Register!$C$3="1st Half",1,0),IF(Payroll_Register!$C$3="2nd Half",1,0))))/IF(IFERROR(Employee_Master!P34,"")="Weekly",4.33,IF(IFERROR(Employee_Master!P34,"")="Monthly",1,IF(Payroll_Register!$K$3="Every Period",2,1)))),0)</f>
        <v>0</v>
      </c>
      <c r="I36" s="78">
        <f>IFERROR(IF(D36=0,0,MIN(D36*0.02,200)*IF(IFERROR(Employee_Master!P34,"")&lt;&gt;"Semi-Monthly",1,IF(Payroll_Register!$K$3="Every Period",1,IF(Payroll_Register!$K$3="1st Half",IF(Payroll_Register!$C$3="1st Half",1,0),IF(Payroll_Register!$C$3="2nd Half",1,0))))/IF(IFERROR(Employee_Master!P34,"")="Weekly",4.33,IF(IFERROR(Employee_Master!P34,"")="Monthly",1,IF(Payroll_Register!$K$3="Every Period",2,1)))),0)</f>
        <v>0</v>
      </c>
      <c r="J36" s="45">
        <f>IFERROR(Attendance_Register!Q37,0)</f>
        <v>0</v>
      </c>
      <c r="K36" s="45">
        <v>0</v>
      </c>
      <c r="L36" s="46">
        <f t="shared" si="0"/>
        <v>0</v>
      </c>
      <c r="M36" s="78">
        <f t="shared" si="1"/>
        <v>0</v>
      </c>
      <c r="N36" s="46">
        <f t="shared" si="2"/>
        <v>0</v>
      </c>
      <c r="O36" s="78">
        <f>IFERROR(IF(D36=0,0,IF(N36&lt;=0,0,IF(N36*IF(IFERROR(Employee_Master!P34,"")="Weekly",0.5,IF(IFERROR(Employee_Master!P34,"")="Monthly",2,1))&lt;=10416.67,0,IF(N36*IF(IFERROR(Employee_Master!P34,"")="Weekly",0.5,IF(IFERROR(Employee_Master!P34,"")="Monthly",2,1))&lt;=16666.67,(N36*IF(IFERROR(Employee_Master!P34,"")="Weekly",0.5,IF(IFERROR(Employee_Master!P34,"")="Monthly",2,1))-10416.67)*0.15,IF(N36*IF(IFERROR(Employee_Master!P34,"")="Weekly",0.5,IF(IFERROR(Employee_Master!P34,"")="Monthly",2,1))&lt;=33333.33,937.5+(N36*IF(IFERROR(Employee_Master!P34,"")="Weekly",0.5,IF(IFERROR(Employee_Master!P34,"")="Monthly",2,1))-16666.67)*0.2,IF(N36*IF(IFERROR(Employee_Master!P34,"")="Weekly",0.5,IF(IFERROR(Employee_Master!P34,"")="Monthly",2,1))&lt;=83333.33,4270.83+(N36*IF(IFERROR(Employee_Master!P34,"")="Weekly",0.5,IF(IFERROR(Employee_Master!P34,"")="Monthly",2,1))-33333.33)*0.25,IF(N36*IF(IFERROR(Employee_Master!P34,"")="Weekly",0.5,IF(IFERROR(Employee_Master!P34,"")="Monthly",2,1))&lt;=333333.33,16770.83+(N36*IF(IFERROR(Employee_Master!P34,"")="Weekly",0.5,IF(IFERROR(Employee_Master!P34,"")="Monthly",2,1))-83333.33)*0.3,91770.83+(N36*IF(IFERROR(Employee_Master!P34,"")="Weekly",0.5,IF(IFERROR(Employee_Master!P34,"")="Monthly",2,1))-333333.33)*0.35))))))/IF(IFERROR(Employee_Master!P34,"")="Weekly",0.5,IF(IFERROR(Employee_Master!P34,"")="Monthly",2,1))),0)</f>
        <v>0</v>
      </c>
      <c r="P36" s="46">
        <f>IFERROR(IF(D36=0,0,D36/12/IF(IFERROR(Employee_Master!P34,"")="Weekly",4.33,IF(IFERROR(Employee_Master!P34,"")="Monthly",1,2))),0)</f>
        <v>0</v>
      </c>
      <c r="Q36" s="45">
        <v>0</v>
      </c>
      <c r="R36" s="79">
        <v>0</v>
      </c>
      <c r="S36" s="80">
        <f>IFERROR(Employee_Master!I34*R36*2,0)</f>
        <v>0</v>
      </c>
      <c r="T36" s="79">
        <v>0</v>
      </c>
      <c r="U36" s="80">
        <f>IFERROR(Employee_Master!I34*T36*0.3,0)</f>
        <v>0</v>
      </c>
      <c r="V36" s="81">
        <f t="shared" si="3"/>
        <v>0</v>
      </c>
      <c r="W36" s="82">
        <f>IFERROR(IF(D36=0,0,VLOOKUP(D36,SSS_Table!$B$4:$E$64,4,TRUE())*IF(IFERROR(Employee_Master!P34,"")&lt;&gt;"Semi-Monthly",1,IF(Payroll_Register!$K$3="Every Period",1,IF(Payroll_Register!$K$3="1st Half",IF(Payroll_Register!$C$3="1st Half",1,0),IF(Payroll_Register!$C$3="2nd Half",1,0))))/IF(IFERROR(Employee_Master!P34,"")="Weekly",4.33,IF(IFERROR(Employee_Master!P34,"")="Monthly",1,IF(Payroll_Register!$K$3="Every Period",2,1)))),0)</f>
        <v>0</v>
      </c>
      <c r="X36" s="82">
        <f t="shared" si="4"/>
        <v>0</v>
      </c>
      <c r="Y36" s="82">
        <f t="shared" si="5"/>
        <v>0</v>
      </c>
      <c r="Z36" s="82">
        <f t="shared" si="6"/>
        <v>0</v>
      </c>
    </row>
    <row r="37" spans="1:26" ht="19.5" customHeight="1" x14ac:dyDescent="0.25">
      <c r="A37" s="47" t="s">
        <v>107</v>
      </c>
      <c r="B37" s="83" t="str">
        <f>Employee_Master!B35</f>
        <v>EMP-032</v>
      </c>
      <c r="C37" s="84">
        <f>Employee_Master!C35</f>
        <v>0</v>
      </c>
      <c r="D37" s="85">
        <f>Employee_Master!H35</f>
        <v>0</v>
      </c>
      <c r="E37" s="41">
        <f>IFERROR(IF(IFERROR(Employee_Master!P35,"")="Weekly",5,IF(IFERROR(Employee_Master!P35,"")="Monthly",22,11)),0)</f>
        <v>11</v>
      </c>
      <c r="F37" s="48">
        <f>IFERROR(Employee_Master!I35*E37,0)</f>
        <v>0</v>
      </c>
      <c r="G37" s="78">
        <f>IFERROR(IF(D37=0,0,VLOOKUP(D37,SSS_Table!$B$4:$D$64,3,TRUE())*IF(IFERROR(Employee_Master!P35,"")&lt;&gt;"Semi-Monthly",1,IF(Payroll_Register!$K$3="Every Period",1,IF(Payroll_Register!$K$3="1st Half",IF(Payroll_Register!$C$3="1st Half",1,0),IF(Payroll_Register!$C$3="2nd Half",1,0))))/IF(IFERROR(Employee_Master!P35,"")="Weekly",4.33,IF(IFERROR(Employee_Master!P35,"")="Monthly",1,IF(Payroll_Register!$K$3="Every Period",2,1)))),0)</f>
        <v>0</v>
      </c>
      <c r="H37" s="78">
        <f>IFERROR(IF(D37=0,0,MIN(MAX(D37*0.025,250),2500)*IF(IFERROR(Employee_Master!P35,"")&lt;&gt;"Semi-Monthly",1,IF(Payroll_Register!$K$3="Every Period",1,IF(Payroll_Register!$K$3="1st Half",IF(Payroll_Register!$C$3="1st Half",1,0),IF(Payroll_Register!$C$3="2nd Half",1,0))))/IF(IFERROR(Employee_Master!P35,"")="Weekly",4.33,IF(IFERROR(Employee_Master!P35,"")="Monthly",1,IF(Payroll_Register!$K$3="Every Period",2,1)))),0)</f>
        <v>0</v>
      </c>
      <c r="I37" s="78">
        <f>IFERROR(IF(D37=0,0,MIN(D37*0.02,200)*IF(IFERROR(Employee_Master!P35,"")&lt;&gt;"Semi-Monthly",1,IF(Payroll_Register!$K$3="Every Period",1,IF(Payroll_Register!$K$3="1st Half",IF(Payroll_Register!$C$3="1st Half",1,0),IF(Payroll_Register!$C$3="2nd Half",1,0))))/IF(IFERROR(Employee_Master!P35,"")="Weekly",4.33,IF(IFERROR(Employee_Master!P35,"")="Monthly",1,IF(Payroll_Register!$K$3="Every Period",2,1)))),0)</f>
        <v>0</v>
      </c>
      <c r="J37" s="45">
        <f>IFERROR(Attendance_Register!Q38,0)</f>
        <v>0</v>
      </c>
      <c r="K37" s="45">
        <v>0</v>
      </c>
      <c r="L37" s="48">
        <f t="shared" si="0"/>
        <v>0</v>
      </c>
      <c r="M37" s="78">
        <f t="shared" si="1"/>
        <v>0</v>
      </c>
      <c r="N37" s="48">
        <f t="shared" si="2"/>
        <v>0</v>
      </c>
      <c r="O37" s="78">
        <f>IFERROR(IF(D37=0,0,IF(N37&lt;=0,0,IF(N37*IF(IFERROR(Employee_Master!P35,"")="Weekly",0.5,IF(IFERROR(Employee_Master!P35,"")="Monthly",2,1))&lt;=10416.67,0,IF(N37*IF(IFERROR(Employee_Master!P35,"")="Weekly",0.5,IF(IFERROR(Employee_Master!P35,"")="Monthly",2,1))&lt;=16666.67,(N37*IF(IFERROR(Employee_Master!P35,"")="Weekly",0.5,IF(IFERROR(Employee_Master!P35,"")="Monthly",2,1))-10416.67)*0.15,IF(N37*IF(IFERROR(Employee_Master!P35,"")="Weekly",0.5,IF(IFERROR(Employee_Master!P35,"")="Monthly",2,1))&lt;=33333.33,937.5+(N37*IF(IFERROR(Employee_Master!P35,"")="Weekly",0.5,IF(IFERROR(Employee_Master!P35,"")="Monthly",2,1))-16666.67)*0.2,IF(N37*IF(IFERROR(Employee_Master!P35,"")="Weekly",0.5,IF(IFERROR(Employee_Master!P35,"")="Monthly",2,1))&lt;=83333.33,4270.83+(N37*IF(IFERROR(Employee_Master!P35,"")="Weekly",0.5,IF(IFERROR(Employee_Master!P35,"")="Monthly",2,1))-33333.33)*0.25,IF(N37*IF(IFERROR(Employee_Master!P35,"")="Weekly",0.5,IF(IFERROR(Employee_Master!P35,"")="Monthly",2,1))&lt;=333333.33,16770.83+(N37*IF(IFERROR(Employee_Master!P35,"")="Weekly",0.5,IF(IFERROR(Employee_Master!P35,"")="Monthly",2,1))-83333.33)*0.3,91770.83+(N37*IF(IFERROR(Employee_Master!P35,"")="Weekly",0.5,IF(IFERROR(Employee_Master!P35,"")="Monthly",2,1))-333333.33)*0.35))))))/IF(IFERROR(Employee_Master!P35,"")="Weekly",0.5,IF(IFERROR(Employee_Master!P35,"")="Monthly",2,1))),0)</f>
        <v>0</v>
      </c>
      <c r="P37" s="48">
        <f>IFERROR(IF(D37=0,0,D37/12/IF(IFERROR(Employee_Master!P35,"")="Weekly",4.33,IF(IFERROR(Employee_Master!P35,"")="Monthly",1,2))),0)</f>
        <v>0</v>
      </c>
      <c r="Q37" s="45">
        <v>0</v>
      </c>
      <c r="R37" s="79">
        <v>0</v>
      </c>
      <c r="S37" s="80">
        <f>IFERROR(Employee_Master!I35*R37*2,0)</f>
        <v>0</v>
      </c>
      <c r="T37" s="79">
        <v>0</v>
      </c>
      <c r="U37" s="80">
        <f>IFERROR(Employee_Master!I35*T37*0.3,0)</f>
        <v>0</v>
      </c>
      <c r="V37" s="81">
        <f t="shared" si="3"/>
        <v>0</v>
      </c>
      <c r="W37" s="82">
        <f>IFERROR(IF(D37=0,0,VLOOKUP(D37,SSS_Table!$B$4:$E$64,4,TRUE())*IF(IFERROR(Employee_Master!P35,"")&lt;&gt;"Semi-Monthly",1,IF(Payroll_Register!$K$3="Every Period",1,IF(Payroll_Register!$K$3="1st Half",IF(Payroll_Register!$C$3="1st Half",1,0),IF(Payroll_Register!$C$3="2nd Half",1,0))))/IF(IFERROR(Employee_Master!P35,"")="Weekly",4.33,IF(IFERROR(Employee_Master!P35,"")="Monthly",1,IF(Payroll_Register!$K$3="Every Period",2,1)))),0)</f>
        <v>0</v>
      </c>
      <c r="X37" s="82">
        <f t="shared" si="4"/>
        <v>0</v>
      </c>
      <c r="Y37" s="82">
        <f t="shared" si="5"/>
        <v>0</v>
      </c>
      <c r="Z37" s="82">
        <f t="shared" si="6"/>
        <v>0</v>
      </c>
    </row>
    <row r="38" spans="1:26" ht="19.5" customHeight="1" x14ac:dyDescent="0.25">
      <c r="A38" s="40" t="s">
        <v>108</v>
      </c>
      <c r="B38" s="75" t="str">
        <f>Employee_Master!B36</f>
        <v>EMP-033</v>
      </c>
      <c r="C38" s="76">
        <f>Employee_Master!C36</f>
        <v>0</v>
      </c>
      <c r="D38" s="77">
        <f>Employee_Master!H36</f>
        <v>0</v>
      </c>
      <c r="E38" s="41">
        <f>IFERROR(IF(IFERROR(Employee_Master!P36,"")="Weekly",5,IF(IFERROR(Employee_Master!P36,"")="Monthly",22,11)),0)</f>
        <v>11</v>
      </c>
      <c r="F38" s="46">
        <f>IFERROR(Employee_Master!I36*E38,0)</f>
        <v>0</v>
      </c>
      <c r="G38" s="78">
        <f>IFERROR(IF(D38=0,0,VLOOKUP(D38,SSS_Table!$B$4:$D$64,3,TRUE())*IF(IFERROR(Employee_Master!P36,"")&lt;&gt;"Semi-Monthly",1,IF(Payroll_Register!$K$3="Every Period",1,IF(Payroll_Register!$K$3="1st Half",IF(Payroll_Register!$C$3="1st Half",1,0),IF(Payroll_Register!$C$3="2nd Half",1,0))))/IF(IFERROR(Employee_Master!P36,"")="Weekly",4.33,IF(IFERROR(Employee_Master!P36,"")="Monthly",1,IF(Payroll_Register!$K$3="Every Period",2,1)))),0)</f>
        <v>0</v>
      </c>
      <c r="H38" s="78">
        <f>IFERROR(IF(D38=0,0,MIN(MAX(D38*0.025,250),2500)*IF(IFERROR(Employee_Master!P36,"")&lt;&gt;"Semi-Monthly",1,IF(Payroll_Register!$K$3="Every Period",1,IF(Payroll_Register!$K$3="1st Half",IF(Payroll_Register!$C$3="1st Half",1,0),IF(Payroll_Register!$C$3="2nd Half",1,0))))/IF(IFERROR(Employee_Master!P36,"")="Weekly",4.33,IF(IFERROR(Employee_Master!P36,"")="Monthly",1,IF(Payroll_Register!$K$3="Every Period",2,1)))),0)</f>
        <v>0</v>
      </c>
      <c r="I38" s="78">
        <f>IFERROR(IF(D38=0,0,MIN(D38*0.02,200)*IF(IFERROR(Employee_Master!P36,"")&lt;&gt;"Semi-Monthly",1,IF(Payroll_Register!$K$3="Every Period",1,IF(Payroll_Register!$K$3="1st Half",IF(Payroll_Register!$C$3="1st Half",1,0),IF(Payroll_Register!$C$3="2nd Half",1,0))))/IF(IFERROR(Employee_Master!P36,"")="Weekly",4.33,IF(IFERROR(Employee_Master!P36,"")="Monthly",1,IF(Payroll_Register!$K$3="Every Period",2,1)))),0)</f>
        <v>0</v>
      </c>
      <c r="J38" s="45">
        <f>IFERROR(Attendance_Register!Q39,0)</f>
        <v>0</v>
      </c>
      <c r="K38" s="45">
        <v>0</v>
      </c>
      <c r="L38" s="46">
        <f t="shared" ref="L38:L55" si="7">IFERROR(F38+Q38+S38+U38,0)</f>
        <v>0</v>
      </c>
      <c r="M38" s="78">
        <f t="shared" ref="M38:M55" si="8">IFERROR(G38+H38+I38+J38+K38+O38,0)</f>
        <v>0</v>
      </c>
      <c r="N38" s="46">
        <f t="shared" ref="N38:N55" si="9">IFERROR(L38-G38-H38-I38,0)</f>
        <v>0</v>
      </c>
      <c r="O38" s="78">
        <f>IFERROR(IF(D38=0,0,IF(N38&lt;=0,0,IF(N38*IF(IFERROR(Employee_Master!P36,"")="Weekly",0.5,IF(IFERROR(Employee_Master!P36,"")="Monthly",2,1))&lt;=10416.67,0,IF(N38*IF(IFERROR(Employee_Master!P36,"")="Weekly",0.5,IF(IFERROR(Employee_Master!P36,"")="Monthly",2,1))&lt;=16666.67,(N38*IF(IFERROR(Employee_Master!P36,"")="Weekly",0.5,IF(IFERROR(Employee_Master!P36,"")="Monthly",2,1))-10416.67)*0.15,IF(N38*IF(IFERROR(Employee_Master!P36,"")="Weekly",0.5,IF(IFERROR(Employee_Master!P36,"")="Monthly",2,1))&lt;=33333.33,937.5+(N38*IF(IFERROR(Employee_Master!P36,"")="Weekly",0.5,IF(IFERROR(Employee_Master!P36,"")="Monthly",2,1))-16666.67)*0.2,IF(N38*IF(IFERROR(Employee_Master!P36,"")="Weekly",0.5,IF(IFERROR(Employee_Master!P36,"")="Monthly",2,1))&lt;=83333.33,4270.83+(N38*IF(IFERROR(Employee_Master!P36,"")="Weekly",0.5,IF(IFERROR(Employee_Master!P36,"")="Monthly",2,1))-33333.33)*0.25,IF(N38*IF(IFERROR(Employee_Master!P36,"")="Weekly",0.5,IF(IFERROR(Employee_Master!P36,"")="Monthly",2,1))&lt;=333333.33,16770.83+(N38*IF(IFERROR(Employee_Master!P36,"")="Weekly",0.5,IF(IFERROR(Employee_Master!P36,"")="Monthly",2,1))-83333.33)*0.3,91770.83+(N38*IF(IFERROR(Employee_Master!P36,"")="Weekly",0.5,IF(IFERROR(Employee_Master!P36,"")="Monthly",2,1))-333333.33)*0.35))))))/IF(IFERROR(Employee_Master!P36,"")="Weekly",0.5,IF(IFERROR(Employee_Master!P36,"")="Monthly",2,1))),0)</f>
        <v>0</v>
      </c>
      <c r="P38" s="46">
        <f>IFERROR(IF(D38=0,0,D38/12/IF(IFERROR(Employee_Master!P36,"")="Weekly",4.33,IF(IFERROR(Employee_Master!P36,"")="Monthly",1,2))),0)</f>
        <v>0</v>
      </c>
      <c r="Q38" s="45">
        <v>0</v>
      </c>
      <c r="R38" s="79">
        <v>0</v>
      </c>
      <c r="S38" s="80">
        <f>IFERROR(Employee_Master!I36*R38*2,0)</f>
        <v>0</v>
      </c>
      <c r="T38" s="79">
        <v>0</v>
      </c>
      <c r="U38" s="80">
        <f>IFERROR(Employee_Master!I36*T38*0.3,0)</f>
        <v>0</v>
      </c>
      <c r="V38" s="81">
        <f t="shared" ref="V38:V55" si="10">IFERROR(L38-M38,0)</f>
        <v>0</v>
      </c>
      <c r="W38" s="82">
        <f>IFERROR(IF(D38=0,0,VLOOKUP(D38,SSS_Table!$B$4:$E$64,4,TRUE())*IF(IFERROR(Employee_Master!P36,"")&lt;&gt;"Semi-Monthly",1,IF(Payroll_Register!$K$3="Every Period",1,IF(Payroll_Register!$K$3="1st Half",IF(Payroll_Register!$C$3="1st Half",1,0),IF(Payroll_Register!$C$3="2nd Half",1,0))))/IF(IFERROR(Employee_Master!P36,"")="Weekly",4.33,IF(IFERROR(Employee_Master!P36,"")="Monthly",1,IF(Payroll_Register!$K$3="Every Period",2,1)))),0)</f>
        <v>0</v>
      </c>
      <c r="X38" s="82">
        <f t="shared" ref="X38:X55" si="11">IFERROR(H38,0)</f>
        <v>0</v>
      </c>
      <c r="Y38" s="82">
        <f t="shared" ref="Y38:Y55" si="12">IFERROR(I38,0)</f>
        <v>0</v>
      </c>
      <c r="Z38" s="82">
        <f t="shared" ref="Z38:Z69" si="13">IFERROR(W38+X38+Y38,0)</f>
        <v>0</v>
      </c>
    </row>
    <row r="39" spans="1:26" ht="19.5" customHeight="1" x14ac:dyDescent="0.25">
      <c r="A39" s="47" t="s">
        <v>109</v>
      </c>
      <c r="B39" s="83" t="str">
        <f>Employee_Master!B37</f>
        <v>EMP-034</v>
      </c>
      <c r="C39" s="84">
        <f>Employee_Master!C37</f>
        <v>0</v>
      </c>
      <c r="D39" s="85">
        <f>Employee_Master!H37</f>
        <v>0</v>
      </c>
      <c r="E39" s="41">
        <f>IFERROR(IF(IFERROR(Employee_Master!P37,"")="Weekly",5,IF(IFERROR(Employee_Master!P37,"")="Monthly",22,11)),0)</f>
        <v>11</v>
      </c>
      <c r="F39" s="48">
        <f>IFERROR(Employee_Master!I37*E39,0)</f>
        <v>0</v>
      </c>
      <c r="G39" s="78">
        <f>IFERROR(IF(D39=0,0,VLOOKUP(D39,SSS_Table!$B$4:$D$64,3,TRUE())*IF(IFERROR(Employee_Master!P37,"")&lt;&gt;"Semi-Monthly",1,IF(Payroll_Register!$K$3="Every Period",1,IF(Payroll_Register!$K$3="1st Half",IF(Payroll_Register!$C$3="1st Half",1,0),IF(Payroll_Register!$C$3="2nd Half",1,0))))/IF(IFERROR(Employee_Master!P37,"")="Weekly",4.33,IF(IFERROR(Employee_Master!P37,"")="Monthly",1,IF(Payroll_Register!$K$3="Every Period",2,1)))),0)</f>
        <v>0</v>
      </c>
      <c r="H39" s="78">
        <f>IFERROR(IF(D39=0,0,MIN(MAX(D39*0.025,250),2500)*IF(IFERROR(Employee_Master!P37,"")&lt;&gt;"Semi-Monthly",1,IF(Payroll_Register!$K$3="Every Period",1,IF(Payroll_Register!$K$3="1st Half",IF(Payroll_Register!$C$3="1st Half",1,0),IF(Payroll_Register!$C$3="2nd Half",1,0))))/IF(IFERROR(Employee_Master!P37,"")="Weekly",4.33,IF(IFERROR(Employee_Master!P37,"")="Monthly",1,IF(Payroll_Register!$K$3="Every Period",2,1)))),0)</f>
        <v>0</v>
      </c>
      <c r="I39" s="78">
        <f>IFERROR(IF(D39=0,0,MIN(D39*0.02,200)*IF(IFERROR(Employee_Master!P37,"")&lt;&gt;"Semi-Monthly",1,IF(Payroll_Register!$K$3="Every Period",1,IF(Payroll_Register!$K$3="1st Half",IF(Payroll_Register!$C$3="1st Half",1,0),IF(Payroll_Register!$C$3="2nd Half",1,0))))/IF(IFERROR(Employee_Master!P37,"")="Weekly",4.33,IF(IFERROR(Employee_Master!P37,"")="Monthly",1,IF(Payroll_Register!$K$3="Every Period",2,1)))),0)</f>
        <v>0</v>
      </c>
      <c r="J39" s="45">
        <f>IFERROR(Attendance_Register!Q40,0)</f>
        <v>0</v>
      </c>
      <c r="K39" s="45">
        <v>0</v>
      </c>
      <c r="L39" s="48">
        <f t="shared" si="7"/>
        <v>0</v>
      </c>
      <c r="M39" s="78">
        <f t="shared" si="8"/>
        <v>0</v>
      </c>
      <c r="N39" s="48">
        <f t="shared" si="9"/>
        <v>0</v>
      </c>
      <c r="O39" s="78">
        <f>IFERROR(IF(D39=0,0,IF(N39&lt;=0,0,IF(N39*IF(IFERROR(Employee_Master!P37,"")="Weekly",0.5,IF(IFERROR(Employee_Master!P37,"")="Monthly",2,1))&lt;=10416.67,0,IF(N39*IF(IFERROR(Employee_Master!P37,"")="Weekly",0.5,IF(IFERROR(Employee_Master!P37,"")="Monthly",2,1))&lt;=16666.67,(N39*IF(IFERROR(Employee_Master!P37,"")="Weekly",0.5,IF(IFERROR(Employee_Master!P37,"")="Monthly",2,1))-10416.67)*0.15,IF(N39*IF(IFERROR(Employee_Master!P37,"")="Weekly",0.5,IF(IFERROR(Employee_Master!P37,"")="Monthly",2,1))&lt;=33333.33,937.5+(N39*IF(IFERROR(Employee_Master!P37,"")="Weekly",0.5,IF(IFERROR(Employee_Master!P37,"")="Monthly",2,1))-16666.67)*0.2,IF(N39*IF(IFERROR(Employee_Master!P37,"")="Weekly",0.5,IF(IFERROR(Employee_Master!P37,"")="Monthly",2,1))&lt;=83333.33,4270.83+(N39*IF(IFERROR(Employee_Master!P37,"")="Weekly",0.5,IF(IFERROR(Employee_Master!P37,"")="Monthly",2,1))-33333.33)*0.25,IF(N39*IF(IFERROR(Employee_Master!P37,"")="Weekly",0.5,IF(IFERROR(Employee_Master!P37,"")="Monthly",2,1))&lt;=333333.33,16770.83+(N39*IF(IFERROR(Employee_Master!P37,"")="Weekly",0.5,IF(IFERROR(Employee_Master!P37,"")="Monthly",2,1))-83333.33)*0.3,91770.83+(N39*IF(IFERROR(Employee_Master!P37,"")="Weekly",0.5,IF(IFERROR(Employee_Master!P37,"")="Monthly",2,1))-333333.33)*0.35))))))/IF(IFERROR(Employee_Master!P37,"")="Weekly",0.5,IF(IFERROR(Employee_Master!P37,"")="Monthly",2,1))),0)</f>
        <v>0</v>
      </c>
      <c r="P39" s="48">
        <f>IFERROR(IF(D39=0,0,D39/12/IF(IFERROR(Employee_Master!P37,"")="Weekly",4.33,IF(IFERROR(Employee_Master!P37,"")="Monthly",1,2))),0)</f>
        <v>0</v>
      </c>
      <c r="Q39" s="45">
        <v>0</v>
      </c>
      <c r="R39" s="79">
        <v>0</v>
      </c>
      <c r="S39" s="80">
        <f>IFERROR(Employee_Master!I37*R39*2,0)</f>
        <v>0</v>
      </c>
      <c r="T39" s="79">
        <v>0</v>
      </c>
      <c r="U39" s="80">
        <f>IFERROR(Employee_Master!I37*T39*0.3,0)</f>
        <v>0</v>
      </c>
      <c r="V39" s="81">
        <f t="shared" si="10"/>
        <v>0</v>
      </c>
      <c r="W39" s="82">
        <f>IFERROR(IF(D39=0,0,VLOOKUP(D39,SSS_Table!$B$4:$E$64,4,TRUE())*IF(IFERROR(Employee_Master!P37,"")&lt;&gt;"Semi-Monthly",1,IF(Payroll_Register!$K$3="Every Period",1,IF(Payroll_Register!$K$3="1st Half",IF(Payroll_Register!$C$3="1st Half",1,0),IF(Payroll_Register!$C$3="2nd Half",1,0))))/IF(IFERROR(Employee_Master!P37,"")="Weekly",4.33,IF(IFERROR(Employee_Master!P37,"")="Monthly",1,IF(Payroll_Register!$K$3="Every Period",2,1)))),0)</f>
        <v>0</v>
      </c>
      <c r="X39" s="82">
        <f t="shared" si="11"/>
        <v>0</v>
      </c>
      <c r="Y39" s="82">
        <f t="shared" si="12"/>
        <v>0</v>
      </c>
      <c r="Z39" s="82">
        <f t="shared" si="13"/>
        <v>0</v>
      </c>
    </row>
    <row r="40" spans="1:26" ht="19.5" customHeight="1" x14ac:dyDescent="0.25">
      <c r="A40" s="40" t="s">
        <v>110</v>
      </c>
      <c r="B40" s="75" t="str">
        <f>Employee_Master!B38</f>
        <v>EMP-035</v>
      </c>
      <c r="C40" s="76">
        <f>Employee_Master!C38</f>
        <v>0</v>
      </c>
      <c r="D40" s="77">
        <f>Employee_Master!H38</f>
        <v>0</v>
      </c>
      <c r="E40" s="41">
        <f>IFERROR(IF(IFERROR(Employee_Master!P38,"")="Weekly",5,IF(IFERROR(Employee_Master!P38,"")="Monthly",22,11)),0)</f>
        <v>11</v>
      </c>
      <c r="F40" s="46">
        <f>IFERROR(Employee_Master!I38*E40,0)</f>
        <v>0</v>
      </c>
      <c r="G40" s="78">
        <f>IFERROR(IF(D40=0,0,VLOOKUP(D40,SSS_Table!$B$4:$D$64,3,TRUE())*IF(IFERROR(Employee_Master!P38,"")&lt;&gt;"Semi-Monthly",1,IF(Payroll_Register!$K$3="Every Period",1,IF(Payroll_Register!$K$3="1st Half",IF(Payroll_Register!$C$3="1st Half",1,0),IF(Payroll_Register!$C$3="2nd Half",1,0))))/IF(IFERROR(Employee_Master!P38,"")="Weekly",4.33,IF(IFERROR(Employee_Master!P38,"")="Monthly",1,IF(Payroll_Register!$K$3="Every Period",2,1)))),0)</f>
        <v>0</v>
      </c>
      <c r="H40" s="78">
        <f>IFERROR(IF(D40=0,0,MIN(MAX(D40*0.025,250),2500)*IF(IFERROR(Employee_Master!P38,"")&lt;&gt;"Semi-Monthly",1,IF(Payroll_Register!$K$3="Every Period",1,IF(Payroll_Register!$K$3="1st Half",IF(Payroll_Register!$C$3="1st Half",1,0),IF(Payroll_Register!$C$3="2nd Half",1,0))))/IF(IFERROR(Employee_Master!P38,"")="Weekly",4.33,IF(IFERROR(Employee_Master!P38,"")="Monthly",1,IF(Payroll_Register!$K$3="Every Period",2,1)))),0)</f>
        <v>0</v>
      </c>
      <c r="I40" s="78">
        <f>IFERROR(IF(D40=0,0,MIN(D40*0.02,200)*IF(IFERROR(Employee_Master!P38,"")&lt;&gt;"Semi-Monthly",1,IF(Payroll_Register!$K$3="Every Period",1,IF(Payroll_Register!$K$3="1st Half",IF(Payroll_Register!$C$3="1st Half",1,0),IF(Payroll_Register!$C$3="2nd Half",1,0))))/IF(IFERROR(Employee_Master!P38,"")="Weekly",4.33,IF(IFERROR(Employee_Master!P38,"")="Monthly",1,IF(Payroll_Register!$K$3="Every Period",2,1)))),0)</f>
        <v>0</v>
      </c>
      <c r="J40" s="45">
        <f>IFERROR(Attendance_Register!Q41,0)</f>
        <v>0</v>
      </c>
      <c r="K40" s="45">
        <v>0</v>
      </c>
      <c r="L40" s="46">
        <f t="shared" si="7"/>
        <v>0</v>
      </c>
      <c r="M40" s="78">
        <f t="shared" si="8"/>
        <v>0</v>
      </c>
      <c r="N40" s="46">
        <f t="shared" si="9"/>
        <v>0</v>
      </c>
      <c r="O40" s="78">
        <f>IFERROR(IF(D40=0,0,IF(N40&lt;=0,0,IF(N40*IF(IFERROR(Employee_Master!P38,"")="Weekly",0.5,IF(IFERROR(Employee_Master!P38,"")="Monthly",2,1))&lt;=10416.67,0,IF(N40*IF(IFERROR(Employee_Master!P38,"")="Weekly",0.5,IF(IFERROR(Employee_Master!P38,"")="Monthly",2,1))&lt;=16666.67,(N40*IF(IFERROR(Employee_Master!P38,"")="Weekly",0.5,IF(IFERROR(Employee_Master!P38,"")="Monthly",2,1))-10416.67)*0.15,IF(N40*IF(IFERROR(Employee_Master!P38,"")="Weekly",0.5,IF(IFERROR(Employee_Master!P38,"")="Monthly",2,1))&lt;=33333.33,937.5+(N40*IF(IFERROR(Employee_Master!P38,"")="Weekly",0.5,IF(IFERROR(Employee_Master!P38,"")="Monthly",2,1))-16666.67)*0.2,IF(N40*IF(IFERROR(Employee_Master!P38,"")="Weekly",0.5,IF(IFERROR(Employee_Master!P38,"")="Monthly",2,1))&lt;=83333.33,4270.83+(N40*IF(IFERROR(Employee_Master!P38,"")="Weekly",0.5,IF(IFERROR(Employee_Master!P38,"")="Monthly",2,1))-33333.33)*0.25,IF(N40*IF(IFERROR(Employee_Master!P38,"")="Weekly",0.5,IF(IFERROR(Employee_Master!P38,"")="Monthly",2,1))&lt;=333333.33,16770.83+(N40*IF(IFERROR(Employee_Master!P38,"")="Weekly",0.5,IF(IFERROR(Employee_Master!P38,"")="Monthly",2,1))-83333.33)*0.3,91770.83+(N40*IF(IFERROR(Employee_Master!P38,"")="Weekly",0.5,IF(IFERROR(Employee_Master!P38,"")="Monthly",2,1))-333333.33)*0.35))))))/IF(IFERROR(Employee_Master!P38,"")="Weekly",0.5,IF(IFERROR(Employee_Master!P38,"")="Monthly",2,1))),0)</f>
        <v>0</v>
      </c>
      <c r="P40" s="46">
        <f>IFERROR(IF(D40=0,0,D40/12/IF(IFERROR(Employee_Master!P38,"")="Weekly",4.33,IF(IFERROR(Employee_Master!P38,"")="Monthly",1,2))),0)</f>
        <v>0</v>
      </c>
      <c r="Q40" s="45">
        <v>0</v>
      </c>
      <c r="R40" s="79">
        <v>0</v>
      </c>
      <c r="S40" s="80">
        <f>IFERROR(Employee_Master!I38*R40*2,0)</f>
        <v>0</v>
      </c>
      <c r="T40" s="79">
        <v>0</v>
      </c>
      <c r="U40" s="80">
        <f>IFERROR(Employee_Master!I38*T40*0.3,0)</f>
        <v>0</v>
      </c>
      <c r="V40" s="81">
        <f t="shared" si="10"/>
        <v>0</v>
      </c>
      <c r="W40" s="82">
        <f>IFERROR(IF(D40=0,0,VLOOKUP(D40,SSS_Table!$B$4:$E$64,4,TRUE())*IF(IFERROR(Employee_Master!P38,"")&lt;&gt;"Semi-Monthly",1,IF(Payroll_Register!$K$3="Every Period",1,IF(Payroll_Register!$K$3="1st Half",IF(Payroll_Register!$C$3="1st Half",1,0),IF(Payroll_Register!$C$3="2nd Half",1,0))))/IF(IFERROR(Employee_Master!P38,"")="Weekly",4.33,IF(IFERROR(Employee_Master!P38,"")="Monthly",1,IF(Payroll_Register!$K$3="Every Period",2,1)))),0)</f>
        <v>0</v>
      </c>
      <c r="X40" s="82">
        <f t="shared" si="11"/>
        <v>0</v>
      </c>
      <c r="Y40" s="82">
        <f t="shared" si="12"/>
        <v>0</v>
      </c>
      <c r="Z40" s="82">
        <f t="shared" si="13"/>
        <v>0</v>
      </c>
    </row>
    <row r="41" spans="1:26" ht="19.5" customHeight="1" x14ac:dyDescent="0.25">
      <c r="A41" s="47" t="s">
        <v>111</v>
      </c>
      <c r="B41" s="83" t="str">
        <f>Employee_Master!B39</f>
        <v>EMP-036</v>
      </c>
      <c r="C41" s="84">
        <f>Employee_Master!C39</f>
        <v>0</v>
      </c>
      <c r="D41" s="85">
        <f>Employee_Master!H39</f>
        <v>0</v>
      </c>
      <c r="E41" s="41">
        <f>IFERROR(IF(IFERROR(Employee_Master!P39,"")="Weekly",5,IF(IFERROR(Employee_Master!P39,"")="Monthly",22,11)),0)</f>
        <v>11</v>
      </c>
      <c r="F41" s="48">
        <f>IFERROR(Employee_Master!I39*E41,0)</f>
        <v>0</v>
      </c>
      <c r="G41" s="78">
        <f>IFERROR(IF(D41=0,0,VLOOKUP(D41,SSS_Table!$B$4:$D$64,3,TRUE())*IF(IFERROR(Employee_Master!P39,"")&lt;&gt;"Semi-Monthly",1,IF(Payroll_Register!$K$3="Every Period",1,IF(Payroll_Register!$K$3="1st Half",IF(Payroll_Register!$C$3="1st Half",1,0),IF(Payroll_Register!$C$3="2nd Half",1,0))))/IF(IFERROR(Employee_Master!P39,"")="Weekly",4.33,IF(IFERROR(Employee_Master!P39,"")="Monthly",1,IF(Payroll_Register!$K$3="Every Period",2,1)))),0)</f>
        <v>0</v>
      </c>
      <c r="H41" s="78">
        <f>IFERROR(IF(D41=0,0,MIN(MAX(D41*0.025,250),2500)*IF(IFERROR(Employee_Master!P39,"")&lt;&gt;"Semi-Monthly",1,IF(Payroll_Register!$K$3="Every Period",1,IF(Payroll_Register!$K$3="1st Half",IF(Payroll_Register!$C$3="1st Half",1,0),IF(Payroll_Register!$C$3="2nd Half",1,0))))/IF(IFERROR(Employee_Master!P39,"")="Weekly",4.33,IF(IFERROR(Employee_Master!P39,"")="Monthly",1,IF(Payroll_Register!$K$3="Every Period",2,1)))),0)</f>
        <v>0</v>
      </c>
      <c r="I41" s="78">
        <f>IFERROR(IF(D41=0,0,MIN(D41*0.02,200)*IF(IFERROR(Employee_Master!P39,"")&lt;&gt;"Semi-Monthly",1,IF(Payroll_Register!$K$3="Every Period",1,IF(Payroll_Register!$K$3="1st Half",IF(Payroll_Register!$C$3="1st Half",1,0),IF(Payroll_Register!$C$3="2nd Half",1,0))))/IF(IFERROR(Employee_Master!P39,"")="Weekly",4.33,IF(IFERROR(Employee_Master!P39,"")="Monthly",1,IF(Payroll_Register!$K$3="Every Period",2,1)))),0)</f>
        <v>0</v>
      </c>
      <c r="J41" s="45">
        <f>IFERROR(Attendance_Register!Q42,0)</f>
        <v>0</v>
      </c>
      <c r="K41" s="45">
        <v>0</v>
      </c>
      <c r="L41" s="48">
        <f t="shared" si="7"/>
        <v>0</v>
      </c>
      <c r="M41" s="78">
        <f t="shared" si="8"/>
        <v>0</v>
      </c>
      <c r="N41" s="48">
        <f t="shared" si="9"/>
        <v>0</v>
      </c>
      <c r="O41" s="78">
        <f>IFERROR(IF(D41=0,0,IF(N41&lt;=0,0,IF(N41*IF(IFERROR(Employee_Master!P39,"")="Weekly",0.5,IF(IFERROR(Employee_Master!P39,"")="Monthly",2,1))&lt;=10416.67,0,IF(N41*IF(IFERROR(Employee_Master!P39,"")="Weekly",0.5,IF(IFERROR(Employee_Master!P39,"")="Monthly",2,1))&lt;=16666.67,(N41*IF(IFERROR(Employee_Master!P39,"")="Weekly",0.5,IF(IFERROR(Employee_Master!P39,"")="Monthly",2,1))-10416.67)*0.15,IF(N41*IF(IFERROR(Employee_Master!P39,"")="Weekly",0.5,IF(IFERROR(Employee_Master!P39,"")="Monthly",2,1))&lt;=33333.33,937.5+(N41*IF(IFERROR(Employee_Master!P39,"")="Weekly",0.5,IF(IFERROR(Employee_Master!P39,"")="Monthly",2,1))-16666.67)*0.2,IF(N41*IF(IFERROR(Employee_Master!P39,"")="Weekly",0.5,IF(IFERROR(Employee_Master!P39,"")="Monthly",2,1))&lt;=83333.33,4270.83+(N41*IF(IFERROR(Employee_Master!P39,"")="Weekly",0.5,IF(IFERROR(Employee_Master!P39,"")="Monthly",2,1))-33333.33)*0.25,IF(N41*IF(IFERROR(Employee_Master!P39,"")="Weekly",0.5,IF(IFERROR(Employee_Master!P39,"")="Monthly",2,1))&lt;=333333.33,16770.83+(N41*IF(IFERROR(Employee_Master!P39,"")="Weekly",0.5,IF(IFERROR(Employee_Master!P39,"")="Monthly",2,1))-83333.33)*0.3,91770.83+(N41*IF(IFERROR(Employee_Master!P39,"")="Weekly",0.5,IF(IFERROR(Employee_Master!P39,"")="Monthly",2,1))-333333.33)*0.35))))))/IF(IFERROR(Employee_Master!P39,"")="Weekly",0.5,IF(IFERROR(Employee_Master!P39,"")="Monthly",2,1))),0)</f>
        <v>0</v>
      </c>
      <c r="P41" s="48">
        <f>IFERROR(IF(D41=0,0,D41/12/IF(IFERROR(Employee_Master!P39,"")="Weekly",4.33,IF(IFERROR(Employee_Master!P39,"")="Monthly",1,2))),0)</f>
        <v>0</v>
      </c>
      <c r="Q41" s="45">
        <v>0</v>
      </c>
      <c r="R41" s="79">
        <v>0</v>
      </c>
      <c r="S41" s="80">
        <f>IFERROR(Employee_Master!I39*R41*2,0)</f>
        <v>0</v>
      </c>
      <c r="T41" s="79">
        <v>0</v>
      </c>
      <c r="U41" s="80">
        <f>IFERROR(Employee_Master!I39*T41*0.3,0)</f>
        <v>0</v>
      </c>
      <c r="V41" s="81">
        <f t="shared" si="10"/>
        <v>0</v>
      </c>
      <c r="W41" s="82">
        <f>IFERROR(IF(D41=0,0,VLOOKUP(D41,SSS_Table!$B$4:$E$64,4,TRUE())*IF(IFERROR(Employee_Master!P39,"")&lt;&gt;"Semi-Monthly",1,IF(Payroll_Register!$K$3="Every Period",1,IF(Payroll_Register!$K$3="1st Half",IF(Payroll_Register!$C$3="1st Half",1,0),IF(Payroll_Register!$C$3="2nd Half",1,0))))/IF(IFERROR(Employee_Master!P39,"")="Weekly",4.33,IF(IFERROR(Employee_Master!P39,"")="Monthly",1,IF(Payroll_Register!$K$3="Every Period",2,1)))),0)</f>
        <v>0</v>
      </c>
      <c r="X41" s="82">
        <f t="shared" si="11"/>
        <v>0</v>
      </c>
      <c r="Y41" s="82">
        <f t="shared" si="12"/>
        <v>0</v>
      </c>
      <c r="Z41" s="82">
        <f t="shared" si="13"/>
        <v>0</v>
      </c>
    </row>
    <row r="42" spans="1:26" ht="19.5" customHeight="1" x14ac:dyDescent="0.25">
      <c r="A42" s="40" t="s">
        <v>112</v>
      </c>
      <c r="B42" s="75" t="str">
        <f>Employee_Master!B40</f>
        <v>EMP-037</v>
      </c>
      <c r="C42" s="76">
        <f>Employee_Master!C40</f>
        <v>0</v>
      </c>
      <c r="D42" s="77">
        <f>Employee_Master!H40</f>
        <v>0</v>
      </c>
      <c r="E42" s="41">
        <f>IFERROR(IF(IFERROR(Employee_Master!P40,"")="Weekly",5,IF(IFERROR(Employee_Master!P40,"")="Monthly",22,11)),0)</f>
        <v>11</v>
      </c>
      <c r="F42" s="46">
        <f>IFERROR(Employee_Master!I40*E42,0)</f>
        <v>0</v>
      </c>
      <c r="G42" s="78">
        <f>IFERROR(IF(D42=0,0,VLOOKUP(D42,SSS_Table!$B$4:$D$64,3,TRUE())*IF(IFERROR(Employee_Master!P40,"")&lt;&gt;"Semi-Monthly",1,IF(Payroll_Register!$K$3="Every Period",1,IF(Payroll_Register!$K$3="1st Half",IF(Payroll_Register!$C$3="1st Half",1,0),IF(Payroll_Register!$C$3="2nd Half",1,0))))/IF(IFERROR(Employee_Master!P40,"")="Weekly",4.33,IF(IFERROR(Employee_Master!P40,"")="Monthly",1,IF(Payroll_Register!$K$3="Every Period",2,1)))),0)</f>
        <v>0</v>
      </c>
      <c r="H42" s="78">
        <f>IFERROR(IF(D42=0,0,MIN(MAX(D42*0.025,250),2500)*IF(IFERROR(Employee_Master!P40,"")&lt;&gt;"Semi-Monthly",1,IF(Payroll_Register!$K$3="Every Period",1,IF(Payroll_Register!$K$3="1st Half",IF(Payroll_Register!$C$3="1st Half",1,0),IF(Payroll_Register!$C$3="2nd Half",1,0))))/IF(IFERROR(Employee_Master!P40,"")="Weekly",4.33,IF(IFERROR(Employee_Master!P40,"")="Monthly",1,IF(Payroll_Register!$K$3="Every Period",2,1)))),0)</f>
        <v>0</v>
      </c>
      <c r="I42" s="78">
        <f>IFERROR(IF(D42=0,0,MIN(D42*0.02,200)*IF(IFERROR(Employee_Master!P40,"")&lt;&gt;"Semi-Monthly",1,IF(Payroll_Register!$K$3="Every Period",1,IF(Payroll_Register!$K$3="1st Half",IF(Payroll_Register!$C$3="1st Half",1,0),IF(Payroll_Register!$C$3="2nd Half",1,0))))/IF(IFERROR(Employee_Master!P40,"")="Weekly",4.33,IF(IFERROR(Employee_Master!P40,"")="Monthly",1,IF(Payroll_Register!$K$3="Every Period",2,1)))),0)</f>
        <v>0</v>
      </c>
      <c r="J42" s="45">
        <f>IFERROR(Attendance_Register!Q43,0)</f>
        <v>0</v>
      </c>
      <c r="K42" s="45">
        <v>0</v>
      </c>
      <c r="L42" s="46">
        <f t="shared" si="7"/>
        <v>0</v>
      </c>
      <c r="M42" s="78">
        <f t="shared" si="8"/>
        <v>0</v>
      </c>
      <c r="N42" s="46">
        <f t="shared" si="9"/>
        <v>0</v>
      </c>
      <c r="O42" s="78">
        <f>IFERROR(IF(D42=0,0,IF(N42&lt;=0,0,IF(N42*IF(IFERROR(Employee_Master!P40,"")="Weekly",0.5,IF(IFERROR(Employee_Master!P40,"")="Monthly",2,1))&lt;=10416.67,0,IF(N42*IF(IFERROR(Employee_Master!P40,"")="Weekly",0.5,IF(IFERROR(Employee_Master!P40,"")="Monthly",2,1))&lt;=16666.67,(N42*IF(IFERROR(Employee_Master!P40,"")="Weekly",0.5,IF(IFERROR(Employee_Master!P40,"")="Monthly",2,1))-10416.67)*0.15,IF(N42*IF(IFERROR(Employee_Master!P40,"")="Weekly",0.5,IF(IFERROR(Employee_Master!P40,"")="Monthly",2,1))&lt;=33333.33,937.5+(N42*IF(IFERROR(Employee_Master!P40,"")="Weekly",0.5,IF(IFERROR(Employee_Master!P40,"")="Monthly",2,1))-16666.67)*0.2,IF(N42*IF(IFERROR(Employee_Master!P40,"")="Weekly",0.5,IF(IFERROR(Employee_Master!P40,"")="Monthly",2,1))&lt;=83333.33,4270.83+(N42*IF(IFERROR(Employee_Master!P40,"")="Weekly",0.5,IF(IFERROR(Employee_Master!P40,"")="Monthly",2,1))-33333.33)*0.25,IF(N42*IF(IFERROR(Employee_Master!P40,"")="Weekly",0.5,IF(IFERROR(Employee_Master!P40,"")="Monthly",2,1))&lt;=333333.33,16770.83+(N42*IF(IFERROR(Employee_Master!P40,"")="Weekly",0.5,IF(IFERROR(Employee_Master!P40,"")="Monthly",2,1))-83333.33)*0.3,91770.83+(N42*IF(IFERROR(Employee_Master!P40,"")="Weekly",0.5,IF(IFERROR(Employee_Master!P40,"")="Monthly",2,1))-333333.33)*0.35))))))/IF(IFERROR(Employee_Master!P40,"")="Weekly",0.5,IF(IFERROR(Employee_Master!P40,"")="Monthly",2,1))),0)</f>
        <v>0</v>
      </c>
      <c r="P42" s="46">
        <f>IFERROR(IF(D42=0,0,D42/12/IF(IFERROR(Employee_Master!P40,"")="Weekly",4.33,IF(IFERROR(Employee_Master!P40,"")="Monthly",1,2))),0)</f>
        <v>0</v>
      </c>
      <c r="Q42" s="45">
        <v>0</v>
      </c>
      <c r="R42" s="79">
        <v>0</v>
      </c>
      <c r="S42" s="80">
        <f>IFERROR(Employee_Master!I40*R42*2,0)</f>
        <v>0</v>
      </c>
      <c r="T42" s="79">
        <v>0</v>
      </c>
      <c r="U42" s="80">
        <f>IFERROR(Employee_Master!I40*T42*0.3,0)</f>
        <v>0</v>
      </c>
      <c r="V42" s="81">
        <f t="shared" si="10"/>
        <v>0</v>
      </c>
      <c r="W42" s="82">
        <f>IFERROR(IF(D42=0,0,VLOOKUP(D42,SSS_Table!$B$4:$E$64,4,TRUE())*IF(IFERROR(Employee_Master!P40,"")&lt;&gt;"Semi-Monthly",1,IF(Payroll_Register!$K$3="Every Period",1,IF(Payroll_Register!$K$3="1st Half",IF(Payroll_Register!$C$3="1st Half",1,0),IF(Payroll_Register!$C$3="2nd Half",1,0))))/IF(IFERROR(Employee_Master!P40,"")="Weekly",4.33,IF(IFERROR(Employee_Master!P40,"")="Monthly",1,IF(Payroll_Register!$K$3="Every Period",2,1)))),0)</f>
        <v>0</v>
      </c>
      <c r="X42" s="82">
        <f t="shared" si="11"/>
        <v>0</v>
      </c>
      <c r="Y42" s="82">
        <f t="shared" si="12"/>
        <v>0</v>
      </c>
      <c r="Z42" s="82">
        <f t="shared" si="13"/>
        <v>0</v>
      </c>
    </row>
    <row r="43" spans="1:26" ht="19.5" customHeight="1" x14ac:dyDescent="0.25">
      <c r="A43" s="47" t="s">
        <v>113</v>
      </c>
      <c r="B43" s="83" t="str">
        <f>Employee_Master!B41</f>
        <v>EMP-038</v>
      </c>
      <c r="C43" s="84">
        <f>Employee_Master!C41</f>
        <v>0</v>
      </c>
      <c r="D43" s="85">
        <f>Employee_Master!H41</f>
        <v>0</v>
      </c>
      <c r="E43" s="41">
        <f>IFERROR(IF(IFERROR(Employee_Master!P41,"")="Weekly",5,IF(IFERROR(Employee_Master!P41,"")="Monthly",22,11)),0)</f>
        <v>11</v>
      </c>
      <c r="F43" s="48">
        <f>IFERROR(Employee_Master!I41*E43,0)</f>
        <v>0</v>
      </c>
      <c r="G43" s="78">
        <f>IFERROR(IF(D43=0,0,VLOOKUP(D43,SSS_Table!$B$4:$D$64,3,TRUE())*IF(IFERROR(Employee_Master!P41,"")&lt;&gt;"Semi-Monthly",1,IF(Payroll_Register!$K$3="Every Period",1,IF(Payroll_Register!$K$3="1st Half",IF(Payroll_Register!$C$3="1st Half",1,0),IF(Payroll_Register!$C$3="2nd Half",1,0))))/IF(IFERROR(Employee_Master!P41,"")="Weekly",4.33,IF(IFERROR(Employee_Master!P41,"")="Monthly",1,IF(Payroll_Register!$K$3="Every Period",2,1)))),0)</f>
        <v>0</v>
      </c>
      <c r="H43" s="78">
        <f>IFERROR(IF(D43=0,0,MIN(MAX(D43*0.025,250),2500)*IF(IFERROR(Employee_Master!P41,"")&lt;&gt;"Semi-Monthly",1,IF(Payroll_Register!$K$3="Every Period",1,IF(Payroll_Register!$K$3="1st Half",IF(Payroll_Register!$C$3="1st Half",1,0),IF(Payroll_Register!$C$3="2nd Half",1,0))))/IF(IFERROR(Employee_Master!P41,"")="Weekly",4.33,IF(IFERROR(Employee_Master!P41,"")="Monthly",1,IF(Payroll_Register!$K$3="Every Period",2,1)))),0)</f>
        <v>0</v>
      </c>
      <c r="I43" s="78">
        <f>IFERROR(IF(D43=0,0,MIN(D43*0.02,200)*IF(IFERROR(Employee_Master!P41,"")&lt;&gt;"Semi-Monthly",1,IF(Payroll_Register!$K$3="Every Period",1,IF(Payroll_Register!$K$3="1st Half",IF(Payroll_Register!$C$3="1st Half",1,0),IF(Payroll_Register!$C$3="2nd Half",1,0))))/IF(IFERROR(Employee_Master!P41,"")="Weekly",4.33,IF(IFERROR(Employee_Master!P41,"")="Monthly",1,IF(Payroll_Register!$K$3="Every Period",2,1)))),0)</f>
        <v>0</v>
      </c>
      <c r="J43" s="45">
        <f>IFERROR(Attendance_Register!Q44,0)</f>
        <v>0</v>
      </c>
      <c r="K43" s="45">
        <v>0</v>
      </c>
      <c r="L43" s="48">
        <f t="shared" si="7"/>
        <v>0</v>
      </c>
      <c r="M43" s="78">
        <f t="shared" si="8"/>
        <v>0</v>
      </c>
      <c r="N43" s="48">
        <f t="shared" si="9"/>
        <v>0</v>
      </c>
      <c r="O43" s="78">
        <f>IFERROR(IF(D43=0,0,IF(N43&lt;=0,0,IF(N43*IF(IFERROR(Employee_Master!P41,"")="Weekly",0.5,IF(IFERROR(Employee_Master!P41,"")="Monthly",2,1))&lt;=10416.67,0,IF(N43*IF(IFERROR(Employee_Master!P41,"")="Weekly",0.5,IF(IFERROR(Employee_Master!P41,"")="Monthly",2,1))&lt;=16666.67,(N43*IF(IFERROR(Employee_Master!P41,"")="Weekly",0.5,IF(IFERROR(Employee_Master!P41,"")="Monthly",2,1))-10416.67)*0.15,IF(N43*IF(IFERROR(Employee_Master!P41,"")="Weekly",0.5,IF(IFERROR(Employee_Master!P41,"")="Monthly",2,1))&lt;=33333.33,937.5+(N43*IF(IFERROR(Employee_Master!P41,"")="Weekly",0.5,IF(IFERROR(Employee_Master!P41,"")="Monthly",2,1))-16666.67)*0.2,IF(N43*IF(IFERROR(Employee_Master!P41,"")="Weekly",0.5,IF(IFERROR(Employee_Master!P41,"")="Monthly",2,1))&lt;=83333.33,4270.83+(N43*IF(IFERROR(Employee_Master!P41,"")="Weekly",0.5,IF(IFERROR(Employee_Master!P41,"")="Monthly",2,1))-33333.33)*0.25,IF(N43*IF(IFERROR(Employee_Master!P41,"")="Weekly",0.5,IF(IFERROR(Employee_Master!P41,"")="Monthly",2,1))&lt;=333333.33,16770.83+(N43*IF(IFERROR(Employee_Master!P41,"")="Weekly",0.5,IF(IFERROR(Employee_Master!P41,"")="Monthly",2,1))-83333.33)*0.3,91770.83+(N43*IF(IFERROR(Employee_Master!P41,"")="Weekly",0.5,IF(IFERROR(Employee_Master!P41,"")="Monthly",2,1))-333333.33)*0.35))))))/IF(IFERROR(Employee_Master!P41,"")="Weekly",0.5,IF(IFERROR(Employee_Master!P41,"")="Monthly",2,1))),0)</f>
        <v>0</v>
      </c>
      <c r="P43" s="48">
        <f>IFERROR(IF(D43=0,0,D43/12/IF(IFERROR(Employee_Master!P41,"")="Weekly",4.33,IF(IFERROR(Employee_Master!P41,"")="Monthly",1,2))),0)</f>
        <v>0</v>
      </c>
      <c r="Q43" s="45">
        <v>0</v>
      </c>
      <c r="R43" s="79">
        <v>0</v>
      </c>
      <c r="S43" s="80">
        <f>IFERROR(Employee_Master!I41*R43*2,0)</f>
        <v>0</v>
      </c>
      <c r="T43" s="79">
        <v>0</v>
      </c>
      <c r="U43" s="80">
        <f>IFERROR(Employee_Master!I41*T43*0.3,0)</f>
        <v>0</v>
      </c>
      <c r="V43" s="81">
        <f t="shared" si="10"/>
        <v>0</v>
      </c>
      <c r="W43" s="82">
        <f>IFERROR(IF(D43=0,0,VLOOKUP(D43,SSS_Table!$B$4:$E$64,4,TRUE())*IF(IFERROR(Employee_Master!P41,"")&lt;&gt;"Semi-Monthly",1,IF(Payroll_Register!$K$3="Every Period",1,IF(Payroll_Register!$K$3="1st Half",IF(Payroll_Register!$C$3="1st Half",1,0),IF(Payroll_Register!$C$3="2nd Half",1,0))))/IF(IFERROR(Employee_Master!P41,"")="Weekly",4.33,IF(IFERROR(Employee_Master!P41,"")="Monthly",1,IF(Payroll_Register!$K$3="Every Period",2,1)))),0)</f>
        <v>0</v>
      </c>
      <c r="X43" s="82">
        <f t="shared" si="11"/>
        <v>0</v>
      </c>
      <c r="Y43" s="82">
        <f t="shared" si="12"/>
        <v>0</v>
      </c>
      <c r="Z43" s="82">
        <f t="shared" si="13"/>
        <v>0</v>
      </c>
    </row>
    <row r="44" spans="1:26" ht="19.5" customHeight="1" x14ac:dyDescent="0.25">
      <c r="A44" s="40" t="s">
        <v>114</v>
      </c>
      <c r="B44" s="75" t="str">
        <f>Employee_Master!B42</f>
        <v>EMP-039</v>
      </c>
      <c r="C44" s="76">
        <f>Employee_Master!C42</f>
        <v>0</v>
      </c>
      <c r="D44" s="77">
        <f>Employee_Master!H42</f>
        <v>0</v>
      </c>
      <c r="E44" s="41">
        <f>IFERROR(IF(IFERROR(Employee_Master!P42,"")="Weekly",5,IF(IFERROR(Employee_Master!P42,"")="Monthly",22,11)),0)</f>
        <v>11</v>
      </c>
      <c r="F44" s="46">
        <f>IFERROR(Employee_Master!I42*E44,0)</f>
        <v>0</v>
      </c>
      <c r="G44" s="78">
        <f>IFERROR(IF(D44=0,0,VLOOKUP(D44,SSS_Table!$B$4:$D$64,3,TRUE())*IF(IFERROR(Employee_Master!P42,"")&lt;&gt;"Semi-Monthly",1,IF(Payroll_Register!$K$3="Every Period",1,IF(Payroll_Register!$K$3="1st Half",IF(Payroll_Register!$C$3="1st Half",1,0),IF(Payroll_Register!$C$3="2nd Half",1,0))))/IF(IFERROR(Employee_Master!P42,"")="Weekly",4.33,IF(IFERROR(Employee_Master!P42,"")="Monthly",1,IF(Payroll_Register!$K$3="Every Period",2,1)))),0)</f>
        <v>0</v>
      </c>
      <c r="H44" s="78">
        <f>IFERROR(IF(D44=0,0,MIN(MAX(D44*0.025,250),2500)*IF(IFERROR(Employee_Master!P42,"")&lt;&gt;"Semi-Monthly",1,IF(Payroll_Register!$K$3="Every Period",1,IF(Payroll_Register!$K$3="1st Half",IF(Payroll_Register!$C$3="1st Half",1,0),IF(Payroll_Register!$C$3="2nd Half",1,0))))/IF(IFERROR(Employee_Master!P42,"")="Weekly",4.33,IF(IFERROR(Employee_Master!P42,"")="Monthly",1,IF(Payroll_Register!$K$3="Every Period",2,1)))),0)</f>
        <v>0</v>
      </c>
      <c r="I44" s="78">
        <f>IFERROR(IF(D44=0,0,MIN(D44*0.02,200)*IF(IFERROR(Employee_Master!P42,"")&lt;&gt;"Semi-Monthly",1,IF(Payroll_Register!$K$3="Every Period",1,IF(Payroll_Register!$K$3="1st Half",IF(Payroll_Register!$C$3="1st Half",1,0),IF(Payroll_Register!$C$3="2nd Half",1,0))))/IF(IFERROR(Employee_Master!P42,"")="Weekly",4.33,IF(IFERROR(Employee_Master!P42,"")="Monthly",1,IF(Payroll_Register!$K$3="Every Period",2,1)))),0)</f>
        <v>0</v>
      </c>
      <c r="J44" s="45">
        <f>IFERROR(Attendance_Register!Q45,0)</f>
        <v>0</v>
      </c>
      <c r="K44" s="45">
        <v>0</v>
      </c>
      <c r="L44" s="46">
        <f t="shared" si="7"/>
        <v>0</v>
      </c>
      <c r="M44" s="78">
        <f t="shared" si="8"/>
        <v>0</v>
      </c>
      <c r="N44" s="46">
        <f t="shared" si="9"/>
        <v>0</v>
      </c>
      <c r="O44" s="78">
        <f>IFERROR(IF(D44=0,0,IF(N44&lt;=0,0,IF(N44*IF(IFERROR(Employee_Master!P42,"")="Weekly",0.5,IF(IFERROR(Employee_Master!P42,"")="Monthly",2,1))&lt;=10416.67,0,IF(N44*IF(IFERROR(Employee_Master!P42,"")="Weekly",0.5,IF(IFERROR(Employee_Master!P42,"")="Monthly",2,1))&lt;=16666.67,(N44*IF(IFERROR(Employee_Master!P42,"")="Weekly",0.5,IF(IFERROR(Employee_Master!P42,"")="Monthly",2,1))-10416.67)*0.15,IF(N44*IF(IFERROR(Employee_Master!P42,"")="Weekly",0.5,IF(IFERROR(Employee_Master!P42,"")="Monthly",2,1))&lt;=33333.33,937.5+(N44*IF(IFERROR(Employee_Master!P42,"")="Weekly",0.5,IF(IFERROR(Employee_Master!P42,"")="Monthly",2,1))-16666.67)*0.2,IF(N44*IF(IFERROR(Employee_Master!P42,"")="Weekly",0.5,IF(IFERROR(Employee_Master!P42,"")="Monthly",2,1))&lt;=83333.33,4270.83+(N44*IF(IFERROR(Employee_Master!P42,"")="Weekly",0.5,IF(IFERROR(Employee_Master!P42,"")="Monthly",2,1))-33333.33)*0.25,IF(N44*IF(IFERROR(Employee_Master!P42,"")="Weekly",0.5,IF(IFERROR(Employee_Master!P42,"")="Monthly",2,1))&lt;=333333.33,16770.83+(N44*IF(IFERROR(Employee_Master!P42,"")="Weekly",0.5,IF(IFERROR(Employee_Master!P42,"")="Monthly",2,1))-83333.33)*0.3,91770.83+(N44*IF(IFERROR(Employee_Master!P42,"")="Weekly",0.5,IF(IFERROR(Employee_Master!P42,"")="Monthly",2,1))-333333.33)*0.35))))))/IF(IFERROR(Employee_Master!P42,"")="Weekly",0.5,IF(IFERROR(Employee_Master!P42,"")="Monthly",2,1))),0)</f>
        <v>0</v>
      </c>
      <c r="P44" s="46">
        <f>IFERROR(IF(D44=0,0,D44/12/IF(IFERROR(Employee_Master!P42,"")="Weekly",4.33,IF(IFERROR(Employee_Master!P42,"")="Monthly",1,2))),0)</f>
        <v>0</v>
      </c>
      <c r="Q44" s="45">
        <v>0</v>
      </c>
      <c r="R44" s="79">
        <v>0</v>
      </c>
      <c r="S44" s="80">
        <f>IFERROR(Employee_Master!I42*R44*2,0)</f>
        <v>0</v>
      </c>
      <c r="T44" s="79">
        <v>0</v>
      </c>
      <c r="U44" s="80">
        <f>IFERROR(Employee_Master!I42*T44*0.3,0)</f>
        <v>0</v>
      </c>
      <c r="V44" s="81">
        <f t="shared" si="10"/>
        <v>0</v>
      </c>
      <c r="W44" s="82">
        <f>IFERROR(IF(D44=0,0,VLOOKUP(D44,SSS_Table!$B$4:$E$64,4,TRUE())*IF(IFERROR(Employee_Master!P42,"")&lt;&gt;"Semi-Monthly",1,IF(Payroll_Register!$K$3="Every Period",1,IF(Payroll_Register!$K$3="1st Half",IF(Payroll_Register!$C$3="1st Half",1,0),IF(Payroll_Register!$C$3="2nd Half",1,0))))/IF(IFERROR(Employee_Master!P42,"")="Weekly",4.33,IF(IFERROR(Employee_Master!P42,"")="Monthly",1,IF(Payroll_Register!$K$3="Every Period",2,1)))),0)</f>
        <v>0</v>
      </c>
      <c r="X44" s="82">
        <f t="shared" si="11"/>
        <v>0</v>
      </c>
      <c r="Y44" s="82">
        <f t="shared" si="12"/>
        <v>0</v>
      </c>
      <c r="Z44" s="82">
        <f t="shared" si="13"/>
        <v>0</v>
      </c>
    </row>
    <row r="45" spans="1:26" ht="19.5" customHeight="1" x14ac:dyDescent="0.25">
      <c r="A45" s="47" t="s">
        <v>115</v>
      </c>
      <c r="B45" s="83" t="str">
        <f>Employee_Master!B43</f>
        <v>EMP-040</v>
      </c>
      <c r="C45" s="84">
        <f>Employee_Master!C43</f>
        <v>0</v>
      </c>
      <c r="D45" s="85">
        <f>Employee_Master!H43</f>
        <v>0</v>
      </c>
      <c r="E45" s="41">
        <f>IFERROR(IF(IFERROR(Employee_Master!P43,"")="Weekly",5,IF(IFERROR(Employee_Master!P43,"")="Monthly",22,11)),0)</f>
        <v>11</v>
      </c>
      <c r="F45" s="48">
        <f>IFERROR(Employee_Master!I43*E45,0)</f>
        <v>0</v>
      </c>
      <c r="G45" s="78">
        <f>IFERROR(IF(D45=0,0,VLOOKUP(D45,SSS_Table!$B$4:$D$64,3,TRUE())*IF(IFERROR(Employee_Master!P43,"")&lt;&gt;"Semi-Monthly",1,IF(Payroll_Register!$K$3="Every Period",1,IF(Payroll_Register!$K$3="1st Half",IF(Payroll_Register!$C$3="1st Half",1,0),IF(Payroll_Register!$C$3="2nd Half",1,0))))/IF(IFERROR(Employee_Master!P43,"")="Weekly",4.33,IF(IFERROR(Employee_Master!P43,"")="Monthly",1,IF(Payroll_Register!$K$3="Every Period",2,1)))),0)</f>
        <v>0</v>
      </c>
      <c r="H45" s="78">
        <f>IFERROR(IF(D45=0,0,MIN(MAX(D45*0.025,250),2500)*IF(IFERROR(Employee_Master!P43,"")&lt;&gt;"Semi-Monthly",1,IF(Payroll_Register!$K$3="Every Period",1,IF(Payroll_Register!$K$3="1st Half",IF(Payroll_Register!$C$3="1st Half",1,0),IF(Payroll_Register!$C$3="2nd Half",1,0))))/IF(IFERROR(Employee_Master!P43,"")="Weekly",4.33,IF(IFERROR(Employee_Master!P43,"")="Monthly",1,IF(Payroll_Register!$K$3="Every Period",2,1)))),0)</f>
        <v>0</v>
      </c>
      <c r="I45" s="78">
        <f>IFERROR(IF(D45=0,0,MIN(D45*0.02,200)*IF(IFERROR(Employee_Master!P43,"")&lt;&gt;"Semi-Monthly",1,IF(Payroll_Register!$K$3="Every Period",1,IF(Payroll_Register!$K$3="1st Half",IF(Payroll_Register!$C$3="1st Half",1,0),IF(Payroll_Register!$C$3="2nd Half",1,0))))/IF(IFERROR(Employee_Master!P43,"")="Weekly",4.33,IF(IFERROR(Employee_Master!P43,"")="Monthly",1,IF(Payroll_Register!$K$3="Every Period",2,1)))),0)</f>
        <v>0</v>
      </c>
      <c r="J45" s="45">
        <f>IFERROR(Attendance_Register!Q46,0)</f>
        <v>0</v>
      </c>
      <c r="K45" s="45">
        <v>0</v>
      </c>
      <c r="L45" s="48">
        <f t="shared" si="7"/>
        <v>0</v>
      </c>
      <c r="M45" s="78">
        <f t="shared" si="8"/>
        <v>0</v>
      </c>
      <c r="N45" s="48">
        <f t="shared" si="9"/>
        <v>0</v>
      </c>
      <c r="O45" s="78">
        <f>IFERROR(IF(D45=0,0,IF(N45&lt;=0,0,IF(N45*IF(IFERROR(Employee_Master!P43,"")="Weekly",0.5,IF(IFERROR(Employee_Master!P43,"")="Monthly",2,1))&lt;=10416.67,0,IF(N45*IF(IFERROR(Employee_Master!P43,"")="Weekly",0.5,IF(IFERROR(Employee_Master!P43,"")="Monthly",2,1))&lt;=16666.67,(N45*IF(IFERROR(Employee_Master!P43,"")="Weekly",0.5,IF(IFERROR(Employee_Master!P43,"")="Monthly",2,1))-10416.67)*0.15,IF(N45*IF(IFERROR(Employee_Master!P43,"")="Weekly",0.5,IF(IFERROR(Employee_Master!P43,"")="Monthly",2,1))&lt;=33333.33,937.5+(N45*IF(IFERROR(Employee_Master!P43,"")="Weekly",0.5,IF(IFERROR(Employee_Master!P43,"")="Monthly",2,1))-16666.67)*0.2,IF(N45*IF(IFERROR(Employee_Master!P43,"")="Weekly",0.5,IF(IFERROR(Employee_Master!P43,"")="Monthly",2,1))&lt;=83333.33,4270.83+(N45*IF(IFERROR(Employee_Master!P43,"")="Weekly",0.5,IF(IFERROR(Employee_Master!P43,"")="Monthly",2,1))-33333.33)*0.25,IF(N45*IF(IFERROR(Employee_Master!P43,"")="Weekly",0.5,IF(IFERROR(Employee_Master!P43,"")="Monthly",2,1))&lt;=333333.33,16770.83+(N45*IF(IFERROR(Employee_Master!P43,"")="Weekly",0.5,IF(IFERROR(Employee_Master!P43,"")="Monthly",2,1))-83333.33)*0.3,91770.83+(N45*IF(IFERROR(Employee_Master!P43,"")="Weekly",0.5,IF(IFERROR(Employee_Master!P43,"")="Monthly",2,1))-333333.33)*0.35))))))/IF(IFERROR(Employee_Master!P43,"")="Weekly",0.5,IF(IFERROR(Employee_Master!P43,"")="Monthly",2,1))),0)</f>
        <v>0</v>
      </c>
      <c r="P45" s="48">
        <f>IFERROR(IF(D45=0,0,D45/12/IF(IFERROR(Employee_Master!P43,"")="Weekly",4.33,IF(IFERROR(Employee_Master!P43,"")="Monthly",1,2))),0)</f>
        <v>0</v>
      </c>
      <c r="Q45" s="45">
        <v>0</v>
      </c>
      <c r="R45" s="79">
        <v>0</v>
      </c>
      <c r="S45" s="80">
        <f>IFERROR(Employee_Master!I43*R45*2,0)</f>
        <v>0</v>
      </c>
      <c r="T45" s="79">
        <v>0</v>
      </c>
      <c r="U45" s="80">
        <f>IFERROR(Employee_Master!I43*T45*0.3,0)</f>
        <v>0</v>
      </c>
      <c r="V45" s="81">
        <f t="shared" si="10"/>
        <v>0</v>
      </c>
      <c r="W45" s="82">
        <f>IFERROR(IF(D45=0,0,VLOOKUP(D45,SSS_Table!$B$4:$E$64,4,TRUE())*IF(IFERROR(Employee_Master!P43,"")&lt;&gt;"Semi-Monthly",1,IF(Payroll_Register!$K$3="Every Period",1,IF(Payroll_Register!$K$3="1st Half",IF(Payroll_Register!$C$3="1st Half",1,0),IF(Payroll_Register!$C$3="2nd Half",1,0))))/IF(IFERROR(Employee_Master!P43,"")="Weekly",4.33,IF(IFERROR(Employee_Master!P43,"")="Monthly",1,IF(Payroll_Register!$K$3="Every Period",2,1)))),0)</f>
        <v>0</v>
      </c>
      <c r="X45" s="82">
        <f t="shared" si="11"/>
        <v>0</v>
      </c>
      <c r="Y45" s="82">
        <f t="shared" si="12"/>
        <v>0</v>
      </c>
      <c r="Z45" s="82">
        <f t="shared" si="13"/>
        <v>0</v>
      </c>
    </row>
    <row r="46" spans="1:26" ht="19.5" customHeight="1" x14ac:dyDescent="0.25">
      <c r="A46" s="40" t="s">
        <v>116</v>
      </c>
      <c r="B46" s="75" t="str">
        <f>Employee_Master!B44</f>
        <v>EMP-041</v>
      </c>
      <c r="C46" s="76">
        <f>Employee_Master!C44</f>
        <v>0</v>
      </c>
      <c r="D46" s="77">
        <f>Employee_Master!H44</f>
        <v>0</v>
      </c>
      <c r="E46" s="41">
        <f>IFERROR(IF(IFERROR(Employee_Master!P44,"")="Weekly",5,IF(IFERROR(Employee_Master!P44,"")="Monthly",22,11)),0)</f>
        <v>11</v>
      </c>
      <c r="F46" s="46">
        <f>IFERROR(Employee_Master!I44*E46,0)</f>
        <v>0</v>
      </c>
      <c r="G46" s="78">
        <f>IFERROR(IF(D46=0,0,VLOOKUP(D46,SSS_Table!$B$4:$D$64,3,TRUE())*IF(IFERROR(Employee_Master!P44,"")&lt;&gt;"Semi-Monthly",1,IF(Payroll_Register!$K$3="Every Period",1,IF(Payroll_Register!$K$3="1st Half",IF(Payroll_Register!$C$3="1st Half",1,0),IF(Payroll_Register!$C$3="2nd Half",1,0))))/IF(IFERROR(Employee_Master!P44,"")="Weekly",4.33,IF(IFERROR(Employee_Master!P44,"")="Monthly",1,IF(Payroll_Register!$K$3="Every Period",2,1)))),0)</f>
        <v>0</v>
      </c>
      <c r="H46" s="78">
        <f>IFERROR(IF(D46=0,0,MIN(MAX(D46*0.025,250),2500)*IF(IFERROR(Employee_Master!P44,"")&lt;&gt;"Semi-Monthly",1,IF(Payroll_Register!$K$3="Every Period",1,IF(Payroll_Register!$K$3="1st Half",IF(Payroll_Register!$C$3="1st Half",1,0),IF(Payroll_Register!$C$3="2nd Half",1,0))))/IF(IFERROR(Employee_Master!P44,"")="Weekly",4.33,IF(IFERROR(Employee_Master!P44,"")="Monthly",1,IF(Payroll_Register!$K$3="Every Period",2,1)))),0)</f>
        <v>0</v>
      </c>
      <c r="I46" s="78">
        <f>IFERROR(IF(D46=0,0,MIN(D46*0.02,200)*IF(IFERROR(Employee_Master!P44,"")&lt;&gt;"Semi-Monthly",1,IF(Payroll_Register!$K$3="Every Period",1,IF(Payroll_Register!$K$3="1st Half",IF(Payroll_Register!$C$3="1st Half",1,0),IF(Payroll_Register!$C$3="2nd Half",1,0))))/IF(IFERROR(Employee_Master!P44,"")="Weekly",4.33,IF(IFERROR(Employee_Master!P44,"")="Monthly",1,IF(Payroll_Register!$K$3="Every Period",2,1)))),0)</f>
        <v>0</v>
      </c>
      <c r="J46" s="45">
        <f>IFERROR(Attendance_Register!Q47,0)</f>
        <v>0</v>
      </c>
      <c r="K46" s="45">
        <v>0</v>
      </c>
      <c r="L46" s="46">
        <f t="shared" si="7"/>
        <v>0</v>
      </c>
      <c r="M46" s="78">
        <f t="shared" si="8"/>
        <v>0</v>
      </c>
      <c r="N46" s="46">
        <f t="shared" si="9"/>
        <v>0</v>
      </c>
      <c r="O46" s="78">
        <f>IFERROR(IF(D46=0,0,IF(N46&lt;=0,0,IF(N46*IF(IFERROR(Employee_Master!P44,"")="Weekly",0.5,IF(IFERROR(Employee_Master!P44,"")="Monthly",2,1))&lt;=10416.67,0,IF(N46*IF(IFERROR(Employee_Master!P44,"")="Weekly",0.5,IF(IFERROR(Employee_Master!P44,"")="Monthly",2,1))&lt;=16666.67,(N46*IF(IFERROR(Employee_Master!P44,"")="Weekly",0.5,IF(IFERROR(Employee_Master!P44,"")="Monthly",2,1))-10416.67)*0.15,IF(N46*IF(IFERROR(Employee_Master!P44,"")="Weekly",0.5,IF(IFERROR(Employee_Master!P44,"")="Monthly",2,1))&lt;=33333.33,937.5+(N46*IF(IFERROR(Employee_Master!P44,"")="Weekly",0.5,IF(IFERROR(Employee_Master!P44,"")="Monthly",2,1))-16666.67)*0.2,IF(N46*IF(IFERROR(Employee_Master!P44,"")="Weekly",0.5,IF(IFERROR(Employee_Master!P44,"")="Monthly",2,1))&lt;=83333.33,4270.83+(N46*IF(IFERROR(Employee_Master!P44,"")="Weekly",0.5,IF(IFERROR(Employee_Master!P44,"")="Monthly",2,1))-33333.33)*0.25,IF(N46*IF(IFERROR(Employee_Master!P44,"")="Weekly",0.5,IF(IFERROR(Employee_Master!P44,"")="Monthly",2,1))&lt;=333333.33,16770.83+(N46*IF(IFERROR(Employee_Master!P44,"")="Weekly",0.5,IF(IFERROR(Employee_Master!P44,"")="Monthly",2,1))-83333.33)*0.3,91770.83+(N46*IF(IFERROR(Employee_Master!P44,"")="Weekly",0.5,IF(IFERROR(Employee_Master!P44,"")="Monthly",2,1))-333333.33)*0.35))))))/IF(IFERROR(Employee_Master!P44,"")="Weekly",0.5,IF(IFERROR(Employee_Master!P44,"")="Monthly",2,1))),0)</f>
        <v>0</v>
      </c>
      <c r="P46" s="46">
        <f>IFERROR(IF(D46=0,0,D46/12/IF(IFERROR(Employee_Master!P44,"")="Weekly",4.33,IF(IFERROR(Employee_Master!P44,"")="Monthly",1,2))),0)</f>
        <v>0</v>
      </c>
      <c r="Q46" s="45">
        <v>0</v>
      </c>
      <c r="R46" s="79">
        <v>0</v>
      </c>
      <c r="S46" s="80">
        <f>IFERROR(Employee_Master!I44*R46*2,0)</f>
        <v>0</v>
      </c>
      <c r="T46" s="79">
        <v>0</v>
      </c>
      <c r="U46" s="80">
        <f>IFERROR(Employee_Master!I44*T46*0.3,0)</f>
        <v>0</v>
      </c>
      <c r="V46" s="81">
        <f t="shared" si="10"/>
        <v>0</v>
      </c>
      <c r="W46" s="82">
        <f>IFERROR(IF(D46=0,0,VLOOKUP(D46,SSS_Table!$B$4:$E$64,4,TRUE())*IF(IFERROR(Employee_Master!P44,"")&lt;&gt;"Semi-Monthly",1,IF(Payroll_Register!$K$3="Every Period",1,IF(Payroll_Register!$K$3="1st Half",IF(Payroll_Register!$C$3="1st Half",1,0),IF(Payroll_Register!$C$3="2nd Half",1,0))))/IF(IFERROR(Employee_Master!P44,"")="Weekly",4.33,IF(IFERROR(Employee_Master!P44,"")="Monthly",1,IF(Payroll_Register!$K$3="Every Period",2,1)))),0)</f>
        <v>0</v>
      </c>
      <c r="X46" s="82">
        <f t="shared" si="11"/>
        <v>0</v>
      </c>
      <c r="Y46" s="82">
        <f t="shared" si="12"/>
        <v>0</v>
      </c>
      <c r="Z46" s="82">
        <f t="shared" si="13"/>
        <v>0</v>
      </c>
    </row>
    <row r="47" spans="1:26" ht="19.5" customHeight="1" x14ac:dyDescent="0.25">
      <c r="A47" s="47" t="s">
        <v>117</v>
      </c>
      <c r="B47" s="83" t="str">
        <f>Employee_Master!B45</f>
        <v>EMP-042</v>
      </c>
      <c r="C47" s="84">
        <f>Employee_Master!C45</f>
        <v>0</v>
      </c>
      <c r="D47" s="85">
        <f>Employee_Master!H45</f>
        <v>0</v>
      </c>
      <c r="E47" s="41">
        <f>IFERROR(IF(IFERROR(Employee_Master!P45,"")="Weekly",5,IF(IFERROR(Employee_Master!P45,"")="Monthly",22,11)),0)</f>
        <v>11</v>
      </c>
      <c r="F47" s="48">
        <f>IFERROR(Employee_Master!I45*E47,0)</f>
        <v>0</v>
      </c>
      <c r="G47" s="78">
        <f>IFERROR(IF(D47=0,0,VLOOKUP(D47,SSS_Table!$B$4:$D$64,3,TRUE())*IF(IFERROR(Employee_Master!P45,"")&lt;&gt;"Semi-Monthly",1,IF(Payroll_Register!$K$3="Every Period",1,IF(Payroll_Register!$K$3="1st Half",IF(Payroll_Register!$C$3="1st Half",1,0),IF(Payroll_Register!$C$3="2nd Half",1,0))))/IF(IFERROR(Employee_Master!P45,"")="Weekly",4.33,IF(IFERROR(Employee_Master!P45,"")="Monthly",1,IF(Payroll_Register!$K$3="Every Period",2,1)))),0)</f>
        <v>0</v>
      </c>
      <c r="H47" s="78">
        <f>IFERROR(IF(D47=0,0,MIN(MAX(D47*0.025,250),2500)*IF(IFERROR(Employee_Master!P45,"")&lt;&gt;"Semi-Monthly",1,IF(Payroll_Register!$K$3="Every Period",1,IF(Payroll_Register!$K$3="1st Half",IF(Payroll_Register!$C$3="1st Half",1,0),IF(Payroll_Register!$C$3="2nd Half",1,0))))/IF(IFERROR(Employee_Master!P45,"")="Weekly",4.33,IF(IFERROR(Employee_Master!P45,"")="Monthly",1,IF(Payroll_Register!$K$3="Every Period",2,1)))),0)</f>
        <v>0</v>
      </c>
      <c r="I47" s="78">
        <f>IFERROR(IF(D47=0,0,MIN(D47*0.02,200)*IF(IFERROR(Employee_Master!P45,"")&lt;&gt;"Semi-Monthly",1,IF(Payroll_Register!$K$3="Every Period",1,IF(Payroll_Register!$K$3="1st Half",IF(Payroll_Register!$C$3="1st Half",1,0),IF(Payroll_Register!$C$3="2nd Half",1,0))))/IF(IFERROR(Employee_Master!P45,"")="Weekly",4.33,IF(IFERROR(Employee_Master!P45,"")="Monthly",1,IF(Payroll_Register!$K$3="Every Period",2,1)))),0)</f>
        <v>0</v>
      </c>
      <c r="J47" s="45">
        <f>IFERROR(Attendance_Register!Q48,0)</f>
        <v>0</v>
      </c>
      <c r="K47" s="45">
        <v>0</v>
      </c>
      <c r="L47" s="48">
        <f t="shared" si="7"/>
        <v>0</v>
      </c>
      <c r="M47" s="78">
        <f t="shared" si="8"/>
        <v>0</v>
      </c>
      <c r="N47" s="48">
        <f t="shared" si="9"/>
        <v>0</v>
      </c>
      <c r="O47" s="78">
        <f>IFERROR(IF(D47=0,0,IF(N47&lt;=0,0,IF(N47*IF(IFERROR(Employee_Master!P45,"")="Weekly",0.5,IF(IFERROR(Employee_Master!P45,"")="Monthly",2,1))&lt;=10416.67,0,IF(N47*IF(IFERROR(Employee_Master!P45,"")="Weekly",0.5,IF(IFERROR(Employee_Master!P45,"")="Monthly",2,1))&lt;=16666.67,(N47*IF(IFERROR(Employee_Master!P45,"")="Weekly",0.5,IF(IFERROR(Employee_Master!P45,"")="Monthly",2,1))-10416.67)*0.15,IF(N47*IF(IFERROR(Employee_Master!P45,"")="Weekly",0.5,IF(IFERROR(Employee_Master!P45,"")="Monthly",2,1))&lt;=33333.33,937.5+(N47*IF(IFERROR(Employee_Master!P45,"")="Weekly",0.5,IF(IFERROR(Employee_Master!P45,"")="Monthly",2,1))-16666.67)*0.2,IF(N47*IF(IFERROR(Employee_Master!P45,"")="Weekly",0.5,IF(IFERROR(Employee_Master!P45,"")="Monthly",2,1))&lt;=83333.33,4270.83+(N47*IF(IFERROR(Employee_Master!P45,"")="Weekly",0.5,IF(IFERROR(Employee_Master!P45,"")="Monthly",2,1))-33333.33)*0.25,IF(N47*IF(IFERROR(Employee_Master!P45,"")="Weekly",0.5,IF(IFERROR(Employee_Master!P45,"")="Monthly",2,1))&lt;=333333.33,16770.83+(N47*IF(IFERROR(Employee_Master!P45,"")="Weekly",0.5,IF(IFERROR(Employee_Master!P45,"")="Monthly",2,1))-83333.33)*0.3,91770.83+(N47*IF(IFERROR(Employee_Master!P45,"")="Weekly",0.5,IF(IFERROR(Employee_Master!P45,"")="Monthly",2,1))-333333.33)*0.35))))))/IF(IFERROR(Employee_Master!P45,"")="Weekly",0.5,IF(IFERROR(Employee_Master!P45,"")="Monthly",2,1))),0)</f>
        <v>0</v>
      </c>
      <c r="P47" s="48">
        <f>IFERROR(IF(D47=0,0,D47/12/IF(IFERROR(Employee_Master!P45,"")="Weekly",4.33,IF(IFERROR(Employee_Master!P45,"")="Monthly",1,2))),0)</f>
        <v>0</v>
      </c>
      <c r="Q47" s="45">
        <v>0</v>
      </c>
      <c r="R47" s="79">
        <v>0</v>
      </c>
      <c r="S47" s="80">
        <f>IFERROR(Employee_Master!I45*R47*2,0)</f>
        <v>0</v>
      </c>
      <c r="T47" s="79">
        <v>0</v>
      </c>
      <c r="U47" s="80">
        <f>IFERROR(Employee_Master!I45*T47*0.3,0)</f>
        <v>0</v>
      </c>
      <c r="V47" s="81">
        <f t="shared" si="10"/>
        <v>0</v>
      </c>
      <c r="W47" s="82">
        <f>IFERROR(IF(D47=0,0,VLOOKUP(D47,SSS_Table!$B$4:$E$64,4,TRUE())*IF(IFERROR(Employee_Master!P45,"")&lt;&gt;"Semi-Monthly",1,IF(Payroll_Register!$K$3="Every Period",1,IF(Payroll_Register!$K$3="1st Half",IF(Payroll_Register!$C$3="1st Half",1,0),IF(Payroll_Register!$C$3="2nd Half",1,0))))/IF(IFERROR(Employee_Master!P45,"")="Weekly",4.33,IF(IFERROR(Employee_Master!P45,"")="Monthly",1,IF(Payroll_Register!$K$3="Every Period",2,1)))),0)</f>
        <v>0</v>
      </c>
      <c r="X47" s="82">
        <f t="shared" si="11"/>
        <v>0</v>
      </c>
      <c r="Y47" s="82">
        <f t="shared" si="12"/>
        <v>0</v>
      </c>
      <c r="Z47" s="82">
        <f t="shared" si="13"/>
        <v>0</v>
      </c>
    </row>
    <row r="48" spans="1:26" ht="19.5" customHeight="1" x14ac:dyDescent="0.25">
      <c r="A48" s="40" t="s">
        <v>118</v>
      </c>
      <c r="B48" s="75" t="str">
        <f>Employee_Master!B46</f>
        <v>EMP-043</v>
      </c>
      <c r="C48" s="76">
        <f>Employee_Master!C46</f>
        <v>0</v>
      </c>
      <c r="D48" s="77">
        <f>Employee_Master!H46</f>
        <v>0</v>
      </c>
      <c r="E48" s="41">
        <f>IFERROR(IF(IFERROR(Employee_Master!P46,"")="Weekly",5,IF(IFERROR(Employee_Master!P46,"")="Monthly",22,11)),0)</f>
        <v>11</v>
      </c>
      <c r="F48" s="46">
        <f>IFERROR(Employee_Master!I46*E48,0)</f>
        <v>0</v>
      </c>
      <c r="G48" s="78">
        <f>IFERROR(IF(D48=0,0,VLOOKUP(D48,SSS_Table!$B$4:$D$64,3,TRUE())*IF(IFERROR(Employee_Master!P46,"")&lt;&gt;"Semi-Monthly",1,IF(Payroll_Register!$K$3="Every Period",1,IF(Payroll_Register!$K$3="1st Half",IF(Payroll_Register!$C$3="1st Half",1,0),IF(Payroll_Register!$C$3="2nd Half",1,0))))/IF(IFERROR(Employee_Master!P46,"")="Weekly",4.33,IF(IFERROR(Employee_Master!P46,"")="Monthly",1,IF(Payroll_Register!$K$3="Every Period",2,1)))),0)</f>
        <v>0</v>
      </c>
      <c r="H48" s="78">
        <f>IFERROR(IF(D48=0,0,MIN(MAX(D48*0.025,250),2500)*IF(IFERROR(Employee_Master!P46,"")&lt;&gt;"Semi-Monthly",1,IF(Payroll_Register!$K$3="Every Period",1,IF(Payroll_Register!$K$3="1st Half",IF(Payroll_Register!$C$3="1st Half",1,0),IF(Payroll_Register!$C$3="2nd Half",1,0))))/IF(IFERROR(Employee_Master!P46,"")="Weekly",4.33,IF(IFERROR(Employee_Master!P46,"")="Monthly",1,IF(Payroll_Register!$K$3="Every Period",2,1)))),0)</f>
        <v>0</v>
      </c>
      <c r="I48" s="78">
        <f>IFERROR(IF(D48=0,0,MIN(D48*0.02,200)*IF(IFERROR(Employee_Master!P46,"")&lt;&gt;"Semi-Monthly",1,IF(Payroll_Register!$K$3="Every Period",1,IF(Payroll_Register!$K$3="1st Half",IF(Payroll_Register!$C$3="1st Half",1,0),IF(Payroll_Register!$C$3="2nd Half",1,0))))/IF(IFERROR(Employee_Master!P46,"")="Weekly",4.33,IF(IFERROR(Employee_Master!P46,"")="Monthly",1,IF(Payroll_Register!$K$3="Every Period",2,1)))),0)</f>
        <v>0</v>
      </c>
      <c r="J48" s="45">
        <f>IFERROR(Attendance_Register!Q49,0)</f>
        <v>0</v>
      </c>
      <c r="K48" s="45">
        <v>0</v>
      </c>
      <c r="L48" s="46">
        <f t="shared" si="7"/>
        <v>0</v>
      </c>
      <c r="M48" s="78">
        <f t="shared" si="8"/>
        <v>0</v>
      </c>
      <c r="N48" s="46">
        <f t="shared" si="9"/>
        <v>0</v>
      </c>
      <c r="O48" s="78">
        <f>IFERROR(IF(D48=0,0,IF(N48&lt;=0,0,IF(N48*IF(IFERROR(Employee_Master!P46,"")="Weekly",0.5,IF(IFERROR(Employee_Master!P46,"")="Monthly",2,1))&lt;=10416.67,0,IF(N48*IF(IFERROR(Employee_Master!P46,"")="Weekly",0.5,IF(IFERROR(Employee_Master!P46,"")="Monthly",2,1))&lt;=16666.67,(N48*IF(IFERROR(Employee_Master!P46,"")="Weekly",0.5,IF(IFERROR(Employee_Master!P46,"")="Monthly",2,1))-10416.67)*0.15,IF(N48*IF(IFERROR(Employee_Master!P46,"")="Weekly",0.5,IF(IFERROR(Employee_Master!P46,"")="Monthly",2,1))&lt;=33333.33,937.5+(N48*IF(IFERROR(Employee_Master!P46,"")="Weekly",0.5,IF(IFERROR(Employee_Master!P46,"")="Monthly",2,1))-16666.67)*0.2,IF(N48*IF(IFERROR(Employee_Master!P46,"")="Weekly",0.5,IF(IFERROR(Employee_Master!P46,"")="Monthly",2,1))&lt;=83333.33,4270.83+(N48*IF(IFERROR(Employee_Master!P46,"")="Weekly",0.5,IF(IFERROR(Employee_Master!P46,"")="Monthly",2,1))-33333.33)*0.25,IF(N48*IF(IFERROR(Employee_Master!P46,"")="Weekly",0.5,IF(IFERROR(Employee_Master!P46,"")="Monthly",2,1))&lt;=333333.33,16770.83+(N48*IF(IFERROR(Employee_Master!P46,"")="Weekly",0.5,IF(IFERROR(Employee_Master!P46,"")="Monthly",2,1))-83333.33)*0.3,91770.83+(N48*IF(IFERROR(Employee_Master!P46,"")="Weekly",0.5,IF(IFERROR(Employee_Master!P46,"")="Monthly",2,1))-333333.33)*0.35))))))/IF(IFERROR(Employee_Master!P46,"")="Weekly",0.5,IF(IFERROR(Employee_Master!P46,"")="Monthly",2,1))),0)</f>
        <v>0</v>
      </c>
      <c r="P48" s="46">
        <f>IFERROR(IF(D48=0,0,D48/12/IF(IFERROR(Employee_Master!P46,"")="Weekly",4.33,IF(IFERROR(Employee_Master!P46,"")="Monthly",1,2))),0)</f>
        <v>0</v>
      </c>
      <c r="Q48" s="45">
        <v>0</v>
      </c>
      <c r="R48" s="79">
        <v>0</v>
      </c>
      <c r="S48" s="80">
        <f>IFERROR(Employee_Master!I46*R48*2,0)</f>
        <v>0</v>
      </c>
      <c r="T48" s="79">
        <v>0</v>
      </c>
      <c r="U48" s="80">
        <f>IFERROR(Employee_Master!I46*T48*0.3,0)</f>
        <v>0</v>
      </c>
      <c r="V48" s="81">
        <f t="shared" si="10"/>
        <v>0</v>
      </c>
      <c r="W48" s="82">
        <f>IFERROR(IF(D48=0,0,VLOOKUP(D48,SSS_Table!$B$4:$E$64,4,TRUE())*IF(IFERROR(Employee_Master!P46,"")&lt;&gt;"Semi-Monthly",1,IF(Payroll_Register!$K$3="Every Period",1,IF(Payroll_Register!$K$3="1st Half",IF(Payroll_Register!$C$3="1st Half",1,0),IF(Payroll_Register!$C$3="2nd Half",1,0))))/IF(IFERROR(Employee_Master!P46,"")="Weekly",4.33,IF(IFERROR(Employee_Master!P46,"")="Monthly",1,IF(Payroll_Register!$K$3="Every Period",2,1)))),0)</f>
        <v>0</v>
      </c>
      <c r="X48" s="82">
        <f t="shared" si="11"/>
        <v>0</v>
      </c>
      <c r="Y48" s="82">
        <f t="shared" si="12"/>
        <v>0</v>
      </c>
      <c r="Z48" s="82">
        <f t="shared" si="13"/>
        <v>0</v>
      </c>
    </row>
    <row r="49" spans="1:26" ht="19.5" customHeight="1" x14ac:dyDescent="0.25">
      <c r="A49" s="47" t="s">
        <v>119</v>
      </c>
      <c r="B49" s="83" t="str">
        <f>Employee_Master!B47</f>
        <v>EMP-044</v>
      </c>
      <c r="C49" s="84">
        <f>Employee_Master!C47</f>
        <v>0</v>
      </c>
      <c r="D49" s="85">
        <f>Employee_Master!H47</f>
        <v>0</v>
      </c>
      <c r="E49" s="41">
        <f>IFERROR(IF(IFERROR(Employee_Master!P47,"")="Weekly",5,IF(IFERROR(Employee_Master!P47,"")="Monthly",22,11)),0)</f>
        <v>11</v>
      </c>
      <c r="F49" s="48">
        <f>IFERROR(Employee_Master!I47*E49,0)</f>
        <v>0</v>
      </c>
      <c r="G49" s="78">
        <f>IFERROR(IF(D49=0,0,VLOOKUP(D49,SSS_Table!$B$4:$D$64,3,TRUE())*IF(IFERROR(Employee_Master!P47,"")&lt;&gt;"Semi-Monthly",1,IF(Payroll_Register!$K$3="Every Period",1,IF(Payroll_Register!$K$3="1st Half",IF(Payroll_Register!$C$3="1st Half",1,0),IF(Payroll_Register!$C$3="2nd Half",1,0))))/IF(IFERROR(Employee_Master!P47,"")="Weekly",4.33,IF(IFERROR(Employee_Master!P47,"")="Monthly",1,IF(Payroll_Register!$K$3="Every Period",2,1)))),0)</f>
        <v>0</v>
      </c>
      <c r="H49" s="78">
        <f>IFERROR(IF(D49=0,0,MIN(MAX(D49*0.025,250),2500)*IF(IFERROR(Employee_Master!P47,"")&lt;&gt;"Semi-Monthly",1,IF(Payroll_Register!$K$3="Every Period",1,IF(Payroll_Register!$K$3="1st Half",IF(Payroll_Register!$C$3="1st Half",1,0),IF(Payroll_Register!$C$3="2nd Half",1,0))))/IF(IFERROR(Employee_Master!P47,"")="Weekly",4.33,IF(IFERROR(Employee_Master!P47,"")="Monthly",1,IF(Payroll_Register!$K$3="Every Period",2,1)))),0)</f>
        <v>0</v>
      </c>
      <c r="I49" s="78">
        <f>IFERROR(IF(D49=0,0,MIN(D49*0.02,200)*IF(IFERROR(Employee_Master!P47,"")&lt;&gt;"Semi-Monthly",1,IF(Payroll_Register!$K$3="Every Period",1,IF(Payroll_Register!$K$3="1st Half",IF(Payroll_Register!$C$3="1st Half",1,0),IF(Payroll_Register!$C$3="2nd Half",1,0))))/IF(IFERROR(Employee_Master!P47,"")="Weekly",4.33,IF(IFERROR(Employee_Master!P47,"")="Monthly",1,IF(Payroll_Register!$K$3="Every Period",2,1)))),0)</f>
        <v>0</v>
      </c>
      <c r="J49" s="45">
        <f>IFERROR(Attendance_Register!Q50,0)</f>
        <v>0</v>
      </c>
      <c r="K49" s="45">
        <v>0</v>
      </c>
      <c r="L49" s="48">
        <f t="shared" si="7"/>
        <v>0</v>
      </c>
      <c r="M49" s="78">
        <f t="shared" si="8"/>
        <v>0</v>
      </c>
      <c r="N49" s="48">
        <f t="shared" si="9"/>
        <v>0</v>
      </c>
      <c r="O49" s="78">
        <f>IFERROR(IF(D49=0,0,IF(N49&lt;=0,0,IF(N49*IF(IFERROR(Employee_Master!P47,"")="Weekly",0.5,IF(IFERROR(Employee_Master!P47,"")="Monthly",2,1))&lt;=10416.67,0,IF(N49*IF(IFERROR(Employee_Master!P47,"")="Weekly",0.5,IF(IFERROR(Employee_Master!P47,"")="Monthly",2,1))&lt;=16666.67,(N49*IF(IFERROR(Employee_Master!P47,"")="Weekly",0.5,IF(IFERROR(Employee_Master!P47,"")="Monthly",2,1))-10416.67)*0.15,IF(N49*IF(IFERROR(Employee_Master!P47,"")="Weekly",0.5,IF(IFERROR(Employee_Master!P47,"")="Monthly",2,1))&lt;=33333.33,937.5+(N49*IF(IFERROR(Employee_Master!P47,"")="Weekly",0.5,IF(IFERROR(Employee_Master!P47,"")="Monthly",2,1))-16666.67)*0.2,IF(N49*IF(IFERROR(Employee_Master!P47,"")="Weekly",0.5,IF(IFERROR(Employee_Master!P47,"")="Monthly",2,1))&lt;=83333.33,4270.83+(N49*IF(IFERROR(Employee_Master!P47,"")="Weekly",0.5,IF(IFERROR(Employee_Master!P47,"")="Monthly",2,1))-33333.33)*0.25,IF(N49*IF(IFERROR(Employee_Master!P47,"")="Weekly",0.5,IF(IFERROR(Employee_Master!P47,"")="Monthly",2,1))&lt;=333333.33,16770.83+(N49*IF(IFERROR(Employee_Master!P47,"")="Weekly",0.5,IF(IFERROR(Employee_Master!P47,"")="Monthly",2,1))-83333.33)*0.3,91770.83+(N49*IF(IFERROR(Employee_Master!P47,"")="Weekly",0.5,IF(IFERROR(Employee_Master!P47,"")="Monthly",2,1))-333333.33)*0.35))))))/IF(IFERROR(Employee_Master!P47,"")="Weekly",0.5,IF(IFERROR(Employee_Master!P47,"")="Monthly",2,1))),0)</f>
        <v>0</v>
      </c>
      <c r="P49" s="48">
        <f>IFERROR(IF(D49=0,0,D49/12/IF(IFERROR(Employee_Master!P47,"")="Weekly",4.33,IF(IFERROR(Employee_Master!P47,"")="Monthly",1,2))),0)</f>
        <v>0</v>
      </c>
      <c r="Q49" s="45">
        <v>0</v>
      </c>
      <c r="R49" s="79">
        <v>0</v>
      </c>
      <c r="S49" s="80">
        <f>IFERROR(Employee_Master!I47*R49*2,0)</f>
        <v>0</v>
      </c>
      <c r="T49" s="79">
        <v>0</v>
      </c>
      <c r="U49" s="80">
        <f>IFERROR(Employee_Master!I47*T49*0.3,0)</f>
        <v>0</v>
      </c>
      <c r="V49" s="81">
        <f t="shared" si="10"/>
        <v>0</v>
      </c>
      <c r="W49" s="82">
        <f>IFERROR(IF(D49=0,0,VLOOKUP(D49,SSS_Table!$B$4:$E$64,4,TRUE())*IF(IFERROR(Employee_Master!P47,"")&lt;&gt;"Semi-Monthly",1,IF(Payroll_Register!$K$3="Every Period",1,IF(Payroll_Register!$K$3="1st Half",IF(Payroll_Register!$C$3="1st Half",1,0),IF(Payroll_Register!$C$3="2nd Half",1,0))))/IF(IFERROR(Employee_Master!P47,"")="Weekly",4.33,IF(IFERROR(Employee_Master!P47,"")="Monthly",1,IF(Payroll_Register!$K$3="Every Period",2,1)))),0)</f>
        <v>0</v>
      </c>
      <c r="X49" s="82">
        <f t="shared" si="11"/>
        <v>0</v>
      </c>
      <c r="Y49" s="82">
        <f t="shared" si="12"/>
        <v>0</v>
      </c>
      <c r="Z49" s="82">
        <f t="shared" si="13"/>
        <v>0</v>
      </c>
    </row>
    <row r="50" spans="1:26" ht="19.5" customHeight="1" x14ac:dyDescent="0.25">
      <c r="A50" s="40" t="s">
        <v>120</v>
      </c>
      <c r="B50" s="75" t="str">
        <f>Employee_Master!B48</f>
        <v>EMP-045</v>
      </c>
      <c r="C50" s="76">
        <f>Employee_Master!C48</f>
        <v>0</v>
      </c>
      <c r="D50" s="77">
        <f>Employee_Master!H48</f>
        <v>0</v>
      </c>
      <c r="E50" s="41">
        <f>IFERROR(IF(IFERROR(Employee_Master!P48,"")="Weekly",5,IF(IFERROR(Employee_Master!P48,"")="Monthly",22,11)),0)</f>
        <v>11</v>
      </c>
      <c r="F50" s="46">
        <f>IFERROR(Employee_Master!I48*E50,0)</f>
        <v>0</v>
      </c>
      <c r="G50" s="78">
        <f>IFERROR(IF(D50=0,0,VLOOKUP(D50,SSS_Table!$B$4:$D$64,3,TRUE())*IF(IFERROR(Employee_Master!P48,"")&lt;&gt;"Semi-Monthly",1,IF(Payroll_Register!$K$3="Every Period",1,IF(Payroll_Register!$K$3="1st Half",IF(Payroll_Register!$C$3="1st Half",1,0),IF(Payroll_Register!$C$3="2nd Half",1,0))))/IF(IFERROR(Employee_Master!P48,"")="Weekly",4.33,IF(IFERROR(Employee_Master!P48,"")="Monthly",1,IF(Payroll_Register!$K$3="Every Period",2,1)))),0)</f>
        <v>0</v>
      </c>
      <c r="H50" s="78">
        <f>IFERROR(IF(D50=0,0,MIN(MAX(D50*0.025,250),2500)*IF(IFERROR(Employee_Master!P48,"")&lt;&gt;"Semi-Monthly",1,IF(Payroll_Register!$K$3="Every Period",1,IF(Payroll_Register!$K$3="1st Half",IF(Payroll_Register!$C$3="1st Half",1,0),IF(Payroll_Register!$C$3="2nd Half",1,0))))/IF(IFERROR(Employee_Master!P48,"")="Weekly",4.33,IF(IFERROR(Employee_Master!P48,"")="Monthly",1,IF(Payroll_Register!$K$3="Every Period",2,1)))),0)</f>
        <v>0</v>
      </c>
      <c r="I50" s="78">
        <f>IFERROR(IF(D50=0,0,MIN(D50*0.02,200)*IF(IFERROR(Employee_Master!P48,"")&lt;&gt;"Semi-Monthly",1,IF(Payroll_Register!$K$3="Every Period",1,IF(Payroll_Register!$K$3="1st Half",IF(Payroll_Register!$C$3="1st Half",1,0),IF(Payroll_Register!$C$3="2nd Half",1,0))))/IF(IFERROR(Employee_Master!P48,"")="Weekly",4.33,IF(IFERROR(Employee_Master!P48,"")="Monthly",1,IF(Payroll_Register!$K$3="Every Period",2,1)))),0)</f>
        <v>0</v>
      </c>
      <c r="J50" s="45">
        <f>IFERROR(Attendance_Register!Q51,0)</f>
        <v>0</v>
      </c>
      <c r="K50" s="45">
        <v>0</v>
      </c>
      <c r="L50" s="46">
        <f t="shared" si="7"/>
        <v>0</v>
      </c>
      <c r="M50" s="78">
        <f t="shared" si="8"/>
        <v>0</v>
      </c>
      <c r="N50" s="46">
        <f t="shared" si="9"/>
        <v>0</v>
      </c>
      <c r="O50" s="78">
        <f>IFERROR(IF(D50=0,0,IF(N50&lt;=0,0,IF(N50*IF(IFERROR(Employee_Master!P48,"")="Weekly",0.5,IF(IFERROR(Employee_Master!P48,"")="Monthly",2,1))&lt;=10416.67,0,IF(N50*IF(IFERROR(Employee_Master!P48,"")="Weekly",0.5,IF(IFERROR(Employee_Master!P48,"")="Monthly",2,1))&lt;=16666.67,(N50*IF(IFERROR(Employee_Master!P48,"")="Weekly",0.5,IF(IFERROR(Employee_Master!P48,"")="Monthly",2,1))-10416.67)*0.15,IF(N50*IF(IFERROR(Employee_Master!P48,"")="Weekly",0.5,IF(IFERROR(Employee_Master!P48,"")="Monthly",2,1))&lt;=33333.33,937.5+(N50*IF(IFERROR(Employee_Master!P48,"")="Weekly",0.5,IF(IFERROR(Employee_Master!P48,"")="Monthly",2,1))-16666.67)*0.2,IF(N50*IF(IFERROR(Employee_Master!P48,"")="Weekly",0.5,IF(IFERROR(Employee_Master!P48,"")="Monthly",2,1))&lt;=83333.33,4270.83+(N50*IF(IFERROR(Employee_Master!P48,"")="Weekly",0.5,IF(IFERROR(Employee_Master!P48,"")="Monthly",2,1))-33333.33)*0.25,IF(N50*IF(IFERROR(Employee_Master!P48,"")="Weekly",0.5,IF(IFERROR(Employee_Master!P48,"")="Monthly",2,1))&lt;=333333.33,16770.83+(N50*IF(IFERROR(Employee_Master!P48,"")="Weekly",0.5,IF(IFERROR(Employee_Master!P48,"")="Monthly",2,1))-83333.33)*0.3,91770.83+(N50*IF(IFERROR(Employee_Master!P48,"")="Weekly",0.5,IF(IFERROR(Employee_Master!P48,"")="Monthly",2,1))-333333.33)*0.35))))))/IF(IFERROR(Employee_Master!P48,"")="Weekly",0.5,IF(IFERROR(Employee_Master!P48,"")="Monthly",2,1))),0)</f>
        <v>0</v>
      </c>
      <c r="P50" s="46">
        <f>IFERROR(IF(D50=0,0,D50/12/IF(IFERROR(Employee_Master!P48,"")="Weekly",4.33,IF(IFERROR(Employee_Master!P48,"")="Monthly",1,2))),0)</f>
        <v>0</v>
      </c>
      <c r="Q50" s="45">
        <v>0</v>
      </c>
      <c r="R50" s="79">
        <v>0</v>
      </c>
      <c r="S50" s="80">
        <f>IFERROR(Employee_Master!I48*R50*2,0)</f>
        <v>0</v>
      </c>
      <c r="T50" s="79">
        <v>0</v>
      </c>
      <c r="U50" s="80">
        <f>IFERROR(Employee_Master!I48*T50*0.3,0)</f>
        <v>0</v>
      </c>
      <c r="V50" s="81">
        <f t="shared" si="10"/>
        <v>0</v>
      </c>
      <c r="W50" s="82">
        <f>IFERROR(IF(D50=0,0,VLOOKUP(D50,SSS_Table!$B$4:$E$64,4,TRUE())*IF(IFERROR(Employee_Master!P48,"")&lt;&gt;"Semi-Monthly",1,IF(Payroll_Register!$K$3="Every Period",1,IF(Payroll_Register!$K$3="1st Half",IF(Payroll_Register!$C$3="1st Half",1,0),IF(Payroll_Register!$C$3="2nd Half",1,0))))/IF(IFERROR(Employee_Master!P48,"")="Weekly",4.33,IF(IFERROR(Employee_Master!P48,"")="Monthly",1,IF(Payroll_Register!$K$3="Every Period",2,1)))),0)</f>
        <v>0</v>
      </c>
      <c r="X50" s="82">
        <f t="shared" si="11"/>
        <v>0</v>
      </c>
      <c r="Y50" s="82">
        <f t="shared" si="12"/>
        <v>0</v>
      </c>
      <c r="Z50" s="82">
        <f t="shared" si="13"/>
        <v>0</v>
      </c>
    </row>
    <row r="51" spans="1:26" ht="19.5" customHeight="1" x14ac:dyDescent="0.25">
      <c r="A51" s="47" t="s">
        <v>121</v>
      </c>
      <c r="B51" s="83" t="str">
        <f>Employee_Master!B49</f>
        <v>EMP-046</v>
      </c>
      <c r="C51" s="84">
        <f>Employee_Master!C49</f>
        <v>0</v>
      </c>
      <c r="D51" s="85">
        <f>Employee_Master!H49</f>
        <v>0</v>
      </c>
      <c r="E51" s="41">
        <f>IFERROR(IF(IFERROR(Employee_Master!P49,"")="Weekly",5,IF(IFERROR(Employee_Master!P49,"")="Monthly",22,11)),0)</f>
        <v>11</v>
      </c>
      <c r="F51" s="48">
        <f>IFERROR(Employee_Master!I49*E51,0)</f>
        <v>0</v>
      </c>
      <c r="G51" s="78">
        <f>IFERROR(IF(D51=0,0,VLOOKUP(D51,SSS_Table!$B$4:$D$64,3,TRUE())*IF(IFERROR(Employee_Master!P49,"")&lt;&gt;"Semi-Monthly",1,IF(Payroll_Register!$K$3="Every Period",1,IF(Payroll_Register!$K$3="1st Half",IF(Payroll_Register!$C$3="1st Half",1,0),IF(Payroll_Register!$C$3="2nd Half",1,0))))/IF(IFERROR(Employee_Master!P49,"")="Weekly",4.33,IF(IFERROR(Employee_Master!P49,"")="Monthly",1,IF(Payroll_Register!$K$3="Every Period",2,1)))),0)</f>
        <v>0</v>
      </c>
      <c r="H51" s="78">
        <f>IFERROR(IF(D51=0,0,MIN(MAX(D51*0.025,250),2500)*IF(IFERROR(Employee_Master!P49,"")&lt;&gt;"Semi-Monthly",1,IF(Payroll_Register!$K$3="Every Period",1,IF(Payroll_Register!$K$3="1st Half",IF(Payroll_Register!$C$3="1st Half",1,0),IF(Payroll_Register!$C$3="2nd Half",1,0))))/IF(IFERROR(Employee_Master!P49,"")="Weekly",4.33,IF(IFERROR(Employee_Master!P49,"")="Monthly",1,IF(Payroll_Register!$K$3="Every Period",2,1)))),0)</f>
        <v>0</v>
      </c>
      <c r="I51" s="78">
        <f>IFERROR(IF(D51=0,0,MIN(D51*0.02,200)*IF(IFERROR(Employee_Master!P49,"")&lt;&gt;"Semi-Monthly",1,IF(Payroll_Register!$K$3="Every Period",1,IF(Payroll_Register!$K$3="1st Half",IF(Payroll_Register!$C$3="1st Half",1,0),IF(Payroll_Register!$C$3="2nd Half",1,0))))/IF(IFERROR(Employee_Master!P49,"")="Weekly",4.33,IF(IFERROR(Employee_Master!P49,"")="Monthly",1,IF(Payroll_Register!$K$3="Every Period",2,1)))),0)</f>
        <v>0</v>
      </c>
      <c r="J51" s="45">
        <f>IFERROR(Attendance_Register!Q52,0)</f>
        <v>0</v>
      </c>
      <c r="K51" s="45">
        <v>0</v>
      </c>
      <c r="L51" s="48">
        <f t="shared" si="7"/>
        <v>0</v>
      </c>
      <c r="M51" s="78">
        <f t="shared" si="8"/>
        <v>0</v>
      </c>
      <c r="N51" s="48">
        <f t="shared" si="9"/>
        <v>0</v>
      </c>
      <c r="O51" s="78">
        <f>IFERROR(IF(D51=0,0,IF(N51&lt;=0,0,IF(N51*IF(IFERROR(Employee_Master!P49,"")="Weekly",0.5,IF(IFERROR(Employee_Master!P49,"")="Monthly",2,1))&lt;=10416.67,0,IF(N51*IF(IFERROR(Employee_Master!P49,"")="Weekly",0.5,IF(IFERROR(Employee_Master!P49,"")="Monthly",2,1))&lt;=16666.67,(N51*IF(IFERROR(Employee_Master!P49,"")="Weekly",0.5,IF(IFERROR(Employee_Master!P49,"")="Monthly",2,1))-10416.67)*0.15,IF(N51*IF(IFERROR(Employee_Master!P49,"")="Weekly",0.5,IF(IFERROR(Employee_Master!P49,"")="Monthly",2,1))&lt;=33333.33,937.5+(N51*IF(IFERROR(Employee_Master!P49,"")="Weekly",0.5,IF(IFERROR(Employee_Master!P49,"")="Monthly",2,1))-16666.67)*0.2,IF(N51*IF(IFERROR(Employee_Master!P49,"")="Weekly",0.5,IF(IFERROR(Employee_Master!P49,"")="Monthly",2,1))&lt;=83333.33,4270.83+(N51*IF(IFERROR(Employee_Master!P49,"")="Weekly",0.5,IF(IFERROR(Employee_Master!P49,"")="Monthly",2,1))-33333.33)*0.25,IF(N51*IF(IFERROR(Employee_Master!P49,"")="Weekly",0.5,IF(IFERROR(Employee_Master!P49,"")="Monthly",2,1))&lt;=333333.33,16770.83+(N51*IF(IFERROR(Employee_Master!P49,"")="Weekly",0.5,IF(IFERROR(Employee_Master!P49,"")="Monthly",2,1))-83333.33)*0.3,91770.83+(N51*IF(IFERROR(Employee_Master!P49,"")="Weekly",0.5,IF(IFERROR(Employee_Master!P49,"")="Monthly",2,1))-333333.33)*0.35))))))/IF(IFERROR(Employee_Master!P49,"")="Weekly",0.5,IF(IFERROR(Employee_Master!P49,"")="Monthly",2,1))),0)</f>
        <v>0</v>
      </c>
      <c r="P51" s="48">
        <f>IFERROR(IF(D51=0,0,D51/12/IF(IFERROR(Employee_Master!P49,"")="Weekly",4.33,IF(IFERROR(Employee_Master!P49,"")="Monthly",1,2))),0)</f>
        <v>0</v>
      </c>
      <c r="Q51" s="45">
        <v>0</v>
      </c>
      <c r="R51" s="79">
        <v>0</v>
      </c>
      <c r="S51" s="80">
        <f>IFERROR(Employee_Master!I49*R51*2,0)</f>
        <v>0</v>
      </c>
      <c r="T51" s="79">
        <v>0</v>
      </c>
      <c r="U51" s="80">
        <f>IFERROR(Employee_Master!I49*T51*0.3,0)</f>
        <v>0</v>
      </c>
      <c r="V51" s="81">
        <f t="shared" si="10"/>
        <v>0</v>
      </c>
      <c r="W51" s="82">
        <f>IFERROR(IF(D51=0,0,VLOOKUP(D51,SSS_Table!$B$4:$E$64,4,TRUE())*IF(IFERROR(Employee_Master!P49,"")&lt;&gt;"Semi-Monthly",1,IF(Payroll_Register!$K$3="Every Period",1,IF(Payroll_Register!$K$3="1st Half",IF(Payroll_Register!$C$3="1st Half",1,0),IF(Payroll_Register!$C$3="2nd Half",1,0))))/IF(IFERROR(Employee_Master!P49,"")="Weekly",4.33,IF(IFERROR(Employee_Master!P49,"")="Monthly",1,IF(Payroll_Register!$K$3="Every Period",2,1)))),0)</f>
        <v>0</v>
      </c>
      <c r="X51" s="82">
        <f t="shared" si="11"/>
        <v>0</v>
      </c>
      <c r="Y51" s="82">
        <f t="shared" si="12"/>
        <v>0</v>
      </c>
      <c r="Z51" s="82">
        <f t="shared" si="13"/>
        <v>0</v>
      </c>
    </row>
    <row r="52" spans="1:26" ht="19.5" customHeight="1" x14ac:dyDescent="0.25">
      <c r="A52" s="40" t="s">
        <v>122</v>
      </c>
      <c r="B52" s="75" t="str">
        <f>Employee_Master!B50</f>
        <v>EMP-047</v>
      </c>
      <c r="C52" s="76">
        <f>Employee_Master!C50</f>
        <v>0</v>
      </c>
      <c r="D52" s="77">
        <f>Employee_Master!H50</f>
        <v>0</v>
      </c>
      <c r="E52" s="41">
        <f>IFERROR(IF(IFERROR(Employee_Master!P50,"")="Weekly",5,IF(IFERROR(Employee_Master!P50,"")="Monthly",22,11)),0)</f>
        <v>11</v>
      </c>
      <c r="F52" s="46">
        <f>IFERROR(Employee_Master!I50*E52,0)</f>
        <v>0</v>
      </c>
      <c r="G52" s="78">
        <f>IFERROR(IF(D52=0,0,VLOOKUP(D52,SSS_Table!$B$4:$D$64,3,TRUE())*IF(IFERROR(Employee_Master!P50,"")&lt;&gt;"Semi-Monthly",1,IF(Payroll_Register!$K$3="Every Period",1,IF(Payroll_Register!$K$3="1st Half",IF(Payroll_Register!$C$3="1st Half",1,0),IF(Payroll_Register!$C$3="2nd Half",1,0))))/IF(IFERROR(Employee_Master!P50,"")="Weekly",4.33,IF(IFERROR(Employee_Master!P50,"")="Monthly",1,IF(Payroll_Register!$K$3="Every Period",2,1)))),0)</f>
        <v>0</v>
      </c>
      <c r="H52" s="78">
        <f>IFERROR(IF(D52=0,0,MIN(MAX(D52*0.025,250),2500)*IF(IFERROR(Employee_Master!P50,"")&lt;&gt;"Semi-Monthly",1,IF(Payroll_Register!$K$3="Every Period",1,IF(Payroll_Register!$K$3="1st Half",IF(Payroll_Register!$C$3="1st Half",1,0),IF(Payroll_Register!$C$3="2nd Half",1,0))))/IF(IFERROR(Employee_Master!P50,"")="Weekly",4.33,IF(IFERROR(Employee_Master!P50,"")="Monthly",1,IF(Payroll_Register!$K$3="Every Period",2,1)))),0)</f>
        <v>0</v>
      </c>
      <c r="I52" s="78">
        <f>IFERROR(IF(D52=0,0,MIN(D52*0.02,200)*IF(IFERROR(Employee_Master!P50,"")&lt;&gt;"Semi-Monthly",1,IF(Payroll_Register!$K$3="Every Period",1,IF(Payroll_Register!$K$3="1st Half",IF(Payroll_Register!$C$3="1st Half",1,0),IF(Payroll_Register!$C$3="2nd Half",1,0))))/IF(IFERROR(Employee_Master!P50,"")="Weekly",4.33,IF(IFERROR(Employee_Master!P50,"")="Monthly",1,IF(Payroll_Register!$K$3="Every Period",2,1)))),0)</f>
        <v>0</v>
      </c>
      <c r="J52" s="45">
        <f>IFERROR(Attendance_Register!Q53,0)</f>
        <v>0</v>
      </c>
      <c r="K52" s="45">
        <v>0</v>
      </c>
      <c r="L52" s="46">
        <f t="shared" si="7"/>
        <v>0</v>
      </c>
      <c r="M52" s="78">
        <f t="shared" si="8"/>
        <v>0</v>
      </c>
      <c r="N52" s="46">
        <f t="shared" si="9"/>
        <v>0</v>
      </c>
      <c r="O52" s="78">
        <f>IFERROR(IF(D52=0,0,IF(N52&lt;=0,0,IF(N52*IF(IFERROR(Employee_Master!P50,"")="Weekly",0.5,IF(IFERROR(Employee_Master!P50,"")="Monthly",2,1))&lt;=10416.67,0,IF(N52*IF(IFERROR(Employee_Master!P50,"")="Weekly",0.5,IF(IFERROR(Employee_Master!P50,"")="Monthly",2,1))&lt;=16666.67,(N52*IF(IFERROR(Employee_Master!P50,"")="Weekly",0.5,IF(IFERROR(Employee_Master!P50,"")="Monthly",2,1))-10416.67)*0.15,IF(N52*IF(IFERROR(Employee_Master!P50,"")="Weekly",0.5,IF(IFERROR(Employee_Master!P50,"")="Monthly",2,1))&lt;=33333.33,937.5+(N52*IF(IFERROR(Employee_Master!P50,"")="Weekly",0.5,IF(IFERROR(Employee_Master!P50,"")="Monthly",2,1))-16666.67)*0.2,IF(N52*IF(IFERROR(Employee_Master!P50,"")="Weekly",0.5,IF(IFERROR(Employee_Master!P50,"")="Monthly",2,1))&lt;=83333.33,4270.83+(N52*IF(IFERROR(Employee_Master!P50,"")="Weekly",0.5,IF(IFERROR(Employee_Master!P50,"")="Monthly",2,1))-33333.33)*0.25,IF(N52*IF(IFERROR(Employee_Master!P50,"")="Weekly",0.5,IF(IFERROR(Employee_Master!P50,"")="Monthly",2,1))&lt;=333333.33,16770.83+(N52*IF(IFERROR(Employee_Master!P50,"")="Weekly",0.5,IF(IFERROR(Employee_Master!P50,"")="Monthly",2,1))-83333.33)*0.3,91770.83+(N52*IF(IFERROR(Employee_Master!P50,"")="Weekly",0.5,IF(IFERROR(Employee_Master!P50,"")="Monthly",2,1))-333333.33)*0.35))))))/IF(IFERROR(Employee_Master!P50,"")="Weekly",0.5,IF(IFERROR(Employee_Master!P50,"")="Monthly",2,1))),0)</f>
        <v>0</v>
      </c>
      <c r="P52" s="46">
        <f>IFERROR(IF(D52=0,0,D52/12/IF(IFERROR(Employee_Master!P50,"")="Weekly",4.33,IF(IFERROR(Employee_Master!P50,"")="Monthly",1,2))),0)</f>
        <v>0</v>
      </c>
      <c r="Q52" s="45">
        <v>0</v>
      </c>
      <c r="R52" s="79">
        <v>0</v>
      </c>
      <c r="S52" s="80">
        <f>IFERROR(Employee_Master!I50*R52*2,0)</f>
        <v>0</v>
      </c>
      <c r="T52" s="79">
        <v>0</v>
      </c>
      <c r="U52" s="80">
        <f>IFERROR(Employee_Master!I50*T52*0.3,0)</f>
        <v>0</v>
      </c>
      <c r="V52" s="81">
        <f t="shared" si="10"/>
        <v>0</v>
      </c>
      <c r="W52" s="82">
        <f>IFERROR(IF(D52=0,0,VLOOKUP(D52,SSS_Table!$B$4:$E$64,4,TRUE())*IF(IFERROR(Employee_Master!P50,"")&lt;&gt;"Semi-Monthly",1,IF(Payroll_Register!$K$3="Every Period",1,IF(Payroll_Register!$K$3="1st Half",IF(Payroll_Register!$C$3="1st Half",1,0),IF(Payroll_Register!$C$3="2nd Half",1,0))))/IF(IFERROR(Employee_Master!P50,"")="Weekly",4.33,IF(IFERROR(Employee_Master!P50,"")="Monthly",1,IF(Payroll_Register!$K$3="Every Period",2,1)))),0)</f>
        <v>0</v>
      </c>
      <c r="X52" s="82">
        <f t="shared" si="11"/>
        <v>0</v>
      </c>
      <c r="Y52" s="82">
        <f t="shared" si="12"/>
        <v>0</v>
      </c>
      <c r="Z52" s="82">
        <f t="shared" si="13"/>
        <v>0</v>
      </c>
    </row>
    <row r="53" spans="1:26" ht="19.5" customHeight="1" x14ac:dyDescent="0.25">
      <c r="A53" s="47" t="s">
        <v>123</v>
      </c>
      <c r="B53" s="83" t="str">
        <f>Employee_Master!B51</f>
        <v>EMP-048</v>
      </c>
      <c r="C53" s="84">
        <f>Employee_Master!C51</f>
        <v>0</v>
      </c>
      <c r="D53" s="85">
        <f>Employee_Master!H51</f>
        <v>0</v>
      </c>
      <c r="E53" s="41">
        <f>IFERROR(IF(IFERROR(Employee_Master!P51,"")="Weekly",5,IF(IFERROR(Employee_Master!P51,"")="Monthly",22,11)),0)</f>
        <v>11</v>
      </c>
      <c r="F53" s="48">
        <f>IFERROR(Employee_Master!I51*E53,0)</f>
        <v>0</v>
      </c>
      <c r="G53" s="78">
        <f>IFERROR(IF(D53=0,0,VLOOKUP(D53,SSS_Table!$B$4:$D$64,3,TRUE())*IF(IFERROR(Employee_Master!P51,"")&lt;&gt;"Semi-Monthly",1,IF(Payroll_Register!$K$3="Every Period",1,IF(Payroll_Register!$K$3="1st Half",IF(Payroll_Register!$C$3="1st Half",1,0),IF(Payroll_Register!$C$3="2nd Half",1,0))))/IF(IFERROR(Employee_Master!P51,"")="Weekly",4.33,IF(IFERROR(Employee_Master!P51,"")="Monthly",1,IF(Payroll_Register!$K$3="Every Period",2,1)))),0)</f>
        <v>0</v>
      </c>
      <c r="H53" s="78">
        <f>IFERROR(IF(D53=0,0,MIN(MAX(D53*0.025,250),2500)*IF(IFERROR(Employee_Master!P51,"")&lt;&gt;"Semi-Monthly",1,IF(Payroll_Register!$K$3="Every Period",1,IF(Payroll_Register!$K$3="1st Half",IF(Payroll_Register!$C$3="1st Half",1,0),IF(Payroll_Register!$C$3="2nd Half",1,0))))/IF(IFERROR(Employee_Master!P51,"")="Weekly",4.33,IF(IFERROR(Employee_Master!P51,"")="Monthly",1,IF(Payroll_Register!$K$3="Every Period",2,1)))),0)</f>
        <v>0</v>
      </c>
      <c r="I53" s="78">
        <f>IFERROR(IF(D53=0,0,MIN(D53*0.02,200)*IF(IFERROR(Employee_Master!P51,"")&lt;&gt;"Semi-Monthly",1,IF(Payroll_Register!$K$3="Every Period",1,IF(Payroll_Register!$K$3="1st Half",IF(Payroll_Register!$C$3="1st Half",1,0),IF(Payroll_Register!$C$3="2nd Half",1,0))))/IF(IFERROR(Employee_Master!P51,"")="Weekly",4.33,IF(IFERROR(Employee_Master!P51,"")="Monthly",1,IF(Payroll_Register!$K$3="Every Period",2,1)))),0)</f>
        <v>0</v>
      </c>
      <c r="J53" s="45">
        <f>IFERROR(Attendance_Register!Q54,0)</f>
        <v>0</v>
      </c>
      <c r="K53" s="45">
        <v>0</v>
      </c>
      <c r="L53" s="48">
        <f t="shared" si="7"/>
        <v>0</v>
      </c>
      <c r="M53" s="78">
        <f t="shared" si="8"/>
        <v>0</v>
      </c>
      <c r="N53" s="48">
        <f t="shared" si="9"/>
        <v>0</v>
      </c>
      <c r="O53" s="78">
        <f>IFERROR(IF(D53=0,0,IF(N53&lt;=0,0,IF(N53*IF(IFERROR(Employee_Master!P51,"")="Weekly",0.5,IF(IFERROR(Employee_Master!P51,"")="Monthly",2,1))&lt;=10416.67,0,IF(N53*IF(IFERROR(Employee_Master!P51,"")="Weekly",0.5,IF(IFERROR(Employee_Master!P51,"")="Monthly",2,1))&lt;=16666.67,(N53*IF(IFERROR(Employee_Master!P51,"")="Weekly",0.5,IF(IFERROR(Employee_Master!P51,"")="Monthly",2,1))-10416.67)*0.15,IF(N53*IF(IFERROR(Employee_Master!P51,"")="Weekly",0.5,IF(IFERROR(Employee_Master!P51,"")="Monthly",2,1))&lt;=33333.33,937.5+(N53*IF(IFERROR(Employee_Master!P51,"")="Weekly",0.5,IF(IFERROR(Employee_Master!P51,"")="Monthly",2,1))-16666.67)*0.2,IF(N53*IF(IFERROR(Employee_Master!P51,"")="Weekly",0.5,IF(IFERROR(Employee_Master!P51,"")="Monthly",2,1))&lt;=83333.33,4270.83+(N53*IF(IFERROR(Employee_Master!P51,"")="Weekly",0.5,IF(IFERROR(Employee_Master!P51,"")="Monthly",2,1))-33333.33)*0.25,IF(N53*IF(IFERROR(Employee_Master!P51,"")="Weekly",0.5,IF(IFERROR(Employee_Master!P51,"")="Monthly",2,1))&lt;=333333.33,16770.83+(N53*IF(IFERROR(Employee_Master!P51,"")="Weekly",0.5,IF(IFERROR(Employee_Master!P51,"")="Monthly",2,1))-83333.33)*0.3,91770.83+(N53*IF(IFERROR(Employee_Master!P51,"")="Weekly",0.5,IF(IFERROR(Employee_Master!P51,"")="Monthly",2,1))-333333.33)*0.35))))))/IF(IFERROR(Employee_Master!P51,"")="Weekly",0.5,IF(IFERROR(Employee_Master!P51,"")="Monthly",2,1))),0)</f>
        <v>0</v>
      </c>
      <c r="P53" s="48">
        <f>IFERROR(IF(D53=0,0,D53/12/IF(IFERROR(Employee_Master!P51,"")="Weekly",4.33,IF(IFERROR(Employee_Master!P51,"")="Monthly",1,2))),0)</f>
        <v>0</v>
      </c>
      <c r="Q53" s="45">
        <v>0</v>
      </c>
      <c r="R53" s="79">
        <v>0</v>
      </c>
      <c r="S53" s="80">
        <f>IFERROR(Employee_Master!I51*R53*2,0)</f>
        <v>0</v>
      </c>
      <c r="T53" s="79">
        <v>0</v>
      </c>
      <c r="U53" s="80">
        <f>IFERROR(Employee_Master!I51*T53*0.3,0)</f>
        <v>0</v>
      </c>
      <c r="V53" s="81">
        <f t="shared" si="10"/>
        <v>0</v>
      </c>
      <c r="W53" s="82">
        <f>IFERROR(IF(D53=0,0,VLOOKUP(D53,SSS_Table!$B$4:$E$64,4,TRUE())*IF(IFERROR(Employee_Master!P51,"")&lt;&gt;"Semi-Monthly",1,IF(Payroll_Register!$K$3="Every Period",1,IF(Payroll_Register!$K$3="1st Half",IF(Payroll_Register!$C$3="1st Half",1,0),IF(Payroll_Register!$C$3="2nd Half",1,0))))/IF(IFERROR(Employee_Master!P51,"")="Weekly",4.33,IF(IFERROR(Employee_Master!P51,"")="Monthly",1,IF(Payroll_Register!$K$3="Every Period",2,1)))),0)</f>
        <v>0</v>
      </c>
      <c r="X53" s="82">
        <f t="shared" si="11"/>
        <v>0</v>
      </c>
      <c r="Y53" s="82">
        <f t="shared" si="12"/>
        <v>0</v>
      </c>
      <c r="Z53" s="82">
        <f t="shared" si="13"/>
        <v>0</v>
      </c>
    </row>
    <row r="54" spans="1:26" ht="19.5" customHeight="1" x14ac:dyDescent="0.25">
      <c r="A54" s="40" t="s">
        <v>124</v>
      </c>
      <c r="B54" s="75" t="str">
        <f>Employee_Master!B52</f>
        <v>EMP-049</v>
      </c>
      <c r="C54" s="76">
        <f>Employee_Master!C52</f>
        <v>0</v>
      </c>
      <c r="D54" s="77">
        <f>Employee_Master!H52</f>
        <v>0</v>
      </c>
      <c r="E54" s="41">
        <f>IFERROR(IF(IFERROR(Employee_Master!P52,"")="Weekly",5,IF(IFERROR(Employee_Master!P52,"")="Monthly",22,11)),0)</f>
        <v>11</v>
      </c>
      <c r="F54" s="46">
        <f>IFERROR(Employee_Master!I52*E54,0)</f>
        <v>0</v>
      </c>
      <c r="G54" s="78">
        <f>IFERROR(IF(D54=0,0,VLOOKUP(D54,SSS_Table!$B$4:$D$64,3,TRUE())*IF(IFERROR(Employee_Master!P52,"")&lt;&gt;"Semi-Monthly",1,IF(Payroll_Register!$K$3="Every Period",1,IF(Payroll_Register!$K$3="1st Half",IF(Payroll_Register!$C$3="1st Half",1,0),IF(Payroll_Register!$C$3="2nd Half",1,0))))/IF(IFERROR(Employee_Master!P52,"")="Weekly",4.33,IF(IFERROR(Employee_Master!P52,"")="Monthly",1,IF(Payroll_Register!$K$3="Every Period",2,1)))),0)</f>
        <v>0</v>
      </c>
      <c r="H54" s="78">
        <f>IFERROR(IF(D54=0,0,MIN(MAX(D54*0.025,250),2500)*IF(IFERROR(Employee_Master!P52,"")&lt;&gt;"Semi-Monthly",1,IF(Payroll_Register!$K$3="Every Period",1,IF(Payroll_Register!$K$3="1st Half",IF(Payroll_Register!$C$3="1st Half",1,0),IF(Payroll_Register!$C$3="2nd Half",1,0))))/IF(IFERROR(Employee_Master!P52,"")="Weekly",4.33,IF(IFERROR(Employee_Master!P52,"")="Monthly",1,IF(Payroll_Register!$K$3="Every Period",2,1)))),0)</f>
        <v>0</v>
      </c>
      <c r="I54" s="78">
        <f>IFERROR(IF(D54=0,0,MIN(D54*0.02,200)*IF(IFERROR(Employee_Master!P52,"")&lt;&gt;"Semi-Monthly",1,IF(Payroll_Register!$K$3="Every Period",1,IF(Payroll_Register!$K$3="1st Half",IF(Payroll_Register!$C$3="1st Half",1,0),IF(Payroll_Register!$C$3="2nd Half",1,0))))/IF(IFERROR(Employee_Master!P52,"")="Weekly",4.33,IF(IFERROR(Employee_Master!P52,"")="Monthly",1,IF(Payroll_Register!$K$3="Every Period",2,1)))),0)</f>
        <v>0</v>
      </c>
      <c r="J54" s="45">
        <f>IFERROR(Attendance_Register!Q55,0)</f>
        <v>0</v>
      </c>
      <c r="K54" s="45">
        <v>0</v>
      </c>
      <c r="L54" s="46">
        <f t="shared" si="7"/>
        <v>0</v>
      </c>
      <c r="M54" s="78">
        <f t="shared" si="8"/>
        <v>0</v>
      </c>
      <c r="N54" s="46">
        <f t="shared" si="9"/>
        <v>0</v>
      </c>
      <c r="O54" s="78">
        <f>IFERROR(IF(D54=0,0,IF(N54&lt;=0,0,IF(N54*IF(IFERROR(Employee_Master!P52,"")="Weekly",0.5,IF(IFERROR(Employee_Master!P52,"")="Monthly",2,1))&lt;=10416.67,0,IF(N54*IF(IFERROR(Employee_Master!P52,"")="Weekly",0.5,IF(IFERROR(Employee_Master!P52,"")="Monthly",2,1))&lt;=16666.67,(N54*IF(IFERROR(Employee_Master!P52,"")="Weekly",0.5,IF(IFERROR(Employee_Master!P52,"")="Monthly",2,1))-10416.67)*0.15,IF(N54*IF(IFERROR(Employee_Master!P52,"")="Weekly",0.5,IF(IFERROR(Employee_Master!P52,"")="Monthly",2,1))&lt;=33333.33,937.5+(N54*IF(IFERROR(Employee_Master!P52,"")="Weekly",0.5,IF(IFERROR(Employee_Master!P52,"")="Monthly",2,1))-16666.67)*0.2,IF(N54*IF(IFERROR(Employee_Master!P52,"")="Weekly",0.5,IF(IFERROR(Employee_Master!P52,"")="Monthly",2,1))&lt;=83333.33,4270.83+(N54*IF(IFERROR(Employee_Master!P52,"")="Weekly",0.5,IF(IFERROR(Employee_Master!P52,"")="Monthly",2,1))-33333.33)*0.25,IF(N54*IF(IFERROR(Employee_Master!P52,"")="Weekly",0.5,IF(IFERROR(Employee_Master!P52,"")="Monthly",2,1))&lt;=333333.33,16770.83+(N54*IF(IFERROR(Employee_Master!P52,"")="Weekly",0.5,IF(IFERROR(Employee_Master!P52,"")="Monthly",2,1))-83333.33)*0.3,91770.83+(N54*IF(IFERROR(Employee_Master!P52,"")="Weekly",0.5,IF(IFERROR(Employee_Master!P52,"")="Monthly",2,1))-333333.33)*0.35))))))/IF(IFERROR(Employee_Master!P52,"")="Weekly",0.5,IF(IFERROR(Employee_Master!P52,"")="Monthly",2,1))),0)</f>
        <v>0</v>
      </c>
      <c r="P54" s="46">
        <f>IFERROR(IF(D54=0,0,D54/12/IF(IFERROR(Employee_Master!P52,"")="Weekly",4.33,IF(IFERROR(Employee_Master!P52,"")="Monthly",1,2))),0)</f>
        <v>0</v>
      </c>
      <c r="Q54" s="45">
        <v>0</v>
      </c>
      <c r="R54" s="79">
        <v>0</v>
      </c>
      <c r="S54" s="80">
        <f>IFERROR(Employee_Master!I52*R54*2,0)</f>
        <v>0</v>
      </c>
      <c r="T54" s="79">
        <v>0</v>
      </c>
      <c r="U54" s="80">
        <f>IFERROR(Employee_Master!I52*T54*0.3,0)</f>
        <v>0</v>
      </c>
      <c r="V54" s="81">
        <f t="shared" si="10"/>
        <v>0</v>
      </c>
      <c r="W54" s="82">
        <f>IFERROR(IF(D54=0,0,VLOOKUP(D54,SSS_Table!$B$4:$E$64,4,TRUE())*IF(IFERROR(Employee_Master!P52,"")&lt;&gt;"Semi-Monthly",1,IF(Payroll_Register!$K$3="Every Period",1,IF(Payroll_Register!$K$3="1st Half",IF(Payroll_Register!$C$3="1st Half",1,0),IF(Payroll_Register!$C$3="2nd Half",1,0))))/IF(IFERROR(Employee_Master!P52,"")="Weekly",4.33,IF(IFERROR(Employee_Master!P52,"")="Monthly",1,IF(Payroll_Register!$K$3="Every Period",2,1)))),0)</f>
        <v>0</v>
      </c>
      <c r="X54" s="82">
        <f t="shared" si="11"/>
        <v>0</v>
      </c>
      <c r="Y54" s="82">
        <f t="shared" si="12"/>
        <v>0</v>
      </c>
      <c r="Z54" s="82">
        <f t="shared" si="13"/>
        <v>0</v>
      </c>
    </row>
    <row r="55" spans="1:26" ht="19.5" customHeight="1" x14ac:dyDescent="0.25">
      <c r="A55" s="47" t="s">
        <v>125</v>
      </c>
      <c r="B55" s="83" t="str">
        <f>Employee_Master!B53</f>
        <v>EMP-050</v>
      </c>
      <c r="C55" s="84">
        <f>Employee_Master!C53</f>
        <v>0</v>
      </c>
      <c r="D55" s="85">
        <f>Employee_Master!H53</f>
        <v>0</v>
      </c>
      <c r="E55" s="41">
        <f>IFERROR(IF(IFERROR(Employee_Master!P53,"")="Weekly",5,IF(IFERROR(Employee_Master!P53,"")="Monthly",22,11)),0)</f>
        <v>11</v>
      </c>
      <c r="F55" s="48">
        <f>IFERROR(Employee_Master!I53*E55,0)</f>
        <v>0</v>
      </c>
      <c r="G55" s="78">
        <f>IFERROR(IF(D55=0,0,VLOOKUP(D55,SSS_Table!$B$4:$D$64,3,TRUE())*IF(IFERROR(Employee_Master!P53,"")&lt;&gt;"Semi-Monthly",1,IF(Payroll_Register!$K$3="Every Period",1,IF(Payroll_Register!$K$3="1st Half",IF(Payroll_Register!$C$3="1st Half",1,0),IF(Payroll_Register!$C$3="2nd Half",1,0))))/IF(IFERROR(Employee_Master!P53,"")="Weekly",4.33,IF(IFERROR(Employee_Master!P53,"")="Monthly",1,IF(Payroll_Register!$K$3="Every Period",2,1)))),0)</f>
        <v>0</v>
      </c>
      <c r="H55" s="78">
        <f>IFERROR(IF(D55=0,0,MIN(MAX(D55*0.025,250),2500)*IF(IFERROR(Employee_Master!P53,"")&lt;&gt;"Semi-Monthly",1,IF(Payroll_Register!$K$3="Every Period",1,IF(Payroll_Register!$K$3="1st Half",IF(Payroll_Register!$C$3="1st Half",1,0),IF(Payroll_Register!$C$3="2nd Half",1,0))))/IF(IFERROR(Employee_Master!P53,"")="Weekly",4.33,IF(IFERROR(Employee_Master!P53,"")="Monthly",1,IF(Payroll_Register!$K$3="Every Period",2,1)))),0)</f>
        <v>0</v>
      </c>
      <c r="I55" s="78">
        <f>IFERROR(IF(D55=0,0,MIN(D55*0.02,200)*IF(IFERROR(Employee_Master!P53,"")&lt;&gt;"Semi-Monthly",1,IF(Payroll_Register!$K$3="Every Period",1,IF(Payroll_Register!$K$3="1st Half",IF(Payroll_Register!$C$3="1st Half",1,0),IF(Payroll_Register!$C$3="2nd Half",1,0))))/IF(IFERROR(Employee_Master!P53,"")="Weekly",4.33,IF(IFERROR(Employee_Master!P53,"")="Monthly",1,IF(Payroll_Register!$K$3="Every Period",2,1)))),0)</f>
        <v>0</v>
      </c>
      <c r="J55" s="45">
        <f>IFERROR(Attendance_Register!Q56,0)</f>
        <v>0</v>
      </c>
      <c r="K55" s="45">
        <v>0</v>
      </c>
      <c r="L55" s="48">
        <f t="shared" si="7"/>
        <v>0</v>
      </c>
      <c r="M55" s="78">
        <f t="shared" si="8"/>
        <v>0</v>
      </c>
      <c r="N55" s="48">
        <f t="shared" si="9"/>
        <v>0</v>
      </c>
      <c r="O55" s="78">
        <f>IFERROR(IF(D55=0,0,IF(N55&lt;=0,0,IF(N55*IF(IFERROR(Employee_Master!P53,"")="Weekly",0.5,IF(IFERROR(Employee_Master!P53,"")="Monthly",2,1))&lt;=10416.67,0,IF(N55*IF(IFERROR(Employee_Master!P53,"")="Weekly",0.5,IF(IFERROR(Employee_Master!P53,"")="Monthly",2,1))&lt;=16666.67,(N55*IF(IFERROR(Employee_Master!P53,"")="Weekly",0.5,IF(IFERROR(Employee_Master!P53,"")="Monthly",2,1))-10416.67)*0.15,IF(N55*IF(IFERROR(Employee_Master!P53,"")="Weekly",0.5,IF(IFERROR(Employee_Master!P53,"")="Monthly",2,1))&lt;=33333.33,937.5+(N55*IF(IFERROR(Employee_Master!P53,"")="Weekly",0.5,IF(IFERROR(Employee_Master!P53,"")="Monthly",2,1))-16666.67)*0.2,IF(N55*IF(IFERROR(Employee_Master!P53,"")="Weekly",0.5,IF(IFERROR(Employee_Master!P53,"")="Monthly",2,1))&lt;=83333.33,4270.83+(N55*IF(IFERROR(Employee_Master!P53,"")="Weekly",0.5,IF(IFERROR(Employee_Master!P53,"")="Monthly",2,1))-33333.33)*0.25,IF(N55*IF(IFERROR(Employee_Master!P53,"")="Weekly",0.5,IF(IFERROR(Employee_Master!P53,"")="Monthly",2,1))&lt;=333333.33,16770.83+(N55*IF(IFERROR(Employee_Master!P53,"")="Weekly",0.5,IF(IFERROR(Employee_Master!P53,"")="Monthly",2,1))-83333.33)*0.3,91770.83+(N55*IF(IFERROR(Employee_Master!P53,"")="Weekly",0.5,IF(IFERROR(Employee_Master!P53,"")="Monthly",2,1))-333333.33)*0.35))))))/IF(IFERROR(Employee_Master!P53,"")="Weekly",0.5,IF(IFERROR(Employee_Master!P53,"")="Monthly",2,1))),0)</f>
        <v>0</v>
      </c>
      <c r="P55" s="48">
        <f>IFERROR(IF(D55=0,0,D55/12/IF(IFERROR(Employee_Master!P53,"")="Weekly",4.33,IF(IFERROR(Employee_Master!P53,"")="Monthly",1,2))),0)</f>
        <v>0</v>
      </c>
      <c r="Q55" s="45">
        <v>0</v>
      </c>
      <c r="R55" s="79">
        <v>0</v>
      </c>
      <c r="S55" s="80">
        <f>IFERROR(Employee_Master!I53*R55*2,0)</f>
        <v>0</v>
      </c>
      <c r="T55" s="79">
        <v>0</v>
      </c>
      <c r="U55" s="80">
        <f>IFERROR(Employee_Master!I53*T55*0.3,0)</f>
        <v>0</v>
      </c>
      <c r="V55" s="81">
        <f t="shared" si="10"/>
        <v>0</v>
      </c>
      <c r="W55" s="82">
        <f>IFERROR(IF(D55=0,0,VLOOKUP(D55,SSS_Table!$B$4:$E$64,4,TRUE())*IF(IFERROR(Employee_Master!P53,"")&lt;&gt;"Semi-Monthly",1,IF(Payroll_Register!$K$3="Every Period",1,IF(Payroll_Register!$K$3="1st Half",IF(Payroll_Register!$C$3="1st Half",1,0),IF(Payroll_Register!$C$3="2nd Half",1,0))))/IF(IFERROR(Employee_Master!P53,"")="Weekly",4.33,IF(IFERROR(Employee_Master!P53,"")="Monthly",1,IF(Payroll_Register!$K$3="Every Period",2,1)))),0)</f>
        <v>0</v>
      </c>
      <c r="X55" s="82">
        <f t="shared" si="11"/>
        <v>0</v>
      </c>
      <c r="Y55" s="82">
        <f t="shared" si="12"/>
        <v>0</v>
      </c>
      <c r="Z55" s="82">
        <f t="shared" si="13"/>
        <v>0</v>
      </c>
    </row>
    <row r="56" spans="1:26" ht="21.75" customHeight="1" x14ac:dyDescent="0.25">
      <c r="A56" s="113" t="s">
        <v>388</v>
      </c>
      <c r="B56" s="113"/>
      <c r="C56" s="113"/>
      <c r="D56" s="113"/>
      <c r="E56" s="113"/>
      <c r="F56" s="86">
        <f t="shared" ref="F56:Z56" si="14">SUM(F6:F55)</f>
        <v>62000</v>
      </c>
      <c r="G56" s="86">
        <f t="shared" si="14"/>
        <v>3100</v>
      </c>
      <c r="H56" s="86">
        <f t="shared" si="14"/>
        <v>1550</v>
      </c>
      <c r="I56" s="86">
        <f t="shared" si="14"/>
        <v>500</v>
      </c>
      <c r="J56" s="86">
        <f t="shared" si="14"/>
        <v>0</v>
      </c>
      <c r="K56" s="86">
        <f t="shared" si="14"/>
        <v>0</v>
      </c>
      <c r="L56" s="86">
        <f t="shared" si="14"/>
        <v>62000</v>
      </c>
      <c r="M56" s="86">
        <f t="shared" si="14"/>
        <v>6661.2484999999997</v>
      </c>
      <c r="N56" s="86">
        <f t="shared" si="14"/>
        <v>56850</v>
      </c>
      <c r="O56" s="86">
        <f t="shared" si="14"/>
        <v>1511.2484999999999</v>
      </c>
      <c r="P56" s="86">
        <f t="shared" si="14"/>
        <v>5166.666666666667</v>
      </c>
      <c r="Q56" s="86">
        <f t="shared" si="14"/>
        <v>0</v>
      </c>
      <c r="R56" s="70">
        <f t="shared" si="14"/>
        <v>0</v>
      </c>
      <c r="S56" s="70">
        <f t="shared" si="14"/>
        <v>0</v>
      </c>
      <c r="T56" s="70">
        <f t="shared" si="14"/>
        <v>0</v>
      </c>
      <c r="U56" s="70">
        <f t="shared" si="14"/>
        <v>0</v>
      </c>
      <c r="V56" s="86">
        <f t="shared" si="14"/>
        <v>55338.751499999998</v>
      </c>
      <c r="W56" s="86">
        <f t="shared" si="14"/>
        <v>6275</v>
      </c>
      <c r="X56" s="86">
        <f t="shared" si="14"/>
        <v>1550</v>
      </c>
      <c r="Y56" s="86">
        <f t="shared" si="14"/>
        <v>500</v>
      </c>
      <c r="Z56" s="86">
        <f t="shared" si="14"/>
        <v>8325</v>
      </c>
    </row>
  </sheetData>
  <mergeCells count="12">
    <mergeCell ref="A56:E56"/>
    <mergeCell ref="A1:Z1"/>
    <mergeCell ref="A2:C2"/>
    <mergeCell ref="D2:H2"/>
    <mergeCell ref="A3:B3"/>
    <mergeCell ref="D4:F4"/>
    <mergeCell ref="G4:I4"/>
    <mergeCell ref="J4:K4"/>
    <mergeCell ref="L4:O4"/>
    <mergeCell ref="P4:Q4"/>
    <mergeCell ref="R4:U4"/>
    <mergeCell ref="W4:Z4"/>
  </mergeCells>
  <dataValidations count="3">
    <dataValidation type="list" sqref="C3" xr:uid="{00000000-0002-0000-0800-000000000000}">
      <formula1>"1st Half,2nd Half"</formula1>
      <formula2>0</formula2>
    </dataValidation>
    <dataValidation type="list" sqref="E3" xr:uid="{00000000-0002-0000-0800-000001000000}">
      <formula1>"January,February,March,April,May,June,July,August,September,October,November,December"</formula1>
      <formula2>0</formula2>
    </dataValidation>
    <dataValidation type="list" showErrorMessage="1" errorTitle="Invalid Entry" error="Choose: 1st Half, 2nd Half, or Every Period" sqref="K3" xr:uid="{00000000-0002-0000-0800-000002000000}">
      <formula1>"1st Half,2nd Half,Every Period"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tabSelected="1" zoomScaleNormal="100" workbookViewId="0">
      <selection activeCell="G28" sqref="G28"/>
    </sheetView>
  </sheetViews>
  <sheetFormatPr defaultColWidth="8.7109375" defaultRowHeight="15" x14ac:dyDescent="0.25"/>
  <cols>
    <col min="1" max="1" width="3" customWidth="1"/>
    <col min="2" max="2" width="22" customWidth="1"/>
    <col min="3" max="3" width="20" customWidth="1"/>
    <col min="4" max="4" width="16" customWidth="1"/>
    <col min="5" max="5" width="3" customWidth="1"/>
    <col min="6" max="6" width="22" customWidth="1"/>
    <col min="7" max="7" width="20" customWidth="1"/>
    <col min="8" max="8" width="16" customWidth="1"/>
  </cols>
  <sheetData>
    <row r="1" spans="1:8" ht="17.25" customHeight="1" x14ac:dyDescent="0.25">
      <c r="A1" s="14" t="s">
        <v>389</v>
      </c>
      <c r="B1" s="14"/>
      <c r="C1" s="14"/>
      <c r="D1" s="14"/>
      <c r="E1" s="14"/>
      <c r="F1" s="14"/>
      <c r="G1" s="14"/>
      <c r="H1" s="14"/>
    </row>
    <row r="2" spans="1:8" ht="15" customHeight="1" x14ac:dyDescent="0.25">
      <c r="A2" s="13" t="s">
        <v>390</v>
      </c>
      <c r="B2" s="13"/>
      <c r="C2" s="13"/>
      <c r="D2" s="13"/>
      <c r="E2" s="13"/>
      <c r="F2" s="13"/>
      <c r="G2" s="13"/>
      <c r="H2" s="13"/>
    </row>
    <row r="3" spans="1:8" ht="15" customHeight="1" x14ac:dyDescent="0.25">
      <c r="B3" s="110" t="s">
        <v>391</v>
      </c>
      <c r="C3" s="110"/>
      <c r="D3" s="87">
        <v>6</v>
      </c>
    </row>
    <row r="5" spans="1:8" ht="17.25" customHeight="1" x14ac:dyDescent="0.25">
      <c r="B5" s="14" t="s">
        <v>392</v>
      </c>
      <c r="C5" s="14"/>
      <c r="D5" s="14"/>
      <c r="E5" s="14"/>
      <c r="F5" s="14"/>
      <c r="G5" s="14"/>
      <c r="H5" s="14"/>
    </row>
    <row r="6" spans="1:8" ht="15" customHeight="1" x14ac:dyDescent="0.25">
      <c r="B6" s="88" t="s">
        <v>393</v>
      </c>
      <c r="C6" s="114" t="str">
        <f>Payroll_Register!D2</f>
        <v>[Enter Company Name]</v>
      </c>
      <c r="D6" s="114"/>
      <c r="E6" s="114"/>
      <c r="F6" s="88" t="s">
        <v>318</v>
      </c>
      <c r="G6" s="89" t="str">
        <f>Payroll_Register!C3&amp;" "&amp;Payroll_Register!E3&amp;" "&amp;Payroll_Register!G3</f>
        <v>1st Half January 2024</v>
      </c>
    </row>
    <row r="7" spans="1:8" ht="15" customHeight="1" x14ac:dyDescent="0.25">
      <c r="B7" s="88" t="s">
        <v>394</v>
      </c>
      <c r="C7" s="115" t="str">
        <f>INDEX(Payroll_Register!C:C,$D$3)</f>
        <v>Juan dela Cruz</v>
      </c>
      <c r="D7" s="115"/>
      <c r="E7" s="115"/>
      <c r="F7" s="88" t="s">
        <v>395</v>
      </c>
      <c r="G7" s="89" t="str">
        <f>INDEX(Payroll_Register!B:B,$D$3)</f>
        <v>EMP-001</v>
      </c>
    </row>
    <row r="8" spans="1:8" ht="15" customHeight="1" x14ac:dyDescent="0.25">
      <c r="B8" s="13" t="s">
        <v>358</v>
      </c>
      <c r="C8" s="13"/>
      <c r="D8" s="13"/>
      <c r="F8" s="116" t="s">
        <v>396</v>
      </c>
      <c r="G8" s="116"/>
      <c r="H8" s="116"/>
    </row>
    <row r="9" spans="1:8" ht="19.5" customHeight="1" x14ac:dyDescent="0.25">
      <c r="B9" s="91" t="s">
        <v>397</v>
      </c>
      <c r="C9" s="46">
        <f>INDEX(Payroll_Register!F:F,$D$3)</f>
        <v>15000.000000000002</v>
      </c>
      <c r="D9" s="92"/>
      <c r="F9" s="91" t="s">
        <v>398</v>
      </c>
      <c r="G9" s="46">
        <f>INDEX(Payroll_Register!G:G,$D$3)</f>
        <v>750</v>
      </c>
      <c r="H9" s="92"/>
    </row>
    <row r="10" spans="1:8" ht="19.5" customHeight="1" x14ac:dyDescent="0.25">
      <c r="B10" s="93" t="s">
        <v>399</v>
      </c>
      <c r="C10" s="94">
        <f>INDEX(Payroll_Register!Q:Q,$D$3)</f>
        <v>0</v>
      </c>
      <c r="D10" s="95"/>
      <c r="F10" s="93" t="s">
        <v>43</v>
      </c>
      <c r="G10" s="94">
        <f>INDEX(Payroll_Register!H:H,$D$3)</f>
        <v>375</v>
      </c>
      <c r="H10" s="95"/>
    </row>
    <row r="11" spans="1:8" ht="19.5" customHeight="1" x14ac:dyDescent="0.25">
      <c r="B11" t="s">
        <v>242</v>
      </c>
      <c r="C11" t="str">
        <f>IFERROR(INDEX(Employee_Master!P:P,MATCH(INDEX(Payroll_Register!B:B,$D$3),Employee_Master!B:B,0)),"")</f>
        <v>Semi-Monthly</v>
      </c>
    </row>
    <row r="12" spans="1:8" ht="19.5" customHeight="1" x14ac:dyDescent="0.25">
      <c r="B12" t="s">
        <v>400</v>
      </c>
      <c r="C12" s="70">
        <f>INDEX(Payroll_Register!S:S,$D$3)</f>
        <v>0</v>
      </c>
    </row>
    <row r="13" spans="1:8" ht="19.5" customHeight="1" x14ac:dyDescent="0.25">
      <c r="B13" t="s">
        <v>401</v>
      </c>
      <c r="C13" s="70">
        <f>INDEX(Payroll_Register!U:U,$D$3)</f>
        <v>0</v>
      </c>
    </row>
    <row r="14" spans="1:8" ht="19.5" customHeight="1" x14ac:dyDescent="0.25">
      <c r="B14" s="91" t="s">
        <v>402</v>
      </c>
      <c r="C14" s="46">
        <f>INDEX(Payroll_Register!P:P,$D$3)</f>
        <v>1250</v>
      </c>
      <c r="D14" s="92"/>
      <c r="F14" s="91" t="s">
        <v>45</v>
      </c>
      <c r="G14" s="46">
        <f>INDEX(Payroll_Register!I:I,$D$3)</f>
        <v>100</v>
      </c>
      <c r="H14" s="92"/>
    </row>
    <row r="15" spans="1:8" ht="15" customHeight="1" x14ac:dyDescent="0.25">
      <c r="B15" s="93"/>
      <c r="C15" s="95"/>
      <c r="D15" s="95"/>
      <c r="F15" s="93" t="s">
        <v>403</v>
      </c>
      <c r="G15" s="94">
        <f>INDEX(Payroll_Register!J:J,$D$3)</f>
        <v>0</v>
      </c>
      <c r="H15" s="95"/>
    </row>
    <row r="16" spans="1:8" ht="25.5" customHeight="1" x14ac:dyDescent="0.25">
      <c r="B16" s="91"/>
      <c r="C16" s="92"/>
      <c r="D16" s="92"/>
      <c r="F16" s="91" t="s">
        <v>404</v>
      </c>
      <c r="G16" s="46">
        <f>INDEX(Payroll_Register!K:K,$D$3)</f>
        <v>0</v>
      </c>
      <c r="H16" s="92"/>
    </row>
    <row r="17" spans="2:8" ht="15" customHeight="1" x14ac:dyDescent="0.25">
      <c r="B17" s="93"/>
      <c r="C17" s="95"/>
      <c r="D17" s="95"/>
      <c r="F17" s="93" t="s">
        <v>47</v>
      </c>
      <c r="G17" s="94">
        <f>INDEX(Payroll_Register!O:O,$D$3)</f>
        <v>503.74950000000024</v>
      </c>
      <c r="H17" s="95"/>
    </row>
    <row r="18" spans="2:8" ht="15" customHeight="1" x14ac:dyDescent="0.25">
      <c r="B18" s="113" t="s">
        <v>405</v>
      </c>
      <c r="C18" s="113"/>
      <c r="D18" s="81">
        <f>INDEX(Payroll_Register!L:L,$D$3)</f>
        <v>15000.000000000002</v>
      </c>
      <c r="F18" s="90" t="s">
        <v>406</v>
      </c>
      <c r="G18" s="96">
        <f>INDEX(Payroll_Register!M:M,$D$3)</f>
        <v>1728.7495000000004</v>
      </c>
      <c r="H18" s="97"/>
    </row>
    <row r="19" spans="2:8" ht="15" customHeight="1" x14ac:dyDescent="0.25">
      <c r="B19" s="117" t="s">
        <v>407</v>
      </c>
      <c r="C19" s="117"/>
      <c r="D19" s="118">
        <f>INDEX(Payroll_Register!V:V,$D$3)</f>
        <v>13271.250500000002</v>
      </c>
      <c r="E19" s="118"/>
    </row>
    <row r="20" spans="2:8" ht="21.75" customHeight="1" x14ac:dyDescent="0.25"/>
    <row r="21" spans="2:8" ht="15" customHeight="1" x14ac:dyDescent="0.25">
      <c r="B21" s="119" t="s">
        <v>408</v>
      </c>
      <c r="C21" s="119"/>
      <c r="F21" s="119" t="s">
        <v>409</v>
      </c>
      <c r="G21" s="119"/>
    </row>
    <row r="23" spans="2:8" ht="15" customHeight="1" x14ac:dyDescent="0.25">
      <c r="B23" s="98"/>
      <c r="C23" s="98"/>
      <c r="F23" s="98"/>
      <c r="G23" s="98"/>
    </row>
    <row r="24" spans="2:8" ht="15" customHeight="1" x14ac:dyDescent="0.25">
      <c r="B24" s="120" t="s">
        <v>410</v>
      </c>
      <c r="C24" s="120"/>
      <c r="F24" s="120" t="s">
        <v>411</v>
      </c>
      <c r="G24" s="120"/>
    </row>
  </sheetData>
  <mergeCells count="15">
    <mergeCell ref="B21:C21"/>
    <mergeCell ref="F21:G21"/>
    <mergeCell ref="B24:C24"/>
    <mergeCell ref="F24:G24"/>
    <mergeCell ref="C7:E7"/>
    <mergeCell ref="B8:D8"/>
    <mergeCell ref="F8:H8"/>
    <mergeCell ref="B18:C18"/>
    <mergeCell ref="B19:C19"/>
    <mergeCell ref="D19:E19"/>
    <mergeCell ref="A1:H1"/>
    <mergeCell ref="A2:H2"/>
    <mergeCell ref="B3:C3"/>
    <mergeCell ref="B5:H5"/>
    <mergeCell ref="C6:E6"/>
  </mergeCells>
  <dataValidations count="1">
    <dataValidation type="list" sqref="D3" xr:uid="{00000000-0002-0000-0900-000000000000}">
      <formula1>"6,7,8,9,10,11,12,13,14,15,16,17,18,19,20,21,22,23,24,25,26,27,28,29,30,31,32,33,34,35,36,37,38,39,40,41,42,43,44,45,46,47,48,49,50,51,52,53,54,55"</formula1>
      <formula2>0</formula2>
    </dataValidation>
  </dataValidations>
  <pageMargins left="0.75" right="0.75" top="1" bottom="1" header="0.511811023622047" footer="0.511811023622047"/>
  <pageSetup paperSize="9" scale="71"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Instructions</vt:lpstr>
      <vt:lpstr>Tax_Tables</vt:lpstr>
      <vt:lpstr>SSS_Table</vt:lpstr>
      <vt:lpstr>PhilHealth_Table</vt:lpstr>
      <vt:lpstr>PagIBIG_Table</vt:lpstr>
      <vt:lpstr>Holiday_Schedule</vt:lpstr>
      <vt:lpstr>Employee_Master</vt:lpstr>
      <vt:lpstr>Attendance_Register</vt:lpstr>
      <vt:lpstr>Payroll_Register</vt:lpstr>
      <vt:lpstr>Payslip</vt:lpstr>
      <vt:lpstr>Payslip!Print_Area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tItUs kEitH</cp:lastModifiedBy>
  <cp:revision>0</cp:revision>
  <cp:lastPrinted>2026-05-20T14:24:53Z</cp:lastPrinted>
  <dcterms:created xsi:type="dcterms:W3CDTF">2026-05-19T19:41:32Z</dcterms:created>
  <dcterms:modified xsi:type="dcterms:W3CDTF">2026-05-29T11:21:17Z</dcterms:modified>
  <dc:language>en-US</dc:language>
</cp:coreProperties>
</file>
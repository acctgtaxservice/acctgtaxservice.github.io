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rt of Accounts" sheetId="1" state="visible" r:id="rId3"/>
    <sheet name="General Journal" sheetId="2" state="visible" r:id="rId4"/>
    <sheet name="General Ledger &amp; Trial Balance" sheetId="3" state="visible" r:id="rId5"/>
    <sheet name="Income Statement" sheetId="4" state="visible" r:id="rId6"/>
    <sheet name="Balance Sheet" sheetId="5" state="visible" r:id="rId7"/>
    <sheet name="Cash Flow Statement" sheetId="6" state="visible" r:id="rId8"/>
    <sheet name="Dashboard" sheetId="7" state="visible" r:id="rId9"/>
    <sheet name="Income Tax Table 2025" sheetId="8" state="visible" r:id="rId10"/>
    <sheet name="Income Tax Calculator"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<sst xmlns="http://schemas.openxmlformats.org/spreadsheetml/2006/main" count="1060" uniqueCount="649">
  <si>
    <t xml:space="preserve">CHART OF ACCOUNTS</t>
  </si>
  <si>
    <t xml:space="preserve">Account #</t>
  </si>
  <si>
    <t xml:space="preserve">Account Name</t>
  </si>
  <si>
    <t xml:space="preserve">Account Type</t>
  </si>
  <si>
    <t xml:space="preserve">Normal Balance</t>
  </si>
  <si>
    <t xml:space="preserve">Financial Statement</t>
  </si>
  <si>
    <t xml:space="preserve">1000</t>
  </si>
  <si>
    <t xml:space="preserve">Cash and Cash Equivalents</t>
  </si>
  <si>
    <t xml:space="preserve">Asset</t>
  </si>
  <si>
    <t xml:space="preserve">Debit</t>
  </si>
  <si>
    <t xml:space="preserve">Balance Sheet</t>
  </si>
  <si>
    <t xml:space="preserve">1010</t>
  </si>
  <si>
    <t xml:space="preserve">Petty Cash</t>
  </si>
  <si>
    <t xml:space="preserve">1100</t>
  </si>
  <si>
    <t xml:space="preserve">Accounts Receivable</t>
  </si>
  <si>
    <t xml:space="preserve">1110</t>
  </si>
  <si>
    <t xml:space="preserve">Allowance for Doubtful Accounts</t>
  </si>
  <si>
    <t xml:space="preserve">Contra-Asset</t>
  </si>
  <si>
    <t xml:space="preserve">Credit</t>
  </si>
  <si>
    <t xml:space="preserve">1200</t>
  </si>
  <si>
    <t xml:space="preserve">Inventory</t>
  </si>
  <si>
    <t xml:space="preserve">1300</t>
  </si>
  <si>
    <t xml:space="preserve">Prepaid Expenses</t>
  </si>
  <si>
    <t xml:space="preserve">1400</t>
  </si>
  <si>
    <t xml:space="preserve">Short-term Investments</t>
  </si>
  <si>
    <t xml:space="preserve">1500</t>
  </si>
  <si>
    <t xml:space="preserve">Property, Plant &amp; Equipment</t>
  </si>
  <si>
    <t xml:space="preserve">1510</t>
  </si>
  <si>
    <t xml:space="preserve">Accumulated Depreciation</t>
  </si>
  <si>
    <t xml:space="preserve">1600</t>
  </si>
  <si>
    <t xml:space="preserve">Intangible Assets</t>
  </si>
  <si>
    <t xml:space="preserve">1610</t>
  </si>
  <si>
    <t xml:space="preserve">Accumulated Amortization</t>
  </si>
  <si>
    <t xml:space="preserve">1700</t>
  </si>
  <si>
    <t xml:space="preserve">Other Long-term Assets</t>
  </si>
  <si>
    <t xml:space="preserve">2000</t>
  </si>
  <si>
    <t xml:space="preserve">Accounts Payable</t>
  </si>
  <si>
    <t xml:space="preserve">Liability</t>
  </si>
  <si>
    <t xml:space="preserve">2100</t>
  </si>
  <si>
    <t xml:space="preserve">Accrued Liabilities</t>
  </si>
  <si>
    <t xml:space="preserve">2200</t>
  </si>
  <si>
    <t xml:space="preserve">Salaries Payable</t>
  </si>
  <si>
    <t xml:space="preserve">2300</t>
  </si>
  <si>
    <t xml:space="preserve">Taxes Payable</t>
  </si>
  <si>
    <t xml:space="preserve">2400</t>
  </si>
  <si>
    <t xml:space="preserve">Unearned Revenue</t>
  </si>
  <si>
    <t xml:space="preserve">2500</t>
  </si>
  <si>
    <t xml:space="preserve">Notes Payable - Current</t>
  </si>
  <si>
    <t xml:space="preserve">2600</t>
  </si>
  <si>
    <t xml:space="preserve">Long-term Debt</t>
  </si>
  <si>
    <t xml:space="preserve">2700</t>
  </si>
  <si>
    <t xml:space="preserve">Deferred Tax Liability</t>
  </si>
  <si>
    <t xml:space="preserve">3000</t>
  </si>
  <si>
    <t xml:space="preserve">Owner's Capital / Common Stock</t>
  </si>
  <si>
    <t xml:space="preserve">Equity</t>
  </si>
  <si>
    <t xml:space="preserve">3100</t>
  </si>
  <si>
    <t xml:space="preserve">Retained Earnings</t>
  </si>
  <si>
    <t xml:space="preserve">3200</t>
  </si>
  <si>
    <t xml:space="preserve">Additional Paid-in Capital</t>
  </si>
  <si>
    <t xml:space="preserve">3300</t>
  </si>
  <si>
    <t xml:space="preserve">Owner's Drawings / Dividends</t>
  </si>
  <si>
    <t xml:space="preserve">4000</t>
  </si>
  <si>
    <t xml:space="preserve">Sales Revenue</t>
  </si>
  <si>
    <t xml:space="preserve">Revenue</t>
  </si>
  <si>
    <t xml:space="preserve">Income Statement</t>
  </si>
  <si>
    <t xml:space="preserve">4100</t>
  </si>
  <si>
    <t xml:space="preserve">Service Revenue</t>
  </si>
  <si>
    <t xml:space="preserve">4200</t>
  </si>
  <si>
    <t xml:space="preserve">Interest Income</t>
  </si>
  <si>
    <t xml:space="preserve">4300</t>
  </si>
  <si>
    <t xml:space="preserve">Other Income</t>
  </si>
  <si>
    <t xml:space="preserve">5000</t>
  </si>
  <si>
    <t xml:space="preserve">Cost of Goods Sold</t>
  </si>
  <si>
    <t xml:space="preserve">Expense</t>
  </si>
  <si>
    <t xml:space="preserve">5100</t>
  </si>
  <si>
    <t xml:space="preserve">Advertising &amp; Marketing Expense</t>
  </si>
  <si>
    <t xml:space="preserve">5200</t>
  </si>
  <si>
    <t xml:space="preserve">Bank Charges &amp; Fees</t>
  </si>
  <si>
    <t xml:space="preserve">5300</t>
  </si>
  <si>
    <t xml:space="preserve">Depreciation Expense</t>
  </si>
  <si>
    <t xml:space="preserve">5400</t>
  </si>
  <si>
    <t xml:space="preserve">Insurance Expense</t>
  </si>
  <si>
    <t xml:space="preserve">5500</t>
  </si>
  <si>
    <t xml:space="preserve">Office Supplies Expense</t>
  </si>
  <si>
    <t xml:space="preserve">5600</t>
  </si>
  <si>
    <t xml:space="preserve">Professional Fees Expense</t>
  </si>
  <si>
    <t xml:space="preserve">5700</t>
  </si>
  <si>
    <t xml:space="preserve">Rent Expense</t>
  </si>
  <si>
    <t xml:space="preserve">5800</t>
  </si>
  <si>
    <t xml:space="preserve">Salaries &amp; Wages Expense</t>
  </si>
  <si>
    <t xml:space="preserve">5900</t>
  </si>
  <si>
    <t xml:space="preserve">Taxes &amp; Licenses Expense</t>
  </si>
  <si>
    <t xml:space="preserve">6000</t>
  </si>
  <si>
    <t xml:space="preserve">Travel &amp; Entertainment Expense</t>
  </si>
  <si>
    <t xml:space="preserve">6100</t>
  </si>
  <si>
    <t xml:space="preserve">Utilities Expense</t>
  </si>
  <si>
    <t xml:space="preserve">6200</t>
  </si>
  <si>
    <t xml:space="preserve">Income Tax Expense</t>
  </si>
  <si>
    <t xml:space="preserve">6300</t>
  </si>
  <si>
    <t xml:space="preserve">Interest Expense</t>
  </si>
  <si>
    <t xml:space="preserve">6400</t>
  </si>
  <si>
    <t xml:space="preserve">Other Expenses</t>
  </si>
  <si>
    <t xml:space="preserve">ACCOUNT TYPE COLOR LEGEND</t>
  </si>
  <si>
    <t xml:space="preserve">VIEW MONTH:</t>
  </si>
  <si>
    <t xml:space="preserve">All Months</t>
  </si>
  <si>
    <t xml:space="preserve">FISCAL YEAR:</t>
  </si>
  <si>
    <t xml:space="preserve">← Enter year  |  Select month → click  ▶ FILTER MONTH  button  |  Click  SHOW ALL  to reset</t>
  </si>
  <si>
    <t xml:space="preserve">Blue = input cells  |  Green = auto-filled  |  Column D auto-tags month from date  |  Enter date as YYYY-MM-DD</t>
  </si>
  <si>
    <t xml:space="preserve">★  DOUBLE-ENTRY RULE: Each journal entry must have Total Debits = Total Credits  ★</t>
  </si>
  <si>
    <t xml:space="preserve">JOURNAL TOTALS (All):</t>
  </si>
  <si>
    <t xml:space="preserve">Total Debits:</t>
  </si>
  <si>
    <t xml:space="preserve">Total Credits:</t>
  </si>
  <si>
    <t xml:space="preserve">← Check this before generating Financial Statements</t>
  </si>
  <si>
    <t xml:space="preserve">#</t>
  </si>
  <si>
    <t xml:space="preserve">Date</t>
  </si>
  <si>
    <t xml:space="preserve">Month</t>
  </si>
  <si>
    <t xml:space="preserve">Acct #</t>
  </si>
  <si>
    <t xml:space="preserve">Ref / Memo</t>
  </si>
  <si>
    <t xml:space="preserve">Debit (₱)</t>
  </si>
  <si>
    <t xml:space="preserve">Credit (₱)</t>
  </si>
  <si>
    <t xml:space="preserve">Entry Type</t>
  </si>
  <si>
    <t xml:space="preserve">PERIOD TYPE:</t>
  </si>
  <si>
    <t xml:space="preserve">Monthly</t>
  </si>
  <si>
    <t xml:space="preserve">← Type the year here</t>
  </si>
  <si>
    <t xml:space="preserve">PERIOD VALUE:</t>
  </si>
  <si>
    <t xml:space="preserve">January</t>
  </si>
  <si>
    <t xml:space="preserve">PERIOD LABEL:</t>
  </si>
  <si>
    <t xml:space="preserve">[Start Month #]</t>
  </si>
  <si>
    <t xml:space="preserve">[End Month #]</t>
  </si>
  <si>
    <t xml:space="preserve">  ▶  Set Period Type (D3) and Period Value (D4) above, then click the MACRO BUTTON to generate Financial Statements</t>
  </si>
  <si>
    <t xml:space="preserve">ℹ  Balance Sheet is always Cumulative as of period end  |  Income Tax Expense (Acct 6200) = manual journal entry only — compute tax per BIR rules</t>
  </si>
  <si>
    <t xml:space="preserve">Total Debits (₱)</t>
  </si>
  <si>
    <t xml:space="preserve">Total Credits (₱)</t>
  </si>
  <si>
    <t xml:space="preserve">Net Balance (₱)</t>
  </si>
  <si>
    <t xml:space="preserve">TRIAL BALANCE TOTALS — ==============================</t>
  </si>
  <si>
    <t xml:space="preserve">INCOME STATEMENT</t>
  </si>
  <si>
    <t xml:space="preserve">Auto-populated by macro from Trial Balance  |  Verify after running macro</t>
  </si>
  <si>
    <t xml:space="preserve">Period:</t>
  </si>
  <si>
    <t xml:space="preserve">Account</t>
  </si>
  <si>
    <t xml:space="preserve">Amount (₱)</t>
  </si>
  <si>
    <t xml:space="preserve">Notes</t>
  </si>
  <si>
    <t xml:space="preserve">REVENUE</t>
  </si>
  <si>
    <t xml:space="preserve">  Sales Revenue</t>
  </si>
  <si>
    <t xml:space="preserve">Acct #4000</t>
  </si>
  <si>
    <t xml:space="preserve">  Service Revenue</t>
  </si>
  <si>
    <t xml:space="preserve">Acct #4100</t>
  </si>
  <si>
    <t xml:space="preserve">  Interest Income</t>
  </si>
  <si>
    <t xml:space="preserve">Acct #4200</t>
  </si>
  <si>
    <t xml:space="preserve">  Other Income</t>
  </si>
  <si>
    <t xml:space="preserve">Acct #4300</t>
  </si>
  <si>
    <t xml:space="preserve">GROSS REVENUE</t>
  </si>
  <si>
    <t xml:space="preserve">COST OF GOODS SOLD</t>
  </si>
  <si>
    <t xml:space="preserve">  Cost of Goods Sold</t>
  </si>
  <si>
    <t xml:space="preserve">Acct #5000</t>
  </si>
  <si>
    <t xml:space="preserve">GROSS PROFIT</t>
  </si>
  <si>
    <t xml:space="preserve">OPERATING EXPENSES</t>
  </si>
  <si>
    <t xml:space="preserve">  Advertising &amp; Marketing</t>
  </si>
  <si>
    <t xml:space="preserve">Acct #5100</t>
  </si>
  <si>
    <t xml:space="preserve">  Bank Charges &amp; Fees</t>
  </si>
  <si>
    <t xml:space="preserve">Acct #5200</t>
  </si>
  <si>
    <t xml:space="preserve">  Depreciation Expense</t>
  </si>
  <si>
    <t xml:space="preserve">Acct #5300</t>
  </si>
  <si>
    <t xml:space="preserve">  Insurance Expense</t>
  </si>
  <si>
    <t xml:space="preserve">Acct #5400</t>
  </si>
  <si>
    <t xml:space="preserve">  Office Supplies Expense</t>
  </si>
  <si>
    <t xml:space="preserve">Acct #5500</t>
  </si>
  <si>
    <t xml:space="preserve">  Professional Fees</t>
  </si>
  <si>
    <t xml:space="preserve">Acct #5600</t>
  </si>
  <si>
    <t xml:space="preserve">  Rent Expense</t>
  </si>
  <si>
    <t xml:space="preserve">Acct #5700</t>
  </si>
  <si>
    <t xml:space="preserve">  Salaries &amp; Wages</t>
  </si>
  <si>
    <t xml:space="preserve">Acct #5800</t>
  </si>
  <si>
    <t xml:space="preserve">  Taxes &amp; Licenses</t>
  </si>
  <si>
    <t xml:space="preserve">Acct #5900</t>
  </si>
  <si>
    <t xml:space="preserve">  Travel &amp; Entertainment</t>
  </si>
  <si>
    <t xml:space="preserve">Acct #6000</t>
  </si>
  <si>
    <t xml:space="preserve">  Utilities Expense</t>
  </si>
  <si>
    <t xml:space="preserve">Acct #6100</t>
  </si>
  <si>
    <t xml:space="preserve">  Other Expenses</t>
  </si>
  <si>
    <t xml:space="preserve">Acct #6400</t>
  </si>
  <si>
    <t xml:space="preserve">TOTAL OPERATING EXPENSES</t>
  </si>
  <si>
    <t xml:space="preserve">OPERATING INCOME (EBIT)</t>
  </si>
  <si>
    <t xml:space="preserve">OTHER INCOME / (EXPENSE)</t>
  </si>
  <si>
    <t xml:space="preserve">  Interest Expense</t>
  </si>
  <si>
    <t xml:space="preserve">Acct #6300</t>
  </si>
  <si>
    <t xml:space="preserve">NET OTHER INCOME/(EXPENSE)</t>
  </si>
  <si>
    <t xml:space="preserve">INCOME BEFORE TAX</t>
  </si>
  <si>
    <t xml:space="preserve">  Income Tax Expense</t>
  </si>
  <si>
    <t xml:space="preserve">Acct #6200</t>
  </si>
  <si>
    <t xml:space="preserve">NET INCOME / (LOSS)</t>
  </si>
  <si>
    <t xml:space="preserve">BALANCE SHEET</t>
  </si>
  <si>
    <t xml:space="preserve">Cumulative balances as of period end  |  Balance Sheet is always shown on a cumulative basis</t>
  </si>
  <si>
    <t xml:space="preserve">As of:</t>
  </si>
  <si>
    <t xml:space="preserve">ASSETS</t>
  </si>
  <si>
    <t xml:space="preserve">Current Assets</t>
  </si>
  <si>
    <t xml:space="preserve">  Cash and Cash Equivalents</t>
  </si>
  <si>
    <t xml:space="preserve">#1000</t>
  </si>
  <si>
    <t xml:space="preserve">  Petty Cash</t>
  </si>
  <si>
    <t xml:space="preserve">#1010</t>
  </si>
  <si>
    <t xml:space="preserve">  Accounts Receivable</t>
  </si>
  <si>
    <t xml:space="preserve">#1100</t>
  </si>
  <si>
    <t xml:space="preserve">  Less: Allowance for Doubtful Accts</t>
  </si>
  <si>
    <t xml:space="preserve">#1110</t>
  </si>
  <si>
    <t xml:space="preserve">  Inventory</t>
  </si>
  <si>
    <t xml:space="preserve">#1200</t>
  </si>
  <si>
    <t xml:space="preserve">  Prepaid Expenses</t>
  </si>
  <si>
    <t xml:space="preserve">#1300</t>
  </si>
  <si>
    <t xml:space="preserve">  Short-term Investments</t>
  </si>
  <si>
    <t xml:space="preserve">#1400</t>
  </si>
  <si>
    <t xml:space="preserve">TOTAL CURRENT ASSETS</t>
  </si>
  <si>
    <t xml:space="preserve">Non-Current Assets</t>
  </si>
  <si>
    <t xml:space="preserve">  Property, Plant &amp; Equipment</t>
  </si>
  <si>
    <t xml:space="preserve">#1500</t>
  </si>
  <si>
    <t xml:space="preserve">  Less: Accumulated Depreciation</t>
  </si>
  <si>
    <t xml:space="preserve">#1510</t>
  </si>
  <si>
    <t xml:space="preserve">  Intangible Assets</t>
  </si>
  <si>
    <t xml:space="preserve">#1600</t>
  </si>
  <si>
    <t xml:space="preserve">  Less: Accumulated Amortization</t>
  </si>
  <si>
    <t xml:space="preserve">#1610</t>
  </si>
  <si>
    <t xml:space="preserve">  Other Long-term Assets</t>
  </si>
  <si>
    <t xml:space="preserve">#1700</t>
  </si>
  <si>
    <t xml:space="preserve">TOTAL NON-CURRENT ASSETS</t>
  </si>
  <si>
    <t xml:space="preserve">TOTAL ASSETS</t>
  </si>
  <si>
    <t xml:space="preserve">LIABILITIES</t>
  </si>
  <si>
    <t xml:space="preserve">Current Liabilities</t>
  </si>
  <si>
    <t xml:space="preserve">  Accounts Payable</t>
  </si>
  <si>
    <t xml:space="preserve">#2000</t>
  </si>
  <si>
    <t xml:space="preserve">  Accrued Liabilities</t>
  </si>
  <si>
    <t xml:space="preserve">#2100</t>
  </si>
  <si>
    <t xml:space="preserve">  Salaries Payable</t>
  </si>
  <si>
    <t xml:space="preserve">#2200</t>
  </si>
  <si>
    <t xml:space="preserve">  Taxes Payable</t>
  </si>
  <si>
    <t xml:space="preserve">#2300</t>
  </si>
  <si>
    <t xml:space="preserve">  Unearned Revenue</t>
  </si>
  <si>
    <t xml:space="preserve">#2400</t>
  </si>
  <si>
    <t xml:space="preserve">  Notes Payable - Current</t>
  </si>
  <si>
    <t xml:space="preserve">#2500</t>
  </si>
  <si>
    <t xml:space="preserve">TOTAL CURRENT LIABILITIES</t>
  </si>
  <si>
    <t xml:space="preserve">Non-Current Liabilities</t>
  </si>
  <si>
    <t xml:space="preserve">  Long-term Debt</t>
  </si>
  <si>
    <t xml:space="preserve">#2600</t>
  </si>
  <si>
    <t xml:space="preserve">  Deferred Tax Liability</t>
  </si>
  <si>
    <t xml:space="preserve">#2700</t>
  </si>
  <si>
    <t xml:space="preserve">TOTAL NON-CURRENT LIABILITIES</t>
  </si>
  <si>
    <t xml:space="preserve">TOTAL LIABILITIES</t>
  </si>
  <si>
    <t xml:space="preserve">EQUITY</t>
  </si>
  <si>
    <t xml:space="preserve">  Owner's Capital / Common Stock</t>
  </si>
  <si>
    <t xml:space="preserve">#3000</t>
  </si>
  <si>
    <t xml:space="preserve">  Retained Earnings</t>
  </si>
  <si>
    <t xml:space="preserve">#3100</t>
  </si>
  <si>
    <t xml:space="preserve">  Additional Paid-in Capital</t>
  </si>
  <si>
    <t xml:space="preserve">#3200</t>
  </si>
  <si>
    <t xml:space="preserve">  Less: Owner's Drawings</t>
  </si>
  <si>
    <t xml:space="preserve">#3300</t>
  </si>
  <si>
    <t xml:space="preserve">  Current Period Net Income</t>
  </si>
  <si>
    <t xml:space="preserve">TOTAL EQUITY</t>
  </si>
  <si>
    <t xml:space="preserve">TOTAL LIABILITIES + EQUITY</t>
  </si>
  <si>
    <t xml:space="preserve">BALANCE CHECK</t>
  </si>
  <si>
    <t xml:space="preserve">CASH FLOW STATEMENT  (Indirect Method)</t>
  </si>
  <si>
    <t xml:space="preserve">Auto-populated by macro  |  Operating / Investing / Financing Activities</t>
  </si>
  <si>
    <t xml:space="preserve">Description</t>
  </si>
  <si>
    <t xml:space="preserve">Source</t>
  </si>
  <si>
    <t xml:space="preserve">OPERATING ACTIVITIES</t>
  </si>
  <si>
    <t xml:space="preserve">  Net Income (from Income Statement)</t>
  </si>
  <si>
    <t xml:space="preserve">  Adjustments to reconcile Net Income:</t>
  </si>
  <si>
    <t xml:space="preserve">  Add: Depreciation &amp; Amortization</t>
  </si>
  <si>
    <t xml:space="preserve">#5300</t>
  </si>
  <si>
    <t xml:space="preserve">  Add/Less: Changes in Working Capital</t>
  </si>
  <si>
    <t xml:space="preserve">    (Increase)/Decrease in A/R</t>
  </si>
  <si>
    <t xml:space="preserve">    (Increase)/Decrease in Inventory</t>
  </si>
  <si>
    <t xml:space="preserve">    (Increase)/Decrease in Prepaid Exp</t>
  </si>
  <si>
    <t xml:space="preserve">    Increase/(Decrease) in A/P</t>
  </si>
  <si>
    <t xml:space="preserve">    Increase/(Decrease) in Accrued Liab</t>
  </si>
  <si>
    <t xml:space="preserve">    Increase/(Decrease) in Unearned Rev</t>
  </si>
  <si>
    <t xml:space="preserve">NET CASH FROM OPERATING ACTIVITIES</t>
  </si>
  <si>
    <t xml:space="preserve">INVESTING ACTIVITIES</t>
  </si>
  <si>
    <t xml:space="preserve">  Purchase of PP&amp;E</t>
  </si>
  <si>
    <t xml:space="preserve">  Purchase of Investments</t>
  </si>
  <si>
    <t xml:space="preserve">  Proceeds from sale of assets</t>
  </si>
  <si>
    <t xml:space="preserve">NET CASH FROM INVESTING ACTIVITIES</t>
  </si>
  <si>
    <t xml:space="preserve">FINANCING ACTIVITIES</t>
  </si>
  <si>
    <t xml:space="preserve">  Proceeds from borrowings</t>
  </si>
  <si>
    <t xml:space="preserve">  Repayment of loans</t>
  </si>
  <si>
    <t xml:space="preserve">  Owner contributions</t>
  </si>
  <si>
    <t xml:space="preserve">  Owner drawings / Dividends</t>
  </si>
  <si>
    <t xml:space="preserve">NET CASH FROM FINANCING ACTIVITIES</t>
  </si>
  <si>
    <t xml:space="preserve">NET INCREASE/(DECREASE) IN CASH</t>
  </si>
  <si>
    <t xml:space="preserve">  Beginning Cash Balance</t>
  </si>
  <si>
    <t xml:space="preserve">ENDING CASH BALANCE</t>
  </si>
  <si>
    <t xml:space="preserve">ACCOUNTING SYSTEM DASHBOARD</t>
  </si>
  <si>
    <t xml:space="preserve">Real-time summary linked from all sheets  |  Run macro on Trial Balance to generate Financial Statements</t>
  </si>
  <si>
    <t xml:space="preserve">Period: </t>
  </si>
  <si>
    <t xml:space="preserve">QUICK FINANCIAL SUMMARY</t>
  </si>
  <si>
    <t xml:space="preserve">SYSTEM GUIDE</t>
  </si>
  <si>
    <t xml:space="preserve">Total Revenue</t>
  </si>
  <si>
    <t xml:space="preserve">1. Start in Chart of Accounts — review/add accounts</t>
  </si>
  <si>
    <t xml:space="preserve">Total Expenses</t>
  </si>
  <si>
    <t xml:space="preserve">2. Enter transactions in General Journal (double-entry)</t>
  </si>
  <si>
    <t xml:space="preserve">Net Income</t>
  </si>
  <si>
    <t xml:space="preserve">3. General Ledger auto-tallies all accounts via SUMIF</t>
  </si>
  <si>
    <t xml:space="preserve">Total Assets</t>
  </si>
  <si>
    <t xml:space="preserve">4. Go to Trial Balance → click MACRO BUTTON</t>
  </si>
  <si>
    <t xml:space="preserve">Total Liabilities</t>
  </si>
  <si>
    <t xml:space="preserve">5. Macro populates Income Statement, Balance Sheet &amp; Cash Flow</t>
  </si>
  <si>
    <t xml:space="preserve">Total Equity</t>
  </si>
  <si>
    <t xml:space="preserve">6. Review Income Tax Table for 2025 tax planning</t>
  </si>
  <si>
    <t xml:space="preserve">Net Cash from Operations</t>
  </si>
  <si>
    <t xml:space="preserve">7. Save as .xlsm to enable the macro button</t>
  </si>
  <si>
    <t xml:space="preserve">Trial Balance Status</t>
  </si>
  <si>
    <t xml:space="preserve">8. Blue text = input  |  Black = formula  |  Green = cross-sheet link</t>
  </si>
  <si>
    <t xml:space="preserve">★  To activate macro: ALT+F11 &gt; Import GenerateFinancialStatements.bas &gt; Save as .xlsm &gt; Assign to button</t>
  </si>
  <si>
    <t xml:space="preserve">PHILIPPINE INCOME TAX REFERENCE TABLE — 2025  (TRAIN Law &amp; CREATE Act)</t>
  </si>
  <si>
    <t xml:space="preserve">Bureau of Internal Revenue (BIR)  |  RA 10963 (TRAIN Law)  |  RA 11534 (CREATE Act)  |  RA 11975 (CREATE MORE)  |  RA 12214 (CMEPA 2025)</t>
  </si>
  <si>
    <t xml:space="preserve">SECTION 1 — INDIVIDUAL INCOME TAX: GRADUATED RATES  (TRAIN Law Schedule 2 — effective 2023 onwards)</t>
  </si>
  <si>
    <t xml:space="preserve">Applies to: Compensation Earners | Self-Employed/Professionals with gross receipts &gt; ₱3M | Those who OPTED OUT of 8% flat tax</t>
  </si>
  <si>
    <t xml:space="preserve">Annual Taxable Income Bracket</t>
  </si>
  <si>
    <t xml:space="preserve">Base Tax (₱)</t>
  </si>
  <si>
    <t xml:space="preserve">Rate on Excess</t>
  </si>
  <si>
    <t xml:space="preserve">Tax at Upper Limit</t>
  </si>
  <si>
    <t xml:space="preserve">₱0 – ₱250,000</t>
  </si>
  <si>
    <t xml:space="preserve">—</t>
  </si>
  <si>
    <t xml:space="preserve">EXEMPT</t>
  </si>
  <si>
    <t xml:space="preserve">EXEMPT — zero income tax due</t>
  </si>
  <si>
    <t xml:space="preserve">₱250,001 – ₱400,000</t>
  </si>
  <si>
    <t xml:space="preserve">₱0</t>
  </si>
  <si>
    <t xml:space="preserve">15%</t>
  </si>
  <si>
    <t xml:space="preserve">₱22,500</t>
  </si>
  <si>
    <t xml:space="preserve">15% on excess over ₱250,000</t>
  </si>
  <si>
    <t xml:space="preserve">₱400,001 – ₱800,000</t>
  </si>
  <si>
    <t xml:space="preserve">20%</t>
  </si>
  <si>
    <t xml:space="preserve">₱102,500</t>
  </si>
  <si>
    <t xml:space="preserve">₱22,500 + 20% on excess over ₱400,000</t>
  </si>
  <si>
    <t xml:space="preserve">₱800,001 – ₱2,000,000</t>
  </si>
  <si>
    <t xml:space="preserve">25%</t>
  </si>
  <si>
    <t xml:space="preserve">₱402,500</t>
  </si>
  <si>
    <t xml:space="preserve">₱102,500 + 25% on excess over ₱800,000</t>
  </si>
  <si>
    <t xml:space="preserve">₱2,000,001 – ₱8,000,000</t>
  </si>
  <si>
    <t xml:space="preserve">30%</t>
  </si>
  <si>
    <t xml:space="preserve">₱2,202,500</t>
  </si>
  <si>
    <t xml:space="preserve">₱402,500 + 30% on excess over ₱2,000,000</t>
  </si>
  <si>
    <t xml:space="preserve">Over ₱8,000,000</t>
  </si>
  <si>
    <t xml:space="preserve">35%</t>
  </si>
  <si>
    <t xml:space="preserve">No limit</t>
  </si>
  <si>
    <t xml:space="preserve">₱2,202,500 + 35% on excess over ₱8,000,000</t>
  </si>
  <si>
    <t xml:space="preserve">SECTION 2 — 8% FLAT INCOME TAX RATE OPTION  (Self-Employed &amp; Professionals)</t>
  </si>
  <si>
    <t xml:space="preserve">Available ONLY to self-employed individuals &amp; professionals with gross sales/receipts NOT exceeding the ₱3,000,000 VAT threshold</t>
  </si>
  <si>
    <t xml:space="preserve">Condition</t>
  </si>
  <si>
    <t xml:space="preserve">Rate</t>
  </si>
  <si>
    <t xml:space="preserve">Tax Base</t>
  </si>
  <si>
    <t xml:space="preserve">Exemption</t>
  </si>
  <si>
    <t xml:space="preserve">Remarks</t>
  </si>
  <si>
    <t xml:space="preserve">Gross sales/receipts ≤ ₱3,000,000</t>
  </si>
  <si>
    <t xml:space="preserve">8%</t>
  </si>
  <si>
    <t xml:space="preserve">Gross Sales/Receipts − ₱250,000</t>
  </si>
  <si>
    <t xml:space="preserve">₱250,000 exempt</t>
  </si>
  <si>
    <t xml:space="preserve">In lieu of graduated income tax AND 3% percentage tax</t>
  </si>
  <si>
    <t xml:space="preserve">Gross sales/receipts &gt; ₱3,000,000</t>
  </si>
  <si>
    <t xml:space="preserve">Not eligible</t>
  </si>
  <si>
    <t xml:space="preserve">Must use graduated rates</t>
  </si>
  <si>
    <t xml:space="preserve">N/A</t>
  </si>
  <si>
    <t xml:space="preserve">Automatically subject to graduated rates + 12% VAT</t>
  </si>
  <si>
    <t xml:space="preserve">Mixed income earner (employment + business)</t>
  </si>
  <si>
    <t xml:space="preserve">8% on business only</t>
  </si>
  <si>
    <t xml:space="preserve">Business/professional income only</t>
  </si>
  <si>
    <t xml:space="preserve">Compensation income still taxed under graduated rates</t>
  </si>
  <si>
    <t xml:space="preserve">Election of 8% option</t>
  </si>
  <si>
    <t xml:space="preserve">Irrevocable for taxable year</t>
  </si>
  <si>
    <t xml:space="preserve">Filed on 1st quarter BIR Form 1701Q</t>
  </si>
  <si>
    <t xml:space="preserve">Revocable only on the next taxable year</t>
  </si>
  <si>
    <t xml:space="preserve">SECTION 3 — CORPORATE INCOME TAX  (CREATE Act RA 11534 | CREATE MORE RA 11975 effective 2025)</t>
  </si>
  <si>
    <t xml:space="preserve">Corporation Type</t>
  </si>
  <si>
    <t xml:space="preserve">CIT Rate</t>
  </si>
  <si>
    <t xml:space="preserve">Basis</t>
  </si>
  <si>
    <t xml:space="preserve">MCIT</t>
  </si>
  <si>
    <t xml:space="preserve">Domestic Corporations (Regular)</t>
  </si>
  <si>
    <t xml:space="preserve">Net Taxable Income</t>
  </si>
  <si>
    <t xml:space="preserve">2% of Gross Income (from 4th year of operations)</t>
  </si>
  <si>
    <t xml:space="preserve">Standard rate; MCIT applies if higher than regular CIT</t>
  </si>
  <si>
    <t xml:space="preserve">MSMEs (net taxable income ≤ ₱5M AND assets ≤ ₱100M excl. land)</t>
  </si>
  <si>
    <t xml:space="preserve">2% MCIT also applies</t>
  </si>
  <si>
    <t xml:space="preserve">Reduced rate under CREATE Act; must meet BOTH thresholds</t>
  </si>
  <si>
    <t xml:space="preserve">Proprietary Educational Institutions / Hospitals</t>
  </si>
  <si>
    <t xml:space="preserve">10%</t>
  </si>
  <si>
    <t xml:space="preserve">Provided ≤ 50% of gross income is from unrelated trade</t>
  </si>
  <si>
    <t xml:space="preserve">Non-Profit / Tax-Exempt Corporations</t>
  </si>
  <si>
    <t xml:space="preserve">Exempt</t>
  </si>
  <si>
    <t xml:space="preserve">Qualifying income only</t>
  </si>
  <si>
    <t xml:space="preserve">Unrelated business income taxable at 25%; requires BIR ruling</t>
  </si>
  <si>
    <t xml:space="preserve">Resident Foreign Corporations (RFC)</t>
  </si>
  <si>
    <t xml:space="preserve">Net Taxable Income (PH-sourced only)</t>
  </si>
  <si>
    <t xml:space="preserve">2% MCIT</t>
  </si>
  <si>
    <t xml:space="preserve">Same treatment as domestic corps under CREATE Act</t>
  </si>
  <si>
    <t xml:space="preserve">Non-Resident Foreign Corporations (NRFC)</t>
  </si>
  <si>
    <t xml:space="preserve">Gross Income (PH-sourced only)</t>
  </si>
  <si>
    <t xml:space="preserve">None</t>
  </si>
  <si>
    <t xml:space="preserve">No MCIT; subject to final withholding tax by payor</t>
  </si>
  <si>
    <t xml:space="preserve">CREATE MORE — Enhanced Deductions Regime</t>
  </si>
  <si>
    <t xml:space="preserve">Registered activity income only</t>
  </si>
  <si>
    <t xml:space="preserve">RA 11975; for FIRB/IPA-registered entities effective 2025</t>
  </si>
  <si>
    <t xml:space="preserve">Branch Profit Remittance Tax</t>
  </si>
  <si>
    <t xml:space="preserve">Total profits remitted abroad</t>
  </si>
  <si>
    <t xml:space="preserve">Applied on profits remitted by branch to foreign parent</t>
  </si>
  <si>
    <t xml:space="preserve">SECTION 4 — VALUE ADDED TAX (VAT) &amp; PERCENTAGE TAX</t>
  </si>
  <si>
    <t xml:space="preserve">Tax Type</t>
  </si>
  <si>
    <t xml:space="preserve">Threshold / Coverage</t>
  </si>
  <si>
    <t xml:space="preserve">Filing</t>
  </si>
  <si>
    <t xml:space="preserve">VAT — Standard Rate</t>
  </si>
  <si>
    <t xml:space="preserve">12%</t>
  </si>
  <si>
    <t xml:space="preserve">Gross sales/receipts &gt; ₱3,000,000/year</t>
  </si>
  <si>
    <t xml:space="preserve">Monthly BIR 2550M + Quarterly BIR 2550Q</t>
  </si>
  <si>
    <t xml:space="preserve">Input VAT creditable against output VAT</t>
  </si>
  <si>
    <t xml:space="preserve">VAT — Zero-Rated</t>
  </si>
  <si>
    <t xml:space="preserve">0%</t>
  </si>
  <si>
    <t xml:space="preserve">Exports, PEZA-registered entities, specific services</t>
  </si>
  <si>
    <t xml:space="preserve">Same as standard VAT returns</t>
  </si>
  <si>
    <t xml:space="preserve">Seller entitled to input VAT refund or credit</t>
  </si>
  <si>
    <t xml:space="preserve">VAT — Exempt Transactions</t>
  </si>
  <si>
    <t xml:space="preserve">Basic goods (raw food), education, health, books, etc.</t>
  </si>
  <si>
    <t xml:space="preserve">No VAT filing on exempt sales</t>
  </si>
  <si>
    <t xml:space="preserve">Cannot claim input VAT on purchases relating to exempt sales</t>
  </si>
  <si>
    <t xml:space="preserve">Percentage Tax (Non-VAT)</t>
  </si>
  <si>
    <t xml:space="preserve">3%</t>
  </si>
  <si>
    <t xml:space="preserve">Gross receipts ≤ ₱3,000,000/year</t>
  </si>
  <si>
    <t xml:space="preserve">Quarterly BIR 2551Q</t>
  </si>
  <si>
    <t xml:space="preserve">In lieu of VAT; no input VAT credits available</t>
  </si>
  <si>
    <t xml:space="preserve">Digital Services VAT — RA 12023</t>
  </si>
  <si>
    <t xml:space="preserve">Non-resident digital service providers (PH-consumed services)</t>
  </si>
  <si>
    <t xml:space="preserve">Withholding by VAT-registered buyers; monthly remittance</t>
  </si>
  <si>
    <t xml:space="preserve">Effective June 2, 2025 — streaming, cloud, online platforms</t>
  </si>
  <si>
    <t xml:space="preserve">SECTION 5 — KEY WITHHOLDING TAX RATES  (Creditable &amp; Final)</t>
  </si>
  <si>
    <t xml:space="preserve">Income Payment Type</t>
  </si>
  <si>
    <t xml:space="preserve">WHT Rate</t>
  </si>
  <si>
    <t xml:space="preserve">Type</t>
  </si>
  <si>
    <t xml:space="preserve">BIR Form</t>
  </si>
  <si>
    <t xml:space="preserve">Professional fees — Individuals</t>
  </si>
  <si>
    <t xml:space="preserve">10% / 15%</t>
  </si>
  <si>
    <t xml:space="preserve">Creditable</t>
  </si>
  <si>
    <t xml:space="preserve">1601-EQ</t>
  </si>
  <si>
    <t xml:space="preserve">10% if gross income ≤ ₱3M/yr; 15% if &gt; ₱3M/yr</t>
  </si>
  <si>
    <t xml:space="preserve">Professional fees — Juridical persons</t>
  </si>
  <si>
    <t xml:space="preserve">Standard EWT rate for companies</t>
  </si>
  <si>
    <t xml:space="preserve">Rentals — real property</t>
  </si>
  <si>
    <t xml:space="preserve">5%</t>
  </si>
  <si>
    <t xml:space="preserve">On gross rental payments to individual or entity</t>
  </si>
  <si>
    <t xml:space="preserve">Interest on bank deposits (regular PH peso)</t>
  </si>
  <si>
    <t xml:space="preserve">Final</t>
  </si>
  <si>
    <t xml:space="preserve">1601-FQ</t>
  </si>
  <si>
    <t xml:space="preserve">Flat 20% FWT; updated under CMEPA 2025</t>
  </si>
  <si>
    <t xml:space="preserve">Interest on FCDU / expanded FCDU deposits</t>
  </si>
  <si>
    <t xml:space="preserve">Foreign currency deposit unit interest</t>
  </si>
  <si>
    <t xml:space="preserve">Dividends — to resident individual</t>
  </si>
  <si>
    <t xml:space="preserve">Paid by domestic corp to resident individual shareholder</t>
  </si>
  <si>
    <t xml:space="preserve">Dividends — to non-resident alien</t>
  </si>
  <si>
    <t xml:space="preserve">May be reduced under applicable PH tax treaty</t>
  </si>
  <si>
    <t xml:space="preserve">Royalties — books &amp; literary works</t>
  </si>
  <si>
    <t xml:space="preserve">Preferential rate for books, literary and musical works</t>
  </si>
  <si>
    <t xml:space="preserve">Royalties — patents, trademarks, etc.</t>
  </si>
  <si>
    <t xml:space="preserve">Standard rate for all other royalties</t>
  </si>
  <si>
    <t xml:space="preserve">Prizes exceeding ₱10,000</t>
  </si>
  <si>
    <t xml:space="preserve">Prizes ≤ ₱10,000 subject to graduated income tax</t>
  </si>
  <si>
    <t xml:space="preserve">Capital Gains Tax — Real Property (individual)</t>
  </si>
  <si>
    <t xml:space="preserve">6%</t>
  </si>
  <si>
    <t xml:space="preserve">1706</t>
  </si>
  <si>
    <t xml:space="preserve">Based on higher of selling price or BIR zonal value</t>
  </si>
  <si>
    <t xml:space="preserve">Capital Gains Tax — Unlisted Shares (CMEPA 2025)</t>
  </si>
  <si>
    <t xml:space="preserve">1707</t>
  </si>
  <si>
    <t xml:space="preserve">Unified 15% CGT on sale of unlisted shares</t>
  </si>
  <si>
    <t xml:space="preserve">Stock Transaction Tax — listed shares (CMEPA)</t>
  </si>
  <si>
    <t xml:space="preserve">0.1%</t>
  </si>
  <si>
    <t xml:space="preserve">2552</t>
  </si>
  <si>
    <t xml:space="preserve">Reduced from 0.6% to 0.1% under CMEPA 2025</t>
  </si>
  <si>
    <t xml:space="preserve">Fringe Benefits Tax (managerial / supervisory)</t>
  </si>
  <si>
    <t xml:space="preserve">1603Q</t>
  </si>
  <si>
    <t xml:space="preserve">Applied on grossed-up monetary value of fringe benefits</t>
  </si>
  <si>
    <t xml:space="preserve">13th Month Pay &amp; Bonuses — exempt portion</t>
  </si>
  <si>
    <t xml:space="preserve">2316</t>
  </si>
  <si>
    <t xml:space="preserve">Tax-free up to ₱90,000/year; excess subject to WHT</t>
  </si>
  <si>
    <t xml:space="preserve">SECTION 6 — DOCUMENTARY STAMP TAX (DST) — Selected Key Rates</t>
  </si>
  <si>
    <t xml:space="preserve">Document / Transaction</t>
  </si>
  <si>
    <t xml:space="preserve">DST Rate</t>
  </si>
  <si>
    <t xml:space="preserve">Original Issuance of Shares</t>
  </si>
  <si>
    <t xml:space="preserve">₱2.00 per ₱200 par value</t>
  </si>
  <si>
    <t xml:space="preserve">Par value of shares issued</t>
  </si>
  <si>
    <t xml:space="preserve">BIR 2000</t>
  </si>
  <si>
    <t xml:space="preserve">Effective rate: 1% of par value</t>
  </si>
  <si>
    <t xml:space="preserve">Sale / Transfer of Shares (unlisted) — CMEPA</t>
  </si>
  <si>
    <t xml:space="preserve">₱0.75 per ₱200</t>
  </si>
  <si>
    <t xml:space="preserve">Par value or actual consideration</t>
  </si>
  <si>
    <t xml:space="preserve">Reduced from 1% to 0.75% under CMEPA 2025</t>
  </si>
  <si>
    <t xml:space="preserve">Loan Agreements / Promissory Notes</t>
  </si>
  <si>
    <t xml:space="preserve">₱1.00 per ₱200</t>
  </si>
  <si>
    <t xml:space="preserve">Face amount of instrument</t>
  </si>
  <si>
    <t xml:space="preserve">Effective rate: 0.5% of face value</t>
  </si>
  <si>
    <t xml:space="preserve">Deeds of Sale — Real Property</t>
  </si>
  <si>
    <t xml:space="preserve">₱15.00 per ₱1,000</t>
  </si>
  <si>
    <t xml:space="preserve">Higher of consideration or BIR zonal value</t>
  </si>
  <si>
    <t xml:space="preserve">Effective rate: 1.5%</t>
  </si>
  <si>
    <t xml:space="preserve">Mortgages / Pledges</t>
  </si>
  <si>
    <t xml:space="preserve">₱20 per first ₱5,000 + ₱10 per add'l ₱5,000</t>
  </si>
  <si>
    <t xml:space="preserve">Amount secured by instrument</t>
  </si>
  <si>
    <t xml:space="preserve">Sliding scale applied on total secured amount</t>
  </si>
  <si>
    <t xml:space="preserve">Lease Agreements</t>
  </si>
  <si>
    <t xml:space="preserve">₱3.00 per ₱2,000 per year</t>
  </si>
  <si>
    <t xml:space="preserve">Annual rental amount</t>
  </si>
  <si>
    <t xml:space="preserve">Charged per year of the lease term</t>
  </si>
  <si>
    <t xml:space="preserve">Life Insurance Policies (≤ ₱100K face value)</t>
  </si>
  <si>
    <t xml:space="preserve">₱50 flat</t>
  </si>
  <si>
    <t xml:space="preserve">Face amount of policy</t>
  </si>
  <si>
    <t xml:space="preserve">Higher amounts: ₱0.50 per ₱200 face value</t>
  </si>
  <si>
    <t xml:space="preserve">SECTION 7 — BIR FILING DEADLINES (Annual Reference)</t>
  </si>
  <si>
    <t xml:space="preserve">Tax Return</t>
  </si>
  <si>
    <t xml:space="preserve">Frequency</t>
  </si>
  <si>
    <t xml:space="preserve">Deadline</t>
  </si>
  <si>
    <t xml:space="preserve">Penalty for Late Filing</t>
  </si>
  <si>
    <t xml:space="preserve">Annual ITR — Individual (compensation only)</t>
  </si>
  <si>
    <t xml:space="preserve">1701A</t>
  </si>
  <si>
    <t xml:space="preserve">Annual</t>
  </si>
  <si>
    <t xml:space="preserve">April 15 of following year</t>
  </si>
  <si>
    <t xml:space="preserve">25% surcharge + 12% interest p.a. + compromise penalty</t>
  </si>
  <si>
    <t xml:space="preserve">Annual ITR — Individual (with business/professional income)</t>
  </si>
  <si>
    <t xml:space="preserve">1701</t>
  </si>
  <si>
    <t xml:space="preserve">Same as above</t>
  </si>
  <si>
    <t xml:space="preserve">Annual ITR — Corporation</t>
  </si>
  <si>
    <t xml:space="preserve">1702</t>
  </si>
  <si>
    <t xml:space="preserve">April 15 (calendar year); 60 days after fiscal year end</t>
  </si>
  <si>
    <t xml:space="preserve">25% surcharge + 12% interest p.a.</t>
  </si>
  <si>
    <t xml:space="preserve">Quarterly ITR — Individual</t>
  </si>
  <si>
    <t xml:space="preserve">1701Q</t>
  </si>
  <si>
    <t xml:space="preserve">Quarterly</t>
  </si>
  <si>
    <t xml:space="preserve">May 15 / Aug 15 / Nov 15</t>
  </si>
  <si>
    <t xml:space="preserve">Quarterly ITR — Corporation</t>
  </si>
  <si>
    <t xml:space="preserve">1702Q</t>
  </si>
  <si>
    <t xml:space="preserve">60 days after close of each quarter</t>
  </si>
  <si>
    <t xml:space="preserve">Monthly VAT Return</t>
  </si>
  <si>
    <t xml:space="preserve">2550M</t>
  </si>
  <si>
    <t xml:space="preserve">25th of following month</t>
  </si>
  <si>
    <t xml:space="preserve">Quarterly VAT Return</t>
  </si>
  <si>
    <t xml:space="preserve">2550Q</t>
  </si>
  <si>
    <t xml:space="preserve">25th day after quarter close</t>
  </si>
  <si>
    <t xml:space="preserve">Same as monthly VAT</t>
  </si>
  <si>
    <t xml:space="preserve">Quarterly Percentage Tax</t>
  </si>
  <si>
    <t xml:space="preserve">2551Q</t>
  </si>
  <si>
    <t xml:space="preserve">25% surcharge + interest</t>
  </si>
  <si>
    <t xml:space="preserve">Monthly WHT — Compensation</t>
  </si>
  <si>
    <t xml:space="preserve">1601C</t>
  </si>
  <si>
    <t xml:space="preserve">10th or 15th of following month (eFPS)</t>
  </si>
  <si>
    <t xml:space="preserve">Quarterly Final / Creditable WHT</t>
  </si>
  <si>
    <t xml:space="preserve">1601-EQ / 1601-FQ</t>
  </si>
  <si>
    <t xml:space="preserve">Last day of month after quarter end</t>
  </si>
  <si>
    <t xml:space="preserve">Annual Alphalist / Information Return</t>
  </si>
  <si>
    <t xml:space="preserve">1604C / 1604E / 1604F</t>
  </si>
  <si>
    <t xml:space="preserve">January 31 of following year</t>
  </si>
  <si>
    <t xml:space="preserve">₱1,000–₱25,000 per return</t>
  </si>
  <si>
    <t xml:space="preserve">Certificate of Compensation — per employee</t>
  </si>
  <si>
    <t xml:space="preserve">Annual / Upon separation</t>
  </si>
  <si>
    <t xml:space="preserve">January 31 or date of separation</t>
  </si>
  <si>
    <t xml:space="preserve">₱1,000–₱25,000 per employee</t>
  </si>
  <si>
    <t xml:space="preserve">SECTION 8 — QUICK TAX COMPUTATION GUIDE</t>
  </si>
  <si>
    <t xml:space="preserve">Formula: Tax Due = Base Tax + (Taxable Income − Lower Bracket Limit) × Rate on Excess</t>
  </si>
  <si>
    <t xml:space="preserve">Graduated Example: Taxable income ₱600,000  →  ₱22,500 + (₱600,000 − ₱400,000) × 20%  =  ₱22,500 + ₱40,000  =  ₱62,500 income tax</t>
  </si>
  <si>
    <t xml:space="preserve">8% Option Example: Gross receipts ₱1,500,000  →  (₱1,500,000 − ₱250,000) × 8%  =  ₱100,000 income tax  (replaces both income tax + percentage tax)</t>
  </si>
  <si>
    <t xml:space="preserve">⚠  DISCLAIMER &amp; SOURCES: Rates based on TRAIN Law (RA 10963), CREATE Act (RA 11534), CREATE MORE Act (RA 11975), Ease of Paying Taxes Act (RA 11976), and CMEPA (RA 12214). Digital Services VAT from RA 12023 effective June 2, 2025. Always verify current rates at www.bir.gov.ph before filing. This table is for general reference only and does not constitute legal or tax advice. Consult a licensed CPA or BIR-accredited tax practitioner for advice specific to your situation.</t>
  </si>
  <si>
    <t xml:space="preserve">🇵🇭  PHILIPPINE INCOME TAX CALCULATOR  |  2025 (TRAIN Law &amp; CREATE Act)</t>
  </si>
  <si>
    <t xml:space="preserve">Select taxpayer type below  |  Enter income figures in BLUE cells  |  Tax computed automatically</t>
  </si>
  <si>
    <t xml:space="preserve">STEP 1 — SELECT TAXPAYER TYPE:</t>
  </si>
  <si>
    <t xml:space="preserve">Individual (Compensation)</t>
  </si>
  <si>
    <t xml:space="preserve">STEP 2 — 8% FLAT TAX OPTION (Self-Employed / Mixed Income only):</t>
  </si>
  <si>
    <t xml:space="preserve">No (Use Graduated Rates)</t>
  </si>
  <si>
    <t xml:space="preserve">STEP 3 — ENTER INCOME &amp; DEDUCTION FIGURES</t>
  </si>
  <si>
    <t xml:space="preserve">INDIVIDUAL — COMPENSATION INCOME</t>
  </si>
  <si>
    <t xml:space="preserve">Gross Compensation Income</t>
  </si>
  <si>
    <t xml:space="preserve">Annual gross salary before deductions</t>
  </si>
  <si>
    <t xml:space="preserve">  Less: SSS / GSIS Contributions</t>
  </si>
  <si>
    <t xml:space="preserve">Mandatory contributions (deductible)</t>
  </si>
  <si>
    <t xml:space="preserve">  Less: PhilHealth Contributions</t>
  </si>
  <si>
    <t xml:space="preserve">  Less: Pag-IBIG Contributions</t>
  </si>
  <si>
    <t xml:space="preserve">  Less: 13th Month Pay / Bonuses (exempt portion)</t>
  </si>
  <si>
    <t xml:space="preserve">Max ₱90,000 exempt</t>
  </si>
  <si>
    <t xml:space="preserve">  Less: Other Non-Taxable Benefits</t>
  </si>
  <si>
    <t xml:space="preserve">De minimis etc.</t>
  </si>
  <si>
    <t xml:space="preserve">TAXABLE COMPENSATION INCOME</t>
  </si>
  <si>
    <t xml:space="preserve">Gross less all deductions</t>
  </si>
  <si>
    <t xml:space="preserve">INDIVIDUAL — BUSINESS / PROFESSIONAL INCOME (Self-Employed or Mixed)</t>
  </si>
  <si>
    <t xml:space="preserve">Gross Sales / Professional Receipts</t>
  </si>
  <si>
    <t xml:space="preserve">Total gross for the period</t>
  </si>
  <si>
    <t xml:space="preserve">  Less: Cost of Sales / Direct Costs</t>
  </si>
  <si>
    <t xml:space="preserve">COGS or direct service costs</t>
  </si>
  <si>
    <t xml:space="preserve">  Less: Allowable Business Deductions</t>
  </si>
  <si>
    <t xml:space="preserve">Operating expenses, depreciation etc.</t>
  </si>
  <si>
    <t xml:space="preserve">NET BUSINESS / PROFESSIONAL INCOME</t>
  </si>
  <si>
    <t xml:space="preserve">Gross less costs &amp; deductions</t>
  </si>
  <si>
    <t xml:space="preserve">PARTNERSHIP / CORPORATION — TAXABLE INCOME</t>
  </si>
  <si>
    <t xml:space="preserve">Gross Revenue / Sales</t>
  </si>
  <si>
    <t xml:space="preserve">Total gross income</t>
  </si>
  <si>
    <t xml:space="preserve">  Less: Cost of Sales</t>
  </si>
  <si>
    <t xml:space="preserve">COGS</t>
  </si>
  <si>
    <t xml:space="preserve">  Less: Allowable Deductions</t>
  </si>
  <si>
    <t xml:space="preserve">NET TAXABLE INCOME</t>
  </si>
  <si>
    <t xml:space="preserve">Gross Income (for MCIT computation)</t>
  </si>
  <si>
    <t xml:space="preserve">Gross Revenue less Cost of Sales only</t>
  </si>
  <si>
    <t xml:space="preserve">STEP 4 — INCOME TAX COMPUTATION</t>
  </si>
  <si>
    <t xml:space="preserve">Applicable Taxable Income / Gross Receipts</t>
  </si>
  <si>
    <t xml:space="preserve">Auto-selected based on taxpayer type above</t>
  </si>
  <si>
    <t xml:space="preserve">GRADUATED INCOME TAX COMPUTATION  (TRAIN Law Schedule 2)</t>
  </si>
  <si>
    <t xml:space="preserve">Income Bracket</t>
  </si>
  <si>
    <t xml:space="preserve">Lower Limit</t>
  </si>
  <si>
    <t xml:space="preserve">Base Tax</t>
  </si>
  <si>
    <t xml:space="preserve">Tax in Bracket</t>
  </si>
  <si>
    <t xml:space="preserve">₱0 – ₱250,000  (0% / Exempt)</t>
  </si>
  <si>
    <t xml:space="preserve">₱250,001 – ₱400,000  (15%)</t>
  </si>
  <si>
    <t xml:space="preserve">₱400,001 – ₱800,000  (20%)</t>
  </si>
  <si>
    <t xml:space="preserve">₱800,001 – ₱2,000,000  (25%)</t>
  </si>
  <si>
    <t xml:space="preserve">₱2,000,001 – ₱8,000,000  (30%)</t>
  </si>
  <si>
    <t xml:space="preserve">Over ₱8,000,000  (35%)</t>
  </si>
  <si>
    <t xml:space="preserve">TOTAL GRADUATED INCOME TAX</t>
  </si>
  <si>
    <t xml:space="preserve">8% FLAT INCOME TAX OPTION  (Self-Employed / Professional — Gross Receipts ≤ ₱3,000,000)</t>
  </si>
  <si>
    <t xml:space="preserve">Pulled from income input above</t>
  </si>
  <si>
    <t xml:space="preserve">  Less: ₱250,000 Exempt Amount</t>
  </si>
  <si>
    <t xml:space="preserve">Standard exempt amount per TRAIN Law</t>
  </si>
  <si>
    <t xml:space="preserve">  Net Tax Base (Gross Receipts − ₱250,000)</t>
  </si>
  <si>
    <t xml:space="preserve">  × 8% Flat Tax Rate</t>
  </si>
  <si>
    <t xml:space="preserve">TOTAL 8% FLAT TAX</t>
  </si>
  <si>
    <t xml:space="preserve">CORPORATE / PARTNERSHIP INCOME TAX  (Regular CIT &amp; MCIT)</t>
  </si>
  <si>
    <t xml:space="preserve">Applicable CIT Rate (based on taxpayer type)</t>
  </si>
  <si>
    <t xml:space="preserve">Auto-selected: 25% regular / 20% MSME or CREATE MORE / 10% School</t>
  </si>
  <si>
    <t xml:space="preserve">Regular CIT  (Net Taxable Income × CIT Rate)</t>
  </si>
  <si>
    <t xml:space="preserve">Regular CIT</t>
  </si>
  <si>
    <t xml:space="preserve">MCIT  (Gross Income × 2%)</t>
  </si>
  <si>
    <t xml:space="preserve">MCIT applies from 4th year of operations</t>
  </si>
  <si>
    <t xml:space="preserve">MCIT Applicable?  (from 4th year of operations)</t>
  </si>
  <si>
    <t xml:space="preserve">No</t>
  </si>
  <si>
    <t xml:space="preserve">Select Yes if company is in 4th year or beyond</t>
  </si>
  <si>
    <t xml:space="preserve">TOTAL CORPORATE / PARTNERSHIP TAX</t>
  </si>
  <si>
    <t xml:space="preserve">STEP 5 — INCOME TAX DUE SUMMARY</t>
  </si>
  <si>
    <t xml:space="preserve">Taxpayer Type</t>
  </si>
  <si>
    <t xml:space="preserve">8% Option Elected?</t>
  </si>
  <si>
    <t xml:space="preserve">Taxable Income / Tax Base Used</t>
  </si>
  <si>
    <t xml:space="preserve">Auto-selected based on taxpayer type</t>
  </si>
  <si>
    <t xml:space="preserve">INCOME TAX DUE</t>
  </si>
  <si>
    <t xml:space="preserve">Final tax due per BIR return</t>
  </si>
  <si>
    <t xml:space="preserve">Effective Tax Rate</t>
  </si>
  <si>
    <t xml:space="preserve">Tax Due ÷ Taxable Income</t>
  </si>
  <si>
    <t xml:space="preserve">Less: Creditable Withholding Tax (CWT)</t>
  </si>
  <si>
    <t xml:space="preserve">Enter total CWT certificates (BIR Form 2307)</t>
  </si>
  <si>
    <t xml:space="preserve">Less: Prior Quarter Tax Payments</t>
  </si>
  <si>
    <t xml:space="preserve">Quarterly payments already remitted</t>
  </si>
  <si>
    <t xml:space="preserve">TAX STILL DUE / (OVERPAYMENT)</t>
  </si>
  <si>
    <t xml:space="preserve">(Negative = refundable overpayment)</t>
  </si>
  <si>
    <t xml:space="preserve">⚠  DISCLAIMER: This calculator is for estimation purposes only based on TRAIN Law (RA 10963) and CREATE Act (RA 11534) rates. It does not account for all BIR-specific rules, special deductions, tax treaty benefits, or audit adjustments. Computed figures should not be used as final tax returns without review by a licensed CPA. Always file official BIR returns and verify rates at www.bir.gov.ph.</t>
  </si>
</sst>
</file>

<file path=xl/styles.xml><?xml version="1.0" encoding="utf-8"?>
<styleSheet xmlns="http://schemas.openxmlformats.org/spreadsheetml/2006/main">
  <numFmts count="9">
    <numFmt numFmtId="164" formatCode="General"/>
    <numFmt numFmtId="165" formatCode="0"/>
    <numFmt numFmtId="166" formatCode="\₱#,##0.00;&quot;(₱&quot;#,##0.00\);\-"/>
    <numFmt numFmtId="167" formatCode="yyyy\-mm\-dd"/>
    <numFmt numFmtId="168" formatCode="General"/>
    <numFmt numFmtId="169" formatCode="\₱#,##0;&quot;(₱&quot;#,##0\);\-"/>
    <numFmt numFmtId="170" formatCode="0%"/>
    <numFmt numFmtId="171" formatCode="0.00%;\(0.00%\)"/>
    <numFmt numFmtId="172" formatCode="\₱#,##0.00;&quot;(₱&quot;#,##0.00\);\-"/>
  </numFmts>
  <fonts count="4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9"/>
      <color rgb="FFFFFFFF"/>
      <name val="Arial"/>
      <family val="0"/>
      <charset val="1"/>
    </font>
    <font>
      <sz val="9"/>
      <color rgb="FF1B3A6B"/>
      <name val="Arial"/>
      <family val="0"/>
      <charset val="1"/>
    </font>
    <font>
      <sz val="9"/>
      <color rgb="FF1A1A2E"/>
      <name val="Arial"/>
      <family val="0"/>
      <charset val="1"/>
    </font>
    <font>
      <b val="true"/>
      <sz val="16"/>
      <color rgb="FFFFFFFF"/>
      <name val="Arial"/>
      <family val="0"/>
      <charset val="1"/>
    </font>
    <font>
      <b val="true"/>
      <sz val="10"/>
      <color rgb="FFFFFFFF"/>
      <name val="Arial"/>
      <family val="0"/>
      <charset val="1"/>
    </font>
    <font>
      <b val="true"/>
      <sz val="10"/>
      <color rgb="FFC9A84C"/>
      <name val="Arial"/>
      <family val="0"/>
      <charset val="1"/>
    </font>
    <font>
      <b val="true"/>
      <sz val="11"/>
      <color rgb="FF0000FF"/>
      <name val="Arial"/>
      <family val="0"/>
      <charset val="1"/>
    </font>
    <font>
      <i val="true"/>
      <sz val="8"/>
      <color rgb="FF555555"/>
      <name val="Arial"/>
      <family val="0"/>
      <charset val="1"/>
    </font>
    <font>
      <b val="true"/>
      <sz val="9"/>
      <color rgb="FF1A1A2E"/>
      <name val="Arial"/>
      <family val="0"/>
      <charset val="1"/>
    </font>
    <font>
      <b val="true"/>
      <sz val="9"/>
      <color rgb="FF2E7D32"/>
      <name val="Arial"/>
      <family val="0"/>
      <charset val="1"/>
    </font>
    <font>
      <b val="true"/>
      <sz val="9"/>
      <color rgb="FFC62828"/>
      <name val="Arial"/>
      <family val="0"/>
      <charset val="1"/>
    </font>
    <font>
      <sz val="8"/>
      <color rgb="FF999999"/>
      <name val="Arial"/>
      <family val="0"/>
      <charset val="1"/>
    </font>
    <font>
      <sz val="9"/>
      <color rgb="FF0000FF"/>
      <name val="Arial"/>
      <family val="0"/>
      <charset val="1"/>
    </font>
    <font>
      <sz val="9"/>
      <color rgb="FF006400"/>
      <name val="Arial"/>
      <family val="0"/>
      <charset val="1"/>
    </font>
    <font>
      <b val="true"/>
      <sz val="11"/>
      <color rgb="FFC9A84C"/>
      <name val="Arial"/>
      <family val="0"/>
      <charset val="1"/>
    </font>
    <font>
      <b val="true"/>
      <sz val="11"/>
      <color rgb="FF1B3A6B"/>
      <name val="Arial"/>
      <family val="0"/>
      <charset val="1"/>
    </font>
    <font>
      <i val="true"/>
      <sz val="8"/>
      <color rgb="FF888888"/>
      <name val="Arial"/>
      <family val="0"/>
      <charset val="1"/>
    </font>
    <font>
      <sz val="8"/>
      <color rgb="FF888888"/>
      <name val="Arial"/>
      <family val="0"/>
      <charset val="1"/>
    </font>
    <font>
      <i val="true"/>
      <sz val="8"/>
      <color rgb="FF1A1A2E"/>
      <name val="Arial"/>
      <family val="0"/>
      <charset val="1"/>
    </font>
    <font>
      <b val="true"/>
      <sz val="9"/>
      <color rgb="FF000000"/>
      <name val="Arial"/>
      <family val="0"/>
      <charset val="1"/>
    </font>
    <font>
      <b val="true"/>
      <sz val="10"/>
      <color rgb="FF006400"/>
      <name val="Arial"/>
      <family val="0"/>
      <charset val="1"/>
    </font>
    <font>
      <sz val="9"/>
      <color rgb="FF000000"/>
      <name val="Arial"/>
      <family val="0"/>
      <charset val="1"/>
    </font>
    <font>
      <i val="true"/>
      <sz val="9"/>
      <color rgb="FF888888"/>
      <name val="Arial"/>
      <family val="0"/>
      <charset val="1"/>
    </font>
    <font>
      <sz val="8"/>
      <color rgb="FFFFFFFF"/>
      <name val="Arial"/>
      <family val="0"/>
      <charset val="1"/>
    </font>
    <font>
      <b val="true"/>
      <sz val="11"/>
      <color rgb="FF006400"/>
      <name val="Arial"/>
      <family val="0"/>
      <charset val="1"/>
    </font>
    <font>
      <b val="true"/>
      <sz val="9"/>
      <color rgb="FF006400"/>
      <name val="Arial"/>
      <family val="0"/>
      <charset val="1"/>
    </font>
    <font>
      <b val="true"/>
      <sz val="13"/>
      <color rgb="FFFFFFFF"/>
      <name val="Arial"/>
      <family val="0"/>
      <charset val="1"/>
    </font>
    <font>
      <b val="true"/>
      <sz val="9"/>
      <color rgb="FF1B3A6B"/>
      <name val="Arial"/>
      <family val="0"/>
      <charset val="1"/>
    </font>
    <font>
      <i val="true"/>
      <sz val="9"/>
      <color rgb="FF555555"/>
      <name val="Arial"/>
      <family val="0"/>
      <charset val="1"/>
    </font>
    <font>
      <sz val="9"/>
      <color rgb="FFC62828"/>
      <name val="Arial"/>
      <family val="0"/>
      <charset val="1"/>
    </font>
    <font>
      <b val="true"/>
      <sz val="9"/>
      <color rgb="FF555555"/>
      <name val="Arial"/>
      <family val="0"/>
      <charset val="1"/>
    </font>
    <font>
      <i val="true"/>
      <sz val="9"/>
      <color rgb="FFC62828"/>
      <name val="Arial"/>
      <family val="0"/>
      <charset val="1"/>
    </font>
    <font>
      <i val="true"/>
      <sz val="9"/>
      <color rgb="FF1A1A2E"/>
      <name val="Arial"/>
      <family val="0"/>
      <charset val="1"/>
    </font>
    <font>
      <i val="true"/>
      <sz val="8"/>
      <color rgb="FFC62828"/>
      <name val="Arial"/>
      <family val="0"/>
      <charset val="1"/>
    </font>
    <font>
      <i val="true"/>
      <sz val="9"/>
      <color rgb="FFCCBBDD"/>
      <name val="Arial"/>
      <family val="0"/>
      <charset val="1"/>
    </font>
    <font>
      <i val="true"/>
      <sz val="8"/>
      <color rgb="FF0D6E6E"/>
      <name val="Arial"/>
      <family val="0"/>
      <charset val="1"/>
    </font>
    <font>
      <sz val="10"/>
      <color rgb="FF0000FF"/>
      <name val="Arial"/>
      <family val="0"/>
      <charset val="1"/>
    </font>
    <font>
      <i val="true"/>
      <sz val="8"/>
      <color rgb="FF777777"/>
      <name val="Arial"/>
      <family val="0"/>
      <charset val="1"/>
    </font>
    <font>
      <b val="true"/>
      <sz val="10"/>
      <color rgb="FF000000"/>
      <name val="Arial"/>
      <family val="0"/>
      <charset val="1"/>
    </font>
    <font>
      <b val="true"/>
      <sz val="8"/>
      <color rgb="FFFFFFFF"/>
      <name val="Arial"/>
      <family val="0"/>
      <charset val="1"/>
    </font>
    <font>
      <b val="true"/>
      <sz val="11"/>
      <color rgb="FFFFFFFF"/>
      <name val="Arial"/>
      <family val="0"/>
      <charset val="1"/>
    </font>
    <font>
      <b val="true"/>
      <sz val="9"/>
      <color rgb="FF4A148C"/>
      <name val="Arial"/>
      <family val="0"/>
      <charset val="1"/>
    </font>
    <font>
      <b val="true"/>
      <sz val="12"/>
      <color rgb="FFFFFFFF"/>
      <name val="Arial"/>
      <family val="0"/>
      <charset val="1"/>
    </font>
    <font>
      <i val="true"/>
      <sz val="9"/>
      <color rgb="FFFFFFFF"/>
      <name val="Arial"/>
      <family val="0"/>
      <charset val="1"/>
    </font>
  </fonts>
  <fills count="20">
    <fill>
      <patternFill patternType="none"/>
    </fill>
    <fill>
      <patternFill patternType="gray125"/>
    </fill>
    <fill>
      <patternFill patternType="solid">
        <fgColor rgb="FF1B3A6B"/>
        <bgColor rgb="FF1A1A2E"/>
      </patternFill>
    </fill>
    <fill>
      <patternFill patternType="solid">
        <fgColor rgb="FF0D6E6E"/>
        <bgColor rgb="FF008080"/>
      </patternFill>
    </fill>
    <fill>
      <patternFill patternType="solid">
        <fgColor rgb="FFD6E4F7"/>
        <bgColor rgb="FFD9DCE3"/>
      </patternFill>
    </fill>
    <fill>
      <patternFill patternType="solid">
        <fgColor rgb="FFE3F2FD"/>
        <bgColor rgb="FFE8F5E9"/>
      </patternFill>
    </fill>
    <fill>
      <patternFill patternType="solid">
        <fgColor rgb="FFFEF0F0"/>
        <bgColor rgb="FFFFF3E0"/>
      </patternFill>
    </fill>
    <fill>
      <patternFill patternType="solid">
        <fgColor rgb="FFE8F5E9"/>
        <bgColor rgb="FFE3F2FD"/>
      </patternFill>
    </fill>
    <fill>
      <patternFill patternType="solid">
        <fgColor rgb="FFF3E5F5"/>
        <bgColor rgb="FFEDE7F6"/>
      </patternFill>
    </fill>
    <fill>
      <patternFill patternType="solid">
        <fgColor rgb="FFFFF8E7"/>
        <bgColor rgb="FFFFF3E0"/>
      </patternFill>
    </fill>
    <fill>
      <patternFill patternType="solid">
        <fgColor rgb="FFF5F6FA"/>
        <bgColor rgb="FFFEF0F0"/>
      </patternFill>
    </fill>
    <fill>
      <patternFill patternType="solid">
        <fgColor rgb="FFC62828"/>
        <bgColor rgb="FFB71C1C"/>
      </patternFill>
    </fill>
    <fill>
      <patternFill patternType="solid">
        <fgColor rgb="FFFFFFFF"/>
        <bgColor rgb="FFF5F6FA"/>
      </patternFill>
    </fill>
    <fill>
      <patternFill patternType="solid">
        <fgColor rgb="FFC9A84C"/>
        <bgColor rgb="FF999999"/>
      </patternFill>
    </fill>
    <fill>
      <patternFill patternType="solid">
        <fgColor rgb="FFC8E6C9"/>
        <bgColor rgb="FFD9DCE3"/>
      </patternFill>
    </fill>
    <fill>
      <patternFill patternType="solid">
        <fgColor rgb="FF1B5E20"/>
        <bgColor rgb="FF006400"/>
      </patternFill>
    </fill>
    <fill>
      <patternFill patternType="solid">
        <fgColor rgb="FFB71C1C"/>
        <bgColor rgb="FFC62828"/>
      </patternFill>
    </fill>
    <fill>
      <patternFill patternType="solid">
        <fgColor rgb="FFFFF3E0"/>
        <bgColor rgb="FFFFF8E7"/>
      </patternFill>
    </fill>
    <fill>
      <patternFill patternType="solid">
        <fgColor rgb="FF4A148C"/>
        <bgColor rgb="FF6A1B9A"/>
      </patternFill>
    </fill>
    <fill>
      <patternFill patternType="solid">
        <fgColor rgb="FFEDE7F6"/>
        <bgColor rgb="FFF3E5F5"/>
      </patternFill>
    </fill>
  </fills>
  <borders count="10">
    <border diagonalUp="false" diagonalDown="false">
      <left/>
      <right/>
      <top/>
      <bottom/>
      <diagonal/>
    </border>
    <border diagonalUp="false" diagonalDown="false">
      <left style="thin">
        <color rgb="FF1B3A6B"/>
      </left>
      <right style="thin">
        <color rgb="FF1B3A6B"/>
      </right>
      <top style="thin">
        <color rgb="FF1B3A6B"/>
      </top>
      <bottom style="thin">
        <color rgb="FF1B3A6B"/>
      </bottom>
      <diagonal/>
    </border>
    <border diagonalUp="false" diagonalDown="false">
      <left style="thin">
        <color rgb="FFD9DCE3"/>
      </left>
      <right style="thin">
        <color rgb="FFD9DCE3"/>
      </right>
      <top style="thin">
        <color rgb="FFD9DCE3"/>
      </top>
      <bottom style="thin">
        <color rgb="FFD9DCE3"/>
      </bottom>
      <diagonal/>
    </border>
    <border diagonalUp="false" diagonalDown="false">
      <left style="thin">
        <color rgb="FFD9DCE3"/>
      </left>
      <right/>
      <top style="thin">
        <color rgb="FFD9DCE3"/>
      </top>
      <bottom style="thin">
        <color rgb="FFD9DCE3"/>
      </bottom>
      <diagonal/>
    </border>
    <border diagonalUp="false" diagonalDown="false">
      <left style="thin">
        <color rgb="FF0D6E6E"/>
      </left>
      <right style="thin">
        <color rgb="FF0D6E6E"/>
      </right>
      <top style="thin">
        <color rgb="FF0D6E6E"/>
      </top>
      <bottom style="thin">
        <color rgb="FF0D6E6E"/>
      </bottom>
      <diagonal/>
    </border>
    <border diagonalUp="false" diagonalDown="false">
      <left style="medium">
        <color rgb="FF1B3A6B"/>
      </left>
      <right style="medium">
        <color rgb="FF1B3A6B"/>
      </right>
      <top style="medium">
        <color rgb="FF1B3A6B"/>
      </top>
      <bottom style="medium">
        <color rgb="FF1B3A6B"/>
      </bottom>
      <diagonal/>
    </border>
    <border diagonalUp="false" diagonalDown="false">
      <left style="thin">
        <color rgb="FFD9DCE3"/>
      </left>
      <right style="thin">
        <color rgb="FF1B3A6B"/>
      </right>
      <top style="thin">
        <color rgb="FFD9DCE3"/>
      </top>
      <bottom style="thin">
        <color rgb="FFD9DCE3"/>
      </bottom>
      <diagonal/>
    </border>
    <border diagonalUp="false" diagonalDown="false">
      <left style="thin">
        <color rgb="FFC62828"/>
      </left>
      <right/>
      <top style="thin">
        <color rgb="FFC62828"/>
      </top>
      <bottom style="thin">
        <color rgb="FFC62828"/>
      </bottom>
      <diagonal/>
    </border>
    <border diagonalUp="false" diagonalDown="false">
      <left style="medium">
        <color rgb="FF4A148C"/>
      </left>
      <right style="medium">
        <color rgb="FF4A148C"/>
      </right>
      <top style="medium">
        <color rgb="FF4A148C"/>
      </top>
      <bottom style="medium">
        <color rgb="FF4A148C"/>
      </bottom>
      <diagonal/>
    </border>
    <border diagonalUp="false" diagonalDown="false">
      <left style="medium">
        <color rgb="FF8B0000"/>
      </left>
      <right style="medium">
        <color rgb="FF8B0000"/>
      </right>
      <top style="medium">
        <color rgb="FF8B0000"/>
      </top>
      <bottom style="medium">
        <color rgb="FF8B000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false" indent="0"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4" fontId="6" fillId="5" borderId="2" xfId="0" applyFont="true" applyBorder="true" applyAlignment="true" applyProtection="false">
      <alignment horizontal="center" vertical="center" textRotation="0" wrapText="false" indent="0" shrinkToFit="false"/>
      <protection locked="true" hidden="false"/>
    </xf>
    <xf numFmtId="164" fontId="7" fillId="5" borderId="2" xfId="0" applyFont="true" applyBorder="true" applyAlignment="true" applyProtection="false">
      <alignment horizontal="left" vertical="center" textRotation="0" wrapText="false" indent="0" shrinkToFit="false"/>
      <protection locked="true" hidden="false"/>
    </xf>
    <xf numFmtId="164" fontId="7" fillId="5" borderId="2" xfId="0" applyFont="true" applyBorder="true" applyAlignment="true" applyProtection="false">
      <alignment horizontal="center" vertical="center" textRotation="0" wrapText="false" indent="0" shrinkToFit="false"/>
      <protection locked="true" hidden="false"/>
    </xf>
    <xf numFmtId="164" fontId="6" fillId="6" borderId="2" xfId="0" applyFont="true" applyBorder="true" applyAlignment="true" applyProtection="false">
      <alignment horizontal="center"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false" indent="0" shrinkToFit="false"/>
      <protection locked="true" hidden="false"/>
    </xf>
    <xf numFmtId="164" fontId="7" fillId="6" borderId="2" xfId="0" applyFont="true" applyBorder="true" applyAlignment="true" applyProtection="false">
      <alignment horizontal="center" vertical="center" textRotation="0" wrapText="false" indent="0" shrinkToFit="false"/>
      <protection locked="true" hidden="false"/>
    </xf>
    <xf numFmtId="164" fontId="6" fillId="7" borderId="2"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true" applyProtection="false">
      <alignment horizontal="left" vertical="center" textRotation="0" wrapText="false" indent="0" shrinkToFit="false"/>
      <protection locked="true" hidden="false"/>
    </xf>
    <xf numFmtId="164" fontId="7" fillId="7" borderId="2" xfId="0" applyFont="true" applyBorder="true" applyAlignment="true" applyProtection="false">
      <alignment horizontal="center" vertical="center" textRotation="0" wrapText="false" indent="0" shrinkToFit="false"/>
      <protection locked="true" hidden="false"/>
    </xf>
    <xf numFmtId="164" fontId="6" fillId="8" borderId="2" xfId="0" applyFont="true" applyBorder="true" applyAlignment="true" applyProtection="false">
      <alignment horizontal="center" vertical="center" textRotation="0" wrapText="false" indent="0" shrinkToFit="false"/>
      <protection locked="true" hidden="false"/>
    </xf>
    <xf numFmtId="164" fontId="7" fillId="8" borderId="2" xfId="0" applyFont="true" applyBorder="true" applyAlignment="true" applyProtection="false">
      <alignment horizontal="left" vertical="center" textRotation="0" wrapText="false" indent="0" shrinkToFit="false"/>
      <protection locked="true" hidden="false"/>
    </xf>
    <xf numFmtId="164" fontId="7" fillId="8" borderId="2" xfId="0" applyFont="true" applyBorder="true" applyAlignment="true" applyProtection="false">
      <alignment horizontal="center" vertical="center" textRotation="0" wrapText="false" indent="0" shrinkToFit="false"/>
      <protection locked="true" hidden="false"/>
    </xf>
    <xf numFmtId="164" fontId="6" fillId="9" borderId="2"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left" vertical="center" textRotation="0" wrapText="false" indent="0" shrinkToFit="false"/>
      <protection locked="true" hidden="false"/>
    </xf>
    <xf numFmtId="164" fontId="7" fillId="9" borderId="2"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right" vertical="center" textRotation="0" wrapText="false" indent="0" shrinkToFit="false"/>
      <protection locked="true" hidden="false"/>
    </xf>
    <xf numFmtId="164" fontId="10" fillId="9" borderId="2" xfId="0" applyFont="true" applyBorder="true" applyAlignment="true" applyProtection="false">
      <alignment horizontal="left" vertical="center" textRotation="0" wrapText="false" indent="0" shrinkToFit="false"/>
      <protection locked="true" hidden="false"/>
    </xf>
    <xf numFmtId="165" fontId="11" fillId="9" borderId="2" xfId="0" applyFont="true" applyBorder="true" applyAlignment="true" applyProtection="false">
      <alignment horizontal="center" vertical="center" textRotation="0" wrapText="false" indent="0" shrinkToFit="false"/>
      <protection locked="true" hidden="false"/>
    </xf>
    <xf numFmtId="164" fontId="12" fillId="10" borderId="3" xfId="0" applyFont="true" applyBorder="true" applyAlignment="true" applyProtection="false">
      <alignment horizontal="left" vertical="center" textRotation="0" wrapText="false" indent="0" shrinkToFit="false"/>
      <protection locked="true" hidden="false"/>
    </xf>
    <xf numFmtId="164" fontId="12" fillId="10" borderId="2" xfId="0" applyFont="true" applyBorder="true" applyAlignment="true" applyProtection="false">
      <alignment horizontal="left" vertical="center" textRotation="0" wrapText="false" indent="0" shrinkToFit="false"/>
      <protection locked="true" hidden="false"/>
    </xf>
    <xf numFmtId="164" fontId="9" fillId="11" borderId="2" xfId="0" applyFont="true" applyBorder="true" applyAlignment="true" applyProtection="false">
      <alignment horizontal="center"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false" indent="0" shrinkToFit="false"/>
      <protection locked="true" hidden="false"/>
    </xf>
    <xf numFmtId="164" fontId="13" fillId="10" borderId="2" xfId="0" applyFont="true" applyBorder="true" applyAlignment="true" applyProtection="false">
      <alignment horizontal="right" vertical="center" textRotation="0" wrapText="false" indent="0" shrinkToFit="false"/>
      <protection locked="true" hidden="false"/>
    </xf>
    <xf numFmtId="166" fontId="14" fillId="7" borderId="2" xfId="0" applyFont="true" applyBorder="true" applyAlignment="true" applyProtection="false">
      <alignment horizontal="right" vertical="center" textRotation="0" wrapText="false" indent="0" shrinkToFit="false"/>
      <protection locked="true" hidden="false"/>
    </xf>
    <xf numFmtId="166" fontId="15" fillId="6" borderId="2" xfId="0" applyFont="true" applyBorder="true" applyAlignment="true" applyProtection="false">
      <alignment horizontal="right"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false" indent="0" shrinkToFit="false"/>
      <protection locked="true" hidden="false"/>
    </xf>
    <xf numFmtId="166" fontId="12" fillId="10" borderId="2" xfId="0" applyFont="true" applyBorder="true" applyAlignment="true" applyProtection="false">
      <alignment horizontal="left" vertical="center" textRotation="0" wrapText="false" indent="0" shrinkToFit="false"/>
      <protection locked="true" hidden="false"/>
    </xf>
    <xf numFmtId="164" fontId="5" fillId="2" borderId="4" xfId="0" applyFont="true" applyBorder="true" applyAlignment="true" applyProtection="false">
      <alignment horizontal="center" vertical="center" textRotation="0" wrapText="false" indent="0" shrinkToFit="false"/>
      <protection locked="true" hidden="false"/>
    </xf>
    <xf numFmtId="164" fontId="16" fillId="12" borderId="2" xfId="0" applyFont="true" applyBorder="true" applyAlignment="true" applyProtection="false">
      <alignment horizontal="center" vertical="center" textRotation="0" wrapText="false" indent="0" shrinkToFit="false"/>
      <protection locked="true" hidden="false"/>
    </xf>
    <xf numFmtId="167" fontId="17" fillId="12" borderId="2" xfId="0" applyFont="true" applyBorder="true" applyAlignment="true" applyProtection="false">
      <alignment horizontal="center" vertical="center" textRotation="0" wrapText="false" indent="0" shrinkToFit="false"/>
      <protection locked="true" hidden="false"/>
    </xf>
    <xf numFmtId="164" fontId="18" fillId="12" borderId="2" xfId="0" applyFont="true" applyBorder="true" applyAlignment="true" applyProtection="false">
      <alignment horizontal="center" vertical="center" textRotation="0" wrapText="false" indent="0" shrinkToFit="false"/>
      <protection locked="true" hidden="false"/>
    </xf>
    <xf numFmtId="164" fontId="17" fillId="12" borderId="2" xfId="0" applyFont="true" applyBorder="true" applyAlignment="true" applyProtection="false">
      <alignment horizontal="center" vertical="center" textRotation="0" wrapText="false" indent="0" shrinkToFit="false"/>
      <protection locked="true" hidden="false"/>
    </xf>
    <xf numFmtId="164" fontId="18" fillId="12" borderId="2" xfId="0" applyFont="true" applyBorder="true" applyAlignment="true" applyProtection="false">
      <alignment horizontal="left" vertical="center" textRotation="0" wrapText="false" indent="0" shrinkToFit="false"/>
      <protection locked="true" hidden="false"/>
    </xf>
    <xf numFmtId="164" fontId="17" fillId="12" borderId="2" xfId="0" applyFont="true" applyBorder="true" applyAlignment="true" applyProtection="false">
      <alignment horizontal="left" vertical="center" textRotation="0" wrapText="false" indent="0" shrinkToFit="false"/>
      <protection locked="true" hidden="false"/>
    </xf>
    <xf numFmtId="166" fontId="17" fillId="12" borderId="2" xfId="0" applyFont="true" applyBorder="true" applyAlignment="true" applyProtection="false">
      <alignment horizontal="right" vertical="center" textRotation="0" wrapText="false" indent="0" shrinkToFit="false"/>
      <protection locked="true" hidden="false"/>
    </xf>
    <xf numFmtId="164" fontId="16" fillId="10" borderId="2" xfId="0" applyFont="true" applyBorder="true" applyAlignment="true" applyProtection="false">
      <alignment horizontal="center" vertical="center" textRotation="0" wrapText="false" indent="0" shrinkToFit="false"/>
      <protection locked="true" hidden="false"/>
    </xf>
    <xf numFmtId="167" fontId="17" fillId="10" borderId="2" xfId="0" applyFont="true" applyBorder="true" applyAlignment="true" applyProtection="false">
      <alignment horizontal="center" vertical="center" textRotation="0" wrapText="false" indent="0" shrinkToFit="false"/>
      <protection locked="true" hidden="false"/>
    </xf>
    <xf numFmtId="164" fontId="18" fillId="10" borderId="2" xfId="0" applyFont="true" applyBorder="true" applyAlignment="true" applyProtection="false">
      <alignment horizontal="center" vertical="center" textRotation="0" wrapText="false" indent="0" shrinkToFit="false"/>
      <protection locked="true" hidden="false"/>
    </xf>
    <xf numFmtId="164" fontId="17" fillId="10" borderId="2" xfId="0" applyFont="true" applyBorder="true" applyAlignment="true" applyProtection="false">
      <alignment horizontal="center" vertical="center" textRotation="0" wrapText="false" indent="0" shrinkToFit="false"/>
      <protection locked="true" hidden="false"/>
    </xf>
    <xf numFmtId="164" fontId="18" fillId="10" borderId="2" xfId="0" applyFont="true" applyBorder="true" applyAlignment="true" applyProtection="false">
      <alignment horizontal="left" vertical="center" textRotation="0" wrapText="false" indent="0" shrinkToFit="false"/>
      <protection locked="true" hidden="false"/>
    </xf>
    <xf numFmtId="164" fontId="17" fillId="10" borderId="2" xfId="0" applyFont="true" applyBorder="true" applyAlignment="true" applyProtection="false">
      <alignment horizontal="left" vertical="center" textRotation="0" wrapText="false" indent="0" shrinkToFit="false"/>
      <protection locked="true" hidden="false"/>
    </xf>
    <xf numFmtId="166" fontId="17" fillId="10" borderId="2" xfId="0" applyFont="true" applyBorder="true" applyAlignment="true" applyProtection="false">
      <alignment horizontal="right" vertical="center" textRotation="0" wrapText="false" indent="0" shrinkToFit="false"/>
      <protection locked="true" hidden="false"/>
    </xf>
    <xf numFmtId="164" fontId="19" fillId="9" borderId="2" xfId="0" applyFont="true" applyBorder="true" applyAlignment="true" applyProtection="false">
      <alignment horizontal="left" vertical="center" textRotation="0" wrapText="false" indent="0" shrinkToFit="false"/>
      <protection locked="true" hidden="false"/>
    </xf>
    <xf numFmtId="164" fontId="5" fillId="3" borderId="2" xfId="0" applyFont="true" applyBorder="true" applyAlignment="true" applyProtection="false">
      <alignment horizontal="right" vertical="center" textRotation="0" wrapText="false" indent="0" shrinkToFit="false"/>
      <protection locked="true" hidden="false"/>
    </xf>
    <xf numFmtId="164" fontId="20" fillId="4" borderId="2" xfId="0" applyFont="true" applyBorder="true" applyAlignment="true" applyProtection="false">
      <alignment horizontal="left" vertical="center" textRotation="0" wrapText="false" indent="0" shrinkToFit="false"/>
      <protection locked="true" hidden="false"/>
    </xf>
    <xf numFmtId="164" fontId="21" fillId="10" borderId="2" xfId="0" applyFont="true" applyBorder="true" applyAlignment="true" applyProtection="false">
      <alignment horizontal="right" vertical="center" textRotation="0" wrapText="false" indent="0" shrinkToFit="false"/>
      <protection locked="true" hidden="false"/>
    </xf>
    <xf numFmtId="168" fontId="22" fillId="10" borderId="2" xfId="0" applyFont="true" applyBorder="true" applyAlignment="true" applyProtection="false">
      <alignment horizontal="general" vertical="bottom" textRotation="0" wrapText="false" indent="0" shrinkToFit="false"/>
      <protection locked="true" hidden="false"/>
    </xf>
    <xf numFmtId="164" fontId="9" fillId="11" borderId="2" xfId="0" applyFont="true" applyBorder="true" applyAlignment="true" applyProtection="false">
      <alignment horizontal="left" vertical="center" textRotation="0" wrapText="false" indent="0" shrinkToFit="false"/>
      <protection locked="true" hidden="false"/>
    </xf>
    <xf numFmtId="164" fontId="23" fillId="4" borderId="2" xfId="0" applyFont="true" applyBorder="true" applyAlignment="true" applyProtection="false">
      <alignment horizontal="left" vertical="center" textRotation="0" wrapText="false" indent="0" shrinkToFit="false"/>
      <protection locked="true" hidden="false"/>
    </xf>
    <xf numFmtId="164" fontId="14" fillId="4" borderId="2" xfId="0" applyFont="true" applyBorder="true" applyAlignment="true" applyProtection="false">
      <alignment horizontal="center" vertical="center" textRotation="0" wrapText="false" indent="0" shrinkToFit="false"/>
      <protection locked="true" hidden="false"/>
    </xf>
    <xf numFmtId="166" fontId="18" fillId="4" borderId="2" xfId="0" applyFont="true" applyBorder="true" applyAlignment="true" applyProtection="false">
      <alignment horizontal="right" vertical="center" textRotation="0" wrapText="false" indent="0" shrinkToFit="false"/>
      <protection locked="true" hidden="false"/>
    </xf>
    <xf numFmtId="166" fontId="24" fillId="9" borderId="2" xfId="0" applyFont="true" applyBorder="true" applyAlignment="true" applyProtection="false">
      <alignment horizontal="right" vertical="center" textRotation="0" wrapText="false" indent="0" shrinkToFit="false"/>
      <protection locked="true" hidden="false"/>
    </xf>
    <xf numFmtId="164" fontId="15" fillId="5" borderId="2" xfId="0" applyFont="true" applyBorder="true" applyAlignment="true" applyProtection="false">
      <alignment horizontal="center" vertical="center" textRotation="0" wrapText="false" indent="0" shrinkToFit="false"/>
      <protection locked="true" hidden="false"/>
    </xf>
    <xf numFmtId="166" fontId="18" fillId="5" borderId="2" xfId="0" applyFont="true" applyBorder="true" applyAlignment="true" applyProtection="false">
      <alignment horizontal="right" vertical="center" textRotation="0" wrapText="false" indent="0" shrinkToFit="false"/>
      <protection locked="true" hidden="false"/>
    </xf>
    <xf numFmtId="164" fontId="15" fillId="6" borderId="2" xfId="0" applyFont="true" applyBorder="true" applyAlignment="true" applyProtection="false">
      <alignment horizontal="center" vertical="center" textRotation="0" wrapText="false" indent="0" shrinkToFit="false"/>
      <protection locked="true" hidden="false"/>
    </xf>
    <xf numFmtId="166" fontId="18" fillId="6" borderId="2" xfId="0" applyFont="true" applyBorder="true" applyAlignment="true" applyProtection="false">
      <alignment horizontal="right" vertical="center" textRotation="0" wrapText="false" indent="0" shrinkToFit="false"/>
      <protection locked="true" hidden="false"/>
    </xf>
    <xf numFmtId="164" fontId="15" fillId="7" borderId="2" xfId="0" applyFont="true" applyBorder="true" applyAlignment="true" applyProtection="false">
      <alignment horizontal="center" vertical="center" textRotation="0" wrapText="false" indent="0" shrinkToFit="false"/>
      <protection locked="true" hidden="false"/>
    </xf>
    <xf numFmtId="166" fontId="18" fillId="7" borderId="2" xfId="0" applyFont="true" applyBorder="true" applyAlignment="true" applyProtection="false">
      <alignment horizontal="right" vertical="center" textRotation="0" wrapText="false" indent="0" shrinkToFit="false"/>
      <protection locked="true" hidden="false"/>
    </xf>
    <xf numFmtId="164" fontId="14" fillId="7" borderId="2" xfId="0" applyFont="true" applyBorder="true" applyAlignment="true" applyProtection="false">
      <alignment horizontal="center" vertical="center" textRotation="0" wrapText="false" indent="0" shrinkToFit="false"/>
      <protection locked="true" hidden="false"/>
    </xf>
    <xf numFmtId="164" fontId="15" fillId="8" borderId="2" xfId="0" applyFont="true" applyBorder="true" applyAlignment="true" applyProtection="false">
      <alignment horizontal="center" vertical="center" textRotation="0" wrapText="false" indent="0" shrinkToFit="false"/>
      <protection locked="true" hidden="false"/>
    </xf>
    <xf numFmtId="166" fontId="18" fillId="8" borderId="2" xfId="0" applyFont="true" applyBorder="true" applyAlignment="true" applyProtection="false">
      <alignment horizontal="right" vertical="center" textRotation="0" wrapText="false" indent="0" shrinkToFit="false"/>
      <protection locked="true" hidden="false"/>
    </xf>
    <xf numFmtId="164" fontId="14" fillId="9" borderId="2" xfId="0" applyFont="true" applyBorder="true" applyAlignment="true" applyProtection="false">
      <alignment horizontal="center" vertical="center" textRotation="0" wrapText="false" indent="0" shrinkToFit="false"/>
      <protection locked="true" hidden="false"/>
    </xf>
    <xf numFmtId="166" fontId="18" fillId="9" borderId="2" xfId="0" applyFont="true" applyBorder="true" applyAlignment="true" applyProtection="false">
      <alignment horizontal="right" vertical="center" textRotation="0" wrapText="false" indent="0" shrinkToFit="false"/>
      <protection locked="true" hidden="false"/>
    </xf>
    <xf numFmtId="164" fontId="9" fillId="2" borderId="5" xfId="0" applyFont="true" applyBorder="true" applyAlignment="true" applyProtection="false">
      <alignment horizontal="center" vertical="center" textRotation="0" wrapText="false" indent="0" shrinkToFit="false"/>
      <protection locked="true" hidden="false"/>
    </xf>
    <xf numFmtId="166" fontId="9" fillId="13" borderId="5" xfId="0" applyFont="true" applyBorder="true" applyAlignment="true" applyProtection="false">
      <alignment horizontal="right" vertical="center" textRotation="0" wrapText="false" indent="0" shrinkToFit="false"/>
      <protection locked="true" hidden="false"/>
    </xf>
    <xf numFmtId="164" fontId="9" fillId="3" borderId="5" xfId="0" applyFont="true" applyBorder="true" applyAlignment="true" applyProtection="false">
      <alignment horizontal="center" vertical="center" textRotation="0" wrapText="false" indent="0" shrinkToFit="false"/>
      <protection locked="true" hidden="false"/>
    </xf>
    <xf numFmtId="168" fontId="25" fillId="9" borderId="2" xfId="0" applyFont="true" applyBorder="true" applyAlignment="true" applyProtection="false">
      <alignment horizontal="left" vertical="center" textRotation="0" wrapText="false" indent="0" shrinkToFit="false"/>
      <protection locked="true" hidden="false"/>
    </xf>
    <xf numFmtId="164" fontId="5" fillId="2" borderId="2" xfId="0" applyFont="true" applyBorder="true" applyAlignment="true" applyProtection="false">
      <alignment horizontal="left" vertical="center" textRotation="0" wrapText="false" indent="0" shrinkToFit="false"/>
      <protection locked="true" hidden="false"/>
    </xf>
    <xf numFmtId="166" fontId="24" fillId="2" borderId="2" xfId="0" applyFont="true" applyBorder="true" applyAlignment="true" applyProtection="false">
      <alignment horizontal="right" vertical="center" textRotation="0" wrapText="false" indent="0" shrinkToFit="false"/>
      <protection locked="true" hidden="false"/>
    </xf>
    <xf numFmtId="164" fontId="22" fillId="2" borderId="2" xfId="0" applyFont="true" applyBorder="true" applyAlignment="true" applyProtection="false">
      <alignment horizontal="left" vertical="center" textRotation="0" wrapText="false" indent="0" shrinkToFit="false"/>
      <protection locked="true" hidden="false"/>
    </xf>
    <xf numFmtId="166" fontId="26" fillId="7" borderId="2" xfId="0" applyFont="true" applyBorder="true" applyAlignment="true" applyProtection="false">
      <alignment horizontal="right" vertical="center" textRotation="0" wrapText="false" indent="0" shrinkToFit="false"/>
      <protection locked="true" hidden="false"/>
    </xf>
    <xf numFmtId="164" fontId="22" fillId="7" borderId="2" xfId="0" applyFont="true" applyBorder="true" applyAlignment="true" applyProtection="false">
      <alignment horizontal="left" vertical="center" textRotation="0" wrapText="false" indent="0" shrinkToFit="false"/>
      <protection locked="true" hidden="false"/>
    </xf>
    <xf numFmtId="164" fontId="13" fillId="9" borderId="2" xfId="0" applyFont="true" applyBorder="true" applyAlignment="true" applyProtection="false">
      <alignment horizontal="left" vertical="center" textRotation="0" wrapText="false" indent="0" shrinkToFit="false"/>
      <protection locked="true" hidden="false"/>
    </xf>
    <xf numFmtId="164" fontId="22" fillId="9" borderId="2" xfId="0" applyFont="true" applyBorder="true" applyAlignment="true" applyProtection="false">
      <alignment horizontal="left" vertical="center" textRotation="0" wrapText="false" indent="0" shrinkToFit="false"/>
      <protection locked="true" hidden="false"/>
    </xf>
    <xf numFmtId="164" fontId="0" fillId="10" borderId="2" xfId="0" applyFont="false" applyBorder="true" applyAlignment="true" applyProtection="false">
      <alignment horizontal="general" vertical="bottom" textRotation="0" wrapText="false" indent="0" shrinkToFit="false"/>
      <protection locked="true" hidden="false"/>
    </xf>
    <xf numFmtId="164" fontId="13" fillId="6" borderId="2" xfId="0" applyFont="true" applyBorder="true" applyAlignment="true" applyProtection="false">
      <alignment horizontal="left" vertical="center" textRotation="0" wrapText="false" indent="0" shrinkToFit="false"/>
      <protection locked="true" hidden="false"/>
    </xf>
    <xf numFmtId="166" fontId="24" fillId="6" borderId="2" xfId="0" applyFont="true" applyBorder="true" applyAlignment="true" applyProtection="false">
      <alignment horizontal="right" vertical="center" textRotation="0" wrapText="false" indent="0" shrinkToFit="false"/>
      <protection locked="true" hidden="false"/>
    </xf>
    <xf numFmtId="164" fontId="22" fillId="6" borderId="2" xfId="0" applyFont="true" applyBorder="true" applyAlignment="true" applyProtection="false">
      <alignment horizontal="left" vertical="center" textRotation="0" wrapText="false" indent="0" shrinkToFit="false"/>
      <protection locked="true" hidden="false"/>
    </xf>
    <xf numFmtId="166" fontId="26" fillId="6" borderId="2" xfId="0" applyFont="true" applyBorder="true" applyAlignment="true" applyProtection="false">
      <alignment horizontal="right" vertical="center" textRotation="0" wrapText="false" indent="0" shrinkToFit="false"/>
      <protection locked="true" hidden="false"/>
    </xf>
    <xf numFmtId="164" fontId="7" fillId="10" borderId="2" xfId="0" applyFont="true" applyBorder="true" applyAlignment="true" applyProtection="false">
      <alignment horizontal="left" vertical="center" textRotation="0" wrapText="false" indent="0" shrinkToFit="false"/>
      <protection locked="true" hidden="false"/>
    </xf>
    <xf numFmtId="166" fontId="26" fillId="10" borderId="2" xfId="0" applyFont="true" applyBorder="true" applyAlignment="true" applyProtection="false">
      <alignment horizontal="right" vertical="center" textRotation="0" wrapText="false" indent="0" shrinkToFit="false"/>
      <protection locked="true" hidden="false"/>
    </xf>
    <xf numFmtId="164" fontId="22" fillId="10" borderId="2" xfId="0" applyFont="true" applyBorder="true" applyAlignment="true" applyProtection="false">
      <alignment horizontal="left" vertical="center" textRotation="0" wrapText="false" indent="0" shrinkToFit="false"/>
      <protection locked="true" hidden="false"/>
    </xf>
    <xf numFmtId="164" fontId="7" fillId="12" borderId="2" xfId="0" applyFont="true" applyBorder="true" applyAlignment="true" applyProtection="false">
      <alignment horizontal="left" vertical="center" textRotation="0" wrapText="false" indent="0" shrinkToFit="false"/>
      <protection locked="true" hidden="false"/>
    </xf>
    <xf numFmtId="166" fontId="26" fillId="12" borderId="2" xfId="0" applyFont="true" applyBorder="true" applyAlignment="true" applyProtection="false">
      <alignment horizontal="right" vertical="center" textRotation="0" wrapText="false" indent="0" shrinkToFit="false"/>
      <protection locked="true" hidden="false"/>
    </xf>
    <xf numFmtId="164" fontId="22" fillId="12" borderId="2" xfId="0" applyFont="true" applyBorder="true" applyAlignment="true" applyProtection="false">
      <alignment horizontal="left" vertical="center" textRotation="0" wrapText="false" indent="0" shrinkToFit="false"/>
      <protection locked="true" hidden="false"/>
    </xf>
    <xf numFmtId="164" fontId="13" fillId="4" borderId="2" xfId="0" applyFont="true" applyBorder="true" applyAlignment="true" applyProtection="false">
      <alignment horizontal="left" vertical="center" textRotation="0" wrapText="false" indent="0" shrinkToFit="false"/>
      <protection locked="true" hidden="false"/>
    </xf>
    <xf numFmtId="166" fontId="24" fillId="4" borderId="2" xfId="0" applyFont="true" applyBorder="true" applyAlignment="true" applyProtection="false">
      <alignment horizontal="right" vertical="center" textRotation="0" wrapText="false" indent="0" shrinkToFit="false"/>
      <protection locked="true" hidden="false"/>
    </xf>
    <xf numFmtId="164" fontId="22" fillId="4" borderId="2" xfId="0" applyFont="true" applyBorder="true" applyAlignment="true" applyProtection="false">
      <alignment horizontal="left" vertical="center" textRotation="0" wrapText="false" indent="0" shrinkToFit="false"/>
      <protection locked="true" hidden="false"/>
    </xf>
    <xf numFmtId="164" fontId="13" fillId="14" borderId="2" xfId="0" applyFont="true" applyBorder="true" applyAlignment="true" applyProtection="false">
      <alignment horizontal="left" vertical="center" textRotation="0" wrapText="false" indent="0" shrinkToFit="false"/>
      <protection locked="true" hidden="false"/>
    </xf>
    <xf numFmtId="166" fontId="24" fillId="14" borderId="2" xfId="0" applyFont="true" applyBorder="true" applyAlignment="true" applyProtection="false">
      <alignment horizontal="right" vertical="center" textRotation="0" wrapText="false" indent="0" shrinkToFit="false"/>
      <protection locked="true" hidden="false"/>
    </xf>
    <xf numFmtId="164" fontId="22" fillId="14" borderId="2" xfId="0" applyFont="true" applyBorder="true" applyAlignment="true" applyProtection="false">
      <alignment horizontal="left" vertical="center" textRotation="0" wrapText="false" indent="0" shrinkToFit="false"/>
      <protection locked="true" hidden="false"/>
    </xf>
    <xf numFmtId="164" fontId="27" fillId="4" borderId="6" xfId="0" applyFont="true" applyBorder="true" applyAlignment="true" applyProtection="false">
      <alignment horizontal="center" vertical="center" textRotation="0" wrapText="false" indent="0" shrinkToFit="false"/>
      <protection locked="true" hidden="false"/>
    </xf>
    <xf numFmtId="164" fontId="28" fillId="2" borderId="2"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left" vertical="center" textRotation="0" wrapText="false" indent="0" shrinkToFit="false"/>
      <protection locked="true" hidden="false"/>
    </xf>
    <xf numFmtId="166" fontId="24" fillId="3" borderId="2" xfId="0" applyFont="true" applyBorder="true" applyAlignment="true" applyProtection="false">
      <alignment horizontal="right" vertical="center" textRotation="0" wrapText="false" indent="0" shrinkToFit="false"/>
      <protection locked="true" hidden="false"/>
    </xf>
    <xf numFmtId="164" fontId="28" fillId="3" borderId="2" xfId="0" applyFont="true" applyBorder="true" applyAlignment="true" applyProtection="false">
      <alignment horizontal="center" vertical="center" textRotation="0" wrapText="false" indent="0" shrinkToFit="false"/>
      <protection locked="true" hidden="false"/>
    </xf>
    <xf numFmtId="166" fontId="26" fillId="4" borderId="2" xfId="0" applyFont="true" applyBorder="true" applyAlignment="true" applyProtection="false">
      <alignment horizontal="right" vertical="center" textRotation="0" wrapText="false" indent="0" shrinkToFit="false"/>
      <protection locked="true" hidden="false"/>
    </xf>
    <xf numFmtId="164" fontId="22" fillId="4" borderId="2" xfId="0" applyFont="true" applyBorder="true" applyAlignment="true" applyProtection="false">
      <alignment horizontal="center" vertical="center" textRotation="0" wrapText="false" indent="0" shrinkToFit="false"/>
      <protection locked="true" hidden="false"/>
    </xf>
    <xf numFmtId="164" fontId="13" fillId="7" borderId="2" xfId="0" applyFont="true" applyBorder="true" applyAlignment="true" applyProtection="false">
      <alignment horizontal="left" vertical="center" textRotation="0" wrapText="false" indent="0" shrinkToFit="false"/>
      <protection locked="true" hidden="false"/>
    </xf>
    <xf numFmtId="166" fontId="24" fillId="7" borderId="2" xfId="0" applyFont="true" applyBorder="true" applyAlignment="true" applyProtection="false">
      <alignment horizontal="right" vertical="center" textRotation="0" wrapText="false" indent="0" shrinkToFit="false"/>
      <protection locked="true" hidden="false"/>
    </xf>
    <xf numFmtId="164" fontId="28" fillId="7" borderId="2" xfId="0" applyFont="true" applyBorder="true" applyAlignment="true" applyProtection="false">
      <alignment horizontal="center" vertical="center" textRotation="0" wrapText="false" indent="0" shrinkToFit="false"/>
      <protection locked="true" hidden="false"/>
    </xf>
    <xf numFmtId="164" fontId="5" fillId="15" borderId="2" xfId="0" applyFont="true" applyBorder="true" applyAlignment="true" applyProtection="false">
      <alignment horizontal="left" vertical="center" textRotation="0" wrapText="false" indent="0" shrinkToFit="false"/>
      <protection locked="true" hidden="false"/>
    </xf>
    <xf numFmtId="166" fontId="24" fillId="15" borderId="2" xfId="0" applyFont="true" applyBorder="true" applyAlignment="true" applyProtection="false">
      <alignment horizontal="right" vertical="center" textRotation="0" wrapText="false" indent="0" shrinkToFit="false"/>
      <protection locked="true" hidden="false"/>
    </xf>
    <xf numFmtId="164" fontId="28" fillId="15" borderId="2" xfId="0" applyFont="true" applyBorder="true" applyAlignment="true" applyProtection="false">
      <alignment horizontal="center" vertical="center" textRotation="0" wrapText="false" indent="0" shrinkToFit="false"/>
      <protection locked="true" hidden="false"/>
    </xf>
    <xf numFmtId="164" fontId="22" fillId="6" borderId="2" xfId="0" applyFont="true" applyBorder="true" applyAlignment="true" applyProtection="false">
      <alignment horizontal="center" vertical="center" textRotation="0" wrapText="false" indent="0" shrinkToFit="false"/>
      <protection locked="true" hidden="false"/>
    </xf>
    <xf numFmtId="164" fontId="28" fillId="9" borderId="2" xfId="0" applyFont="true" applyBorder="true" applyAlignment="true" applyProtection="false">
      <alignment horizontal="center" vertical="center" textRotation="0" wrapText="false" indent="0" shrinkToFit="false"/>
      <protection locked="true" hidden="false"/>
    </xf>
    <xf numFmtId="164" fontId="5" fillId="16" borderId="2" xfId="0" applyFont="true" applyBorder="true" applyAlignment="true" applyProtection="false">
      <alignment horizontal="left" vertical="center" textRotation="0" wrapText="false" indent="0" shrinkToFit="false"/>
      <protection locked="true" hidden="false"/>
    </xf>
    <xf numFmtId="166" fontId="24" fillId="16" borderId="2" xfId="0" applyFont="true" applyBorder="true" applyAlignment="true" applyProtection="false">
      <alignment horizontal="right" vertical="center" textRotation="0" wrapText="false" indent="0" shrinkToFit="false"/>
      <protection locked="true" hidden="false"/>
    </xf>
    <xf numFmtId="164" fontId="28" fillId="16" borderId="2" xfId="0" applyFont="true" applyBorder="true" applyAlignment="true" applyProtection="false">
      <alignment horizontal="center" vertical="center" textRotation="0" wrapText="false" indent="0" shrinkToFit="false"/>
      <protection locked="true" hidden="false"/>
    </xf>
    <xf numFmtId="164" fontId="22" fillId="7" borderId="2" xfId="0" applyFont="true" applyBorder="true" applyAlignment="true" applyProtection="false">
      <alignment horizontal="center" vertical="center" textRotation="0" wrapText="false" indent="0" shrinkToFit="false"/>
      <protection locked="true" hidden="false"/>
    </xf>
    <xf numFmtId="164" fontId="24" fillId="9" borderId="2" xfId="0" applyFont="true" applyBorder="true" applyAlignment="true" applyProtection="false">
      <alignment horizontal="center" vertical="center" textRotation="0" wrapText="false" indent="0" shrinkToFit="false"/>
      <protection locked="true" hidden="false"/>
    </xf>
    <xf numFmtId="164" fontId="22" fillId="2" borderId="2"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6" fontId="26" fillId="3" borderId="2" xfId="0" applyFont="true" applyBorder="true" applyAlignment="true" applyProtection="false">
      <alignment horizontal="right" vertical="center" textRotation="0" wrapText="false" indent="0" shrinkToFit="false"/>
      <protection locked="true" hidden="false"/>
    </xf>
    <xf numFmtId="164" fontId="22" fillId="3" borderId="2" xfId="0" applyFont="true" applyBorder="true" applyAlignment="true" applyProtection="false">
      <alignment horizontal="center" vertical="center" textRotation="0" wrapText="false" indent="0" shrinkToFit="false"/>
      <protection locked="true" hidden="false"/>
    </xf>
    <xf numFmtId="164" fontId="22" fillId="10" borderId="2" xfId="0" applyFont="true" applyBorder="true" applyAlignment="true" applyProtection="false">
      <alignment horizontal="center" vertical="center" textRotation="0" wrapText="false" indent="0" shrinkToFit="false"/>
      <protection locked="true" hidden="false"/>
    </xf>
    <xf numFmtId="164" fontId="22" fillId="12" borderId="2" xfId="0" applyFont="true" applyBorder="true" applyAlignment="true" applyProtection="false">
      <alignment horizontal="center" vertical="center" textRotation="0" wrapText="false" indent="0" shrinkToFit="false"/>
      <protection locked="true" hidden="false"/>
    </xf>
    <xf numFmtId="164" fontId="22" fillId="9" borderId="2" xfId="0" applyFont="true" applyBorder="true" applyAlignment="true" applyProtection="false">
      <alignment horizontal="center" vertical="center" textRotation="0" wrapText="false" indent="0" shrinkToFit="false"/>
      <protection locked="true" hidden="false"/>
    </xf>
    <xf numFmtId="164" fontId="22" fillId="14" borderId="2" xfId="0" applyFont="true" applyBorder="true" applyAlignment="true" applyProtection="false">
      <alignment horizontal="center" vertical="center" textRotation="0" wrapText="false" indent="0" shrinkToFit="false"/>
      <protection locked="true" hidden="false"/>
    </xf>
    <xf numFmtId="164" fontId="5" fillId="13" borderId="1" xfId="0" applyFont="true" applyBorder="true" applyAlignment="true" applyProtection="false">
      <alignment horizontal="center" vertical="center" textRotation="0" wrapText="false" indent="0" shrinkToFit="false"/>
      <protection locked="true" hidden="false"/>
    </xf>
    <xf numFmtId="168" fontId="29" fillId="9" borderId="2" xfId="0" applyFont="true" applyBorder="true" applyAlignment="true" applyProtection="false">
      <alignment horizontal="left" vertical="center" textRotation="0" wrapText="false" indent="0" shrinkToFit="false"/>
      <protection locked="true" hidden="false"/>
    </xf>
    <xf numFmtId="166" fontId="30" fillId="7" borderId="2" xfId="0" applyFont="true" applyBorder="true" applyAlignment="true" applyProtection="false">
      <alignment horizontal="right" vertical="center" textRotation="0" wrapText="false" indent="0" shrinkToFit="false"/>
      <protection locked="true" hidden="false"/>
    </xf>
    <xf numFmtId="166" fontId="30" fillId="6" borderId="2" xfId="0" applyFont="true" applyBorder="true" applyAlignment="true" applyProtection="false">
      <alignment horizontal="right" vertical="center" textRotation="0" wrapText="false" indent="0" shrinkToFit="false"/>
      <protection locked="true" hidden="false"/>
    </xf>
    <xf numFmtId="166" fontId="30" fillId="14" borderId="2" xfId="0" applyFont="true" applyBorder="true" applyAlignment="true" applyProtection="false">
      <alignment horizontal="right" vertical="center" textRotation="0" wrapText="false" indent="0" shrinkToFit="false"/>
      <protection locked="true" hidden="false"/>
    </xf>
    <xf numFmtId="166" fontId="30" fillId="4" borderId="2" xfId="0" applyFont="true" applyBorder="true" applyAlignment="true" applyProtection="false">
      <alignment horizontal="right" vertical="center" textRotation="0" wrapText="false" indent="0" shrinkToFit="false"/>
      <protection locked="true" hidden="false"/>
    </xf>
    <xf numFmtId="166" fontId="30" fillId="9" borderId="2" xfId="0" applyFont="true" applyBorder="true" applyAlignment="true" applyProtection="false">
      <alignment horizontal="right" vertical="center" textRotation="0" wrapText="false" indent="0" shrinkToFit="false"/>
      <protection locked="true" hidden="false"/>
    </xf>
    <xf numFmtId="164" fontId="5" fillId="11" borderId="0" xfId="0" applyFont="true" applyBorder="true" applyAlignment="true" applyProtection="false">
      <alignment horizontal="center" vertical="center" textRotation="0" wrapText="false" indent="0" shrinkToFit="false"/>
      <protection locked="true" hidden="false"/>
    </xf>
    <xf numFmtId="164" fontId="31" fillId="2" borderId="0" xfId="0" applyFont="true" applyBorder="true" applyAlignment="true" applyProtection="false">
      <alignment horizontal="center" vertical="center" textRotation="0" wrapText="false" indent="0" shrinkToFit="false"/>
      <protection locked="true" hidden="false"/>
    </xf>
    <xf numFmtId="164" fontId="32" fillId="7" borderId="2" xfId="0" applyFont="true" applyBorder="true" applyAlignment="true" applyProtection="false">
      <alignment horizontal="left" vertical="center" textRotation="0" wrapText="false" indent="0" shrinkToFit="false"/>
      <protection locked="true" hidden="false"/>
    </xf>
    <xf numFmtId="164" fontId="7" fillId="7" borderId="2" xfId="0" applyFont="true" applyBorder="true" applyAlignment="true" applyProtection="false">
      <alignment horizontal="right" vertical="center" textRotation="0" wrapText="false" indent="0" shrinkToFit="false"/>
      <protection locked="true" hidden="false"/>
    </xf>
    <xf numFmtId="164" fontId="33" fillId="7" borderId="2" xfId="0" applyFont="true" applyBorder="true" applyAlignment="true" applyProtection="false">
      <alignment horizontal="left" vertical="center" textRotation="0" wrapText="false" indent="0" shrinkToFit="false"/>
      <protection locked="true" hidden="false"/>
    </xf>
    <xf numFmtId="164" fontId="7" fillId="10" borderId="2" xfId="0" applyFont="true" applyBorder="true" applyAlignment="true" applyProtection="false">
      <alignment horizontal="right" vertical="center" textRotation="0" wrapText="false" indent="0" shrinkToFit="false"/>
      <protection locked="true" hidden="false"/>
    </xf>
    <xf numFmtId="164" fontId="34" fillId="10" borderId="2" xfId="0" applyFont="true" applyBorder="true" applyAlignment="true" applyProtection="false">
      <alignment horizontal="center" vertical="center" textRotation="0" wrapText="false" indent="0" shrinkToFit="false"/>
      <protection locked="true" hidden="false"/>
    </xf>
    <xf numFmtId="164" fontId="33" fillId="10" borderId="2" xfId="0" applyFont="true" applyBorder="true" applyAlignment="true" applyProtection="false">
      <alignment horizontal="left" vertical="center" textRotation="0" wrapText="false" indent="0" shrinkToFit="false"/>
      <protection locked="true" hidden="false"/>
    </xf>
    <xf numFmtId="164" fontId="7" fillId="12" borderId="2" xfId="0" applyFont="true" applyBorder="true" applyAlignment="true" applyProtection="false">
      <alignment horizontal="right" vertical="center" textRotation="0" wrapText="false" indent="0" shrinkToFit="false"/>
      <protection locked="true" hidden="false"/>
    </xf>
    <xf numFmtId="164" fontId="34" fillId="12" borderId="2" xfId="0" applyFont="true" applyBorder="true" applyAlignment="true" applyProtection="false">
      <alignment horizontal="center" vertical="center" textRotation="0" wrapText="false" indent="0" shrinkToFit="false"/>
      <protection locked="true" hidden="false"/>
    </xf>
    <xf numFmtId="164" fontId="33" fillId="12" borderId="2" xfId="0" applyFont="true" applyBorder="true" applyAlignment="true" applyProtection="false">
      <alignment horizontal="left" vertical="center" textRotation="0" wrapText="false" indent="0" shrinkToFit="false"/>
      <protection locked="true" hidden="false"/>
    </xf>
    <xf numFmtId="164" fontId="32" fillId="12" borderId="2" xfId="0" applyFont="true" applyBorder="true" applyAlignment="true" applyProtection="false">
      <alignment horizontal="center" vertical="center" textRotation="0" wrapText="false" indent="0" shrinkToFit="false"/>
      <protection locked="true" hidden="false"/>
    </xf>
    <xf numFmtId="164" fontId="7" fillId="12" borderId="2" xfId="0" applyFont="true" applyBorder="true" applyAlignment="true" applyProtection="false">
      <alignment horizontal="center" vertical="center" textRotation="0" wrapText="false" indent="0" shrinkToFit="false"/>
      <protection locked="true" hidden="false"/>
    </xf>
    <xf numFmtId="164" fontId="32" fillId="10" borderId="2" xfId="0" applyFont="true" applyBorder="true" applyAlignment="true" applyProtection="false">
      <alignment horizontal="center" vertical="center" textRotation="0" wrapText="false" indent="0" shrinkToFit="false"/>
      <protection locked="true" hidden="false"/>
    </xf>
    <xf numFmtId="164" fontId="7" fillId="10" borderId="2" xfId="0" applyFont="true" applyBorder="true" applyAlignment="true" applyProtection="false">
      <alignment horizontal="center" vertical="center" textRotation="0" wrapText="false" indent="0" shrinkToFit="false"/>
      <protection locked="true" hidden="false"/>
    </xf>
    <xf numFmtId="164" fontId="32" fillId="12" borderId="2" xfId="0" applyFont="true" applyBorder="true" applyAlignment="true" applyProtection="false">
      <alignment horizontal="left" vertical="center" textRotation="0" wrapText="false" indent="0" shrinkToFit="false"/>
      <protection locked="true" hidden="false"/>
    </xf>
    <xf numFmtId="164" fontId="15" fillId="12" borderId="2" xfId="0" applyFont="true" applyBorder="true" applyAlignment="true" applyProtection="false">
      <alignment horizontal="center" vertical="center" textRotation="0" wrapText="false" indent="0" shrinkToFit="false"/>
      <protection locked="true" hidden="false"/>
    </xf>
    <xf numFmtId="164" fontId="32" fillId="4" borderId="2" xfId="0" applyFont="true" applyBorder="true" applyAlignment="true" applyProtection="false">
      <alignment horizontal="left" vertical="center" textRotation="0" wrapText="false" indent="0" shrinkToFit="false"/>
      <protection locked="true" hidden="false"/>
    </xf>
    <xf numFmtId="164" fontId="15" fillId="4" borderId="2" xfId="0" applyFont="true" applyBorder="true" applyAlignment="true" applyProtection="false">
      <alignment horizontal="center" vertical="center" textRotation="0" wrapText="false" indent="0" shrinkToFit="false"/>
      <protection locked="true" hidden="false"/>
    </xf>
    <xf numFmtId="164" fontId="33" fillId="4" borderId="2" xfId="0" applyFont="true" applyBorder="true" applyAlignment="true" applyProtection="false">
      <alignment horizontal="left" vertical="center" textRotation="0" wrapText="false" indent="0" shrinkToFit="false"/>
      <protection locked="true" hidden="false"/>
    </xf>
    <xf numFmtId="164" fontId="32" fillId="10" borderId="2" xfId="0" applyFont="true" applyBorder="true" applyAlignment="true" applyProtection="false">
      <alignment horizontal="left" vertical="center" textRotation="0" wrapText="false" indent="0" shrinkToFit="false"/>
      <protection locked="true" hidden="false"/>
    </xf>
    <xf numFmtId="164" fontId="15" fillId="10" borderId="2" xfId="0" applyFont="true" applyBorder="true" applyAlignment="true" applyProtection="false">
      <alignment horizontal="center" vertical="center" textRotation="0" wrapText="false" indent="0" shrinkToFit="false"/>
      <protection locked="true" hidden="false"/>
    </xf>
    <xf numFmtId="164" fontId="32" fillId="9" borderId="2" xfId="0" applyFont="true" applyBorder="true" applyAlignment="true" applyProtection="false">
      <alignment horizontal="left" vertical="center" textRotation="0" wrapText="false" indent="0" shrinkToFit="false"/>
      <protection locked="true" hidden="false"/>
    </xf>
    <xf numFmtId="164" fontId="15" fillId="9" borderId="2" xfId="0" applyFont="true" applyBorder="true" applyAlignment="true" applyProtection="false">
      <alignment horizontal="center" vertical="center" textRotation="0" wrapText="false" indent="0" shrinkToFit="false"/>
      <protection locked="true" hidden="false"/>
    </xf>
    <xf numFmtId="164" fontId="33" fillId="9" borderId="2" xfId="0" applyFont="true" applyBorder="true" applyAlignment="true" applyProtection="false">
      <alignment horizontal="left" vertical="center" textRotation="0" wrapText="false" indent="0" shrinkToFit="false"/>
      <protection locked="true" hidden="false"/>
    </xf>
    <xf numFmtId="164" fontId="32" fillId="6" borderId="2" xfId="0" applyFont="true" applyBorder="true" applyAlignment="true" applyProtection="false">
      <alignment horizontal="left" vertical="center" textRotation="0" wrapText="false" indent="0" shrinkToFit="false"/>
      <protection locked="true" hidden="false"/>
    </xf>
    <xf numFmtId="164" fontId="33" fillId="6" borderId="2" xfId="0" applyFont="true" applyBorder="true" applyAlignment="true" applyProtection="false">
      <alignment horizontal="left" vertical="center" textRotation="0" wrapText="false" indent="0" shrinkToFit="false"/>
      <protection locked="true" hidden="false"/>
    </xf>
    <xf numFmtId="164" fontId="14" fillId="12" borderId="2" xfId="0" applyFont="true" applyBorder="true" applyAlignment="true" applyProtection="false">
      <alignment horizontal="center" vertical="center" textRotation="0" wrapText="false" indent="0" shrinkToFit="false"/>
      <protection locked="true" hidden="false"/>
    </xf>
    <xf numFmtId="164" fontId="14" fillId="10" borderId="2" xfId="0" applyFont="true" applyBorder="true" applyAlignment="true" applyProtection="false">
      <alignment horizontal="center" vertical="center" textRotation="0" wrapText="false" indent="0" shrinkToFit="false"/>
      <protection locked="true" hidden="false"/>
    </xf>
    <xf numFmtId="164" fontId="32" fillId="7" borderId="2" xfId="0" applyFont="true" applyBorder="true" applyAlignment="true" applyProtection="false">
      <alignment horizontal="center" vertical="center" textRotation="0" wrapText="false" indent="0" shrinkToFit="false"/>
      <protection locked="true" hidden="false"/>
    </xf>
    <xf numFmtId="164" fontId="35" fillId="7" borderId="2" xfId="0" applyFont="true" applyBorder="true" applyAlignment="true" applyProtection="false">
      <alignment horizontal="center" vertical="center" textRotation="0" wrapText="false" indent="0" shrinkToFit="false"/>
      <protection locked="true" hidden="false"/>
    </xf>
    <xf numFmtId="164" fontId="36" fillId="12" borderId="2" xfId="0" applyFont="true" applyBorder="true" applyAlignment="true" applyProtection="false">
      <alignment horizontal="left" vertical="center" textRotation="0" wrapText="false" indent="0" shrinkToFit="false"/>
      <protection locked="true" hidden="false"/>
    </xf>
    <xf numFmtId="164" fontId="36" fillId="10" borderId="2" xfId="0" applyFont="true" applyBorder="true" applyAlignment="true" applyProtection="false">
      <alignment horizontal="left" vertical="center" textRotation="0" wrapText="false" indent="0" shrinkToFit="false"/>
      <protection locked="true" hidden="false"/>
    </xf>
    <xf numFmtId="164" fontId="32" fillId="9" borderId="3" xfId="0" applyFont="true" applyBorder="true" applyAlignment="true" applyProtection="false">
      <alignment horizontal="left" vertical="center" textRotation="0" wrapText="false" indent="0" shrinkToFit="false"/>
      <protection locked="true" hidden="false"/>
    </xf>
    <xf numFmtId="164" fontId="37" fillId="9" borderId="3" xfId="0" applyFont="true" applyBorder="true" applyAlignment="true" applyProtection="false">
      <alignment horizontal="left" vertical="center" textRotation="0" wrapText="false" indent="0" shrinkToFit="false"/>
      <protection locked="true" hidden="false"/>
    </xf>
    <xf numFmtId="164" fontId="38" fillId="17" borderId="7" xfId="0" applyFont="true" applyBorder="true" applyAlignment="true" applyProtection="false">
      <alignment horizontal="left" vertical="center" textRotation="0" wrapText="true" indent="0" shrinkToFit="false"/>
      <protection locked="true" hidden="false"/>
    </xf>
    <xf numFmtId="164" fontId="8" fillId="18" borderId="0" xfId="0" applyFont="true" applyBorder="true" applyAlignment="true" applyProtection="false">
      <alignment horizontal="center" vertical="center" textRotation="0" wrapText="false" indent="0" shrinkToFit="false"/>
      <protection locked="true" hidden="false"/>
    </xf>
    <xf numFmtId="164" fontId="39" fillId="18" borderId="0" xfId="0" applyFont="true" applyBorder="true" applyAlignment="true" applyProtection="false">
      <alignment horizontal="center" vertical="center" textRotation="0" wrapText="false" indent="0" shrinkToFit="false"/>
      <protection locked="true" hidden="false"/>
    </xf>
    <xf numFmtId="164" fontId="9" fillId="2" borderId="2" xfId="0" applyFont="true" applyBorder="true" applyAlignment="true" applyProtection="false">
      <alignment horizontal="left" vertical="center" textRotation="0" wrapText="false" indent="0" shrinkToFit="false"/>
      <protection locked="true" hidden="false"/>
    </xf>
    <xf numFmtId="164" fontId="40" fillId="4" borderId="3" xfId="0" applyFont="true" applyBorder="true" applyAlignment="true" applyProtection="false">
      <alignment horizontal="left" vertical="center" textRotation="0" wrapText="false" indent="0" shrinkToFit="false"/>
      <protection locked="true" hidden="false"/>
    </xf>
    <xf numFmtId="164" fontId="9" fillId="2" borderId="3" xfId="0" applyFont="true" applyBorder="true" applyAlignment="true" applyProtection="false">
      <alignment horizontal="center" vertical="center" textRotation="0" wrapText="false" indent="0" shrinkToFit="false"/>
      <protection locked="true" hidden="false"/>
    </xf>
    <xf numFmtId="164" fontId="5" fillId="3" borderId="3" xfId="0" applyFont="true" applyBorder="true" applyAlignment="true" applyProtection="false">
      <alignment horizontal="center" vertical="center" textRotation="0" wrapText="false" indent="0" shrinkToFit="false"/>
      <protection locked="true" hidden="false"/>
    </xf>
    <xf numFmtId="166" fontId="41" fillId="12" borderId="2" xfId="0" applyFont="true" applyBorder="true" applyAlignment="true" applyProtection="false">
      <alignment horizontal="right" vertical="center" textRotation="0" wrapText="false" indent="0" shrinkToFit="false"/>
      <protection locked="true" hidden="false"/>
    </xf>
    <xf numFmtId="164" fontId="42" fillId="10" borderId="2" xfId="0" applyFont="true" applyBorder="true" applyAlignment="true" applyProtection="false">
      <alignment horizontal="left" vertical="center" textRotation="0" wrapText="true" indent="0" shrinkToFit="false"/>
      <protection locked="true" hidden="false"/>
    </xf>
    <xf numFmtId="166" fontId="43" fillId="9" borderId="2" xfId="0" applyFont="true" applyBorder="true" applyAlignment="true" applyProtection="false">
      <alignment horizontal="right" vertical="center" textRotation="0" wrapText="false" indent="0" shrinkToFit="false"/>
      <protection locked="true" hidden="false"/>
    </xf>
    <xf numFmtId="166" fontId="43" fillId="4" borderId="2" xfId="0" applyFont="true" applyBorder="true" applyAlignment="true" applyProtection="false">
      <alignment horizontal="right" vertical="center" textRotation="0" wrapText="false" indent="0" shrinkToFit="false"/>
      <protection locked="true" hidden="false"/>
    </xf>
    <xf numFmtId="164" fontId="42" fillId="10" borderId="2" xfId="0" applyFont="true" applyBorder="true" applyAlignment="true" applyProtection="false">
      <alignment horizontal="left" vertical="center" textRotation="0" wrapText="false" indent="0" shrinkToFit="false"/>
      <protection locked="true" hidden="false"/>
    </xf>
    <xf numFmtId="164" fontId="44" fillId="2" borderId="2" xfId="0" applyFont="true" applyBorder="true" applyAlignment="true" applyProtection="false">
      <alignment horizontal="center" vertical="center" textRotation="0" wrapText="false" indent="0" shrinkToFit="false"/>
      <protection locked="true" hidden="false"/>
    </xf>
    <xf numFmtId="169" fontId="7" fillId="7" borderId="2" xfId="0" applyFont="true" applyBorder="true" applyAlignment="true" applyProtection="false">
      <alignment horizontal="right" vertical="center" textRotation="0" wrapText="false" indent="0" shrinkToFit="false"/>
      <protection locked="true" hidden="false"/>
    </xf>
    <xf numFmtId="170" fontId="7" fillId="7" borderId="2" xfId="0" applyFont="true" applyBorder="true" applyAlignment="true" applyProtection="false">
      <alignment horizontal="center" vertical="center" textRotation="0" wrapText="false" indent="0" shrinkToFit="false"/>
      <protection locked="true" hidden="false"/>
    </xf>
    <xf numFmtId="169" fontId="7" fillId="10" borderId="2" xfId="0" applyFont="true" applyBorder="true" applyAlignment="true" applyProtection="false">
      <alignment horizontal="right" vertical="center" textRotation="0" wrapText="false" indent="0" shrinkToFit="false"/>
      <protection locked="true" hidden="false"/>
    </xf>
    <xf numFmtId="170" fontId="7" fillId="10" borderId="2" xfId="0" applyFont="true" applyBorder="true" applyAlignment="true" applyProtection="false">
      <alignment horizontal="center" vertical="center" textRotation="0" wrapText="false" indent="0" shrinkToFit="false"/>
      <protection locked="true" hidden="false"/>
    </xf>
    <xf numFmtId="169" fontId="7" fillId="12" borderId="2" xfId="0" applyFont="true" applyBorder="true" applyAlignment="true" applyProtection="false">
      <alignment horizontal="right" vertical="center" textRotation="0" wrapText="false" indent="0" shrinkToFit="false"/>
      <protection locked="true" hidden="false"/>
    </xf>
    <xf numFmtId="170" fontId="7" fillId="12" borderId="2" xfId="0" applyFont="true" applyBorder="true" applyAlignment="true" applyProtection="false">
      <alignment horizontal="center" vertical="center" textRotation="0" wrapText="false" indent="0" shrinkToFit="false"/>
      <protection locked="true" hidden="false"/>
    </xf>
    <xf numFmtId="166" fontId="45" fillId="13" borderId="5" xfId="0" applyFont="true" applyBorder="true" applyAlignment="true" applyProtection="false">
      <alignment horizontal="right" vertical="center" textRotation="0" wrapText="false" indent="0" shrinkToFit="false"/>
      <protection locked="true" hidden="false"/>
    </xf>
    <xf numFmtId="169" fontId="26" fillId="12" borderId="2" xfId="0" applyFont="true" applyBorder="true" applyAlignment="true" applyProtection="false">
      <alignment horizontal="right" vertical="center" textRotation="0" wrapText="false" indent="0" shrinkToFit="false"/>
      <protection locked="true" hidden="false"/>
    </xf>
    <xf numFmtId="170" fontId="26" fillId="12" borderId="2" xfId="0" applyFont="true" applyBorder="true" applyAlignment="true" applyProtection="false">
      <alignment horizontal="center" vertical="center" textRotation="0" wrapText="false" indent="0" shrinkToFit="false"/>
      <protection locked="true" hidden="false"/>
    </xf>
    <xf numFmtId="170" fontId="24" fillId="4" borderId="2" xfId="0" applyFont="true" applyBorder="true" applyAlignment="true" applyProtection="false">
      <alignment horizontal="center" vertical="center" textRotation="0" wrapText="false" indent="0" shrinkToFit="false"/>
      <protection locked="true" hidden="false"/>
    </xf>
    <xf numFmtId="164" fontId="9" fillId="18" borderId="3" xfId="0" applyFont="true" applyBorder="true" applyAlignment="true" applyProtection="false">
      <alignment horizontal="center" vertical="center" textRotation="0" wrapText="false" indent="0" shrinkToFit="false"/>
      <protection locked="true" hidden="false"/>
    </xf>
    <xf numFmtId="164" fontId="13" fillId="10" borderId="2" xfId="0" applyFont="true" applyBorder="true" applyAlignment="true" applyProtection="false">
      <alignment horizontal="left" vertical="center" textRotation="0" wrapText="false" indent="0" shrinkToFit="false"/>
      <protection locked="true" hidden="false"/>
    </xf>
    <xf numFmtId="164" fontId="46" fillId="19" borderId="2" xfId="0" applyFont="true" applyBorder="true" applyAlignment="true" applyProtection="false">
      <alignment horizontal="left" vertical="center" textRotation="0" wrapText="false" indent="0" shrinkToFit="false"/>
      <protection locked="true" hidden="false"/>
    </xf>
    <xf numFmtId="164" fontId="47" fillId="2" borderId="2" xfId="0" applyFont="true" applyBorder="true" applyAlignment="true" applyProtection="false">
      <alignment horizontal="left" vertical="center" textRotation="0" wrapText="false" indent="0" shrinkToFit="false"/>
      <protection locked="true" hidden="false"/>
    </xf>
    <xf numFmtId="166" fontId="4" fillId="18" borderId="8" xfId="0" applyFont="true" applyBorder="true" applyAlignment="true" applyProtection="false">
      <alignment horizontal="right" vertical="center" textRotation="0" wrapText="false" indent="0" shrinkToFit="false"/>
      <protection locked="true" hidden="false"/>
    </xf>
    <xf numFmtId="164" fontId="5" fillId="18" borderId="2" xfId="0" applyFont="true" applyBorder="true" applyAlignment="true" applyProtection="false">
      <alignment horizontal="left" vertical="center" textRotation="0" wrapText="false" indent="0" shrinkToFit="false"/>
      <protection locked="true" hidden="false"/>
    </xf>
    <xf numFmtId="171" fontId="43" fillId="9" borderId="2" xfId="0" applyFont="true" applyBorder="true" applyAlignment="true" applyProtection="false">
      <alignment horizontal="right" vertical="center" textRotation="0" wrapText="false" indent="0" shrinkToFit="false"/>
      <protection locked="true" hidden="false"/>
    </xf>
    <xf numFmtId="164" fontId="47" fillId="11" borderId="2" xfId="0" applyFont="true" applyBorder="true" applyAlignment="true" applyProtection="false">
      <alignment horizontal="left" vertical="center" textRotation="0" wrapText="false" indent="0" shrinkToFit="false"/>
      <protection locked="true" hidden="false"/>
    </xf>
    <xf numFmtId="172" fontId="4" fillId="11" borderId="9" xfId="0" applyFont="true" applyBorder="true" applyAlignment="true" applyProtection="false">
      <alignment horizontal="right" vertical="center" textRotation="0" wrapText="false" indent="0" shrinkToFit="false"/>
      <protection locked="true" hidden="false"/>
    </xf>
    <xf numFmtId="164" fontId="48" fillId="11" borderId="2" xfId="0" applyFont="true" applyBorder="true" applyAlignment="true" applyProtection="false">
      <alignment horizontal="left" vertical="center" textRotation="0" wrapText="false" indent="0" shrinkToFit="false"/>
      <protection locked="true" hidden="false"/>
    </xf>
    <xf numFmtId="164" fontId="5" fillId="3" borderId="3" xfId="0" applyFont="true" applyBorder="true" applyAlignment="true" applyProtection="false">
      <alignment horizontal="left" vertical="center" textRotation="0" wrapText="false" indent="0" shrinkToFit="false"/>
      <protection locked="true" hidden="false"/>
    </xf>
    <xf numFmtId="164" fontId="32" fillId="4" borderId="3"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5F6FA"/>
      <rgbColor rgb="FFFF00FF"/>
      <rgbColor rgb="FF00FFFF"/>
      <rgbColor rgb="FF8B0000"/>
      <rgbColor rgb="FF006400"/>
      <rgbColor rgb="FF000080"/>
      <rgbColor rgb="FF808000"/>
      <rgbColor rgb="FF6A1B9A"/>
      <rgbColor rgb="FF0D6E6E"/>
      <rgbColor rgb="FFCCBBDD"/>
      <rgbColor rgb="FF888888"/>
      <rgbColor rgb="FF9999FF"/>
      <rgbColor rgb="FFC62828"/>
      <rgbColor rgb="FFFFF8E7"/>
      <rgbColor rgb="FFE3F2FD"/>
      <rgbColor rgb="FF4A148C"/>
      <rgbColor rgb="FFFF8080"/>
      <rgbColor rgb="FF1565C0"/>
      <rgbColor rgb="FFD9DCE3"/>
      <rgbColor rgb="FF000080"/>
      <rgbColor rgb="FFFF00FF"/>
      <rgbColor rgb="FFFFFF00"/>
      <rgbColor rgb="FF00FFFF"/>
      <rgbColor rgb="FF800080"/>
      <rgbColor rgb="FF800000"/>
      <rgbColor rgb="FF008080"/>
      <rgbColor rgb="FF0000FF"/>
      <rgbColor rgb="FF00CCFF"/>
      <rgbColor rgb="FFE8F5E9"/>
      <rgbColor rgb="FFC8E6C9"/>
      <rgbColor rgb="FFFFF3E0"/>
      <rgbColor rgb="FFD6E4F7"/>
      <rgbColor rgb="FFEDE7F6"/>
      <rgbColor rgb="FFFEF0F0"/>
      <rgbColor rgb="FFF3E5F5"/>
      <rgbColor rgb="FF3366FF"/>
      <rgbColor rgb="FF33CCCC"/>
      <rgbColor rgb="FF99CC00"/>
      <rgbColor rgb="FFFFCC00"/>
      <rgbColor rgb="FFC9A84C"/>
      <rgbColor rgb="FFF57F17"/>
      <rgbColor rgb="FF777777"/>
      <rgbColor rgb="FF999999"/>
      <rgbColor rgb="FF1B3A6B"/>
      <rgbColor rgb="FF2E7D32"/>
      <rgbColor rgb="FF003300"/>
      <rgbColor rgb="FF1B5E20"/>
      <rgbColor rgb="FFB71C1C"/>
      <rgbColor rgb="FF993366"/>
      <rgbColor rgb="FF555555"/>
      <rgbColor rgb="FF1A1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6B"/>
    <pageSetUpPr fitToPage="false"/>
  </sheetPr>
  <dimension ref="B1:F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3" min="3" style="1" width="36"/>
    <col collapsed="false" customWidth="true" hidden="false" outlineLevel="0" max="4" min="4" style="1" width="20"/>
    <col collapsed="false" customWidth="true" hidden="false" outlineLevel="0" max="6" min="5" style="1" width="14"/>
    <col collapsed="false" customWidth="true" hidden="false" outlineLevel="0" max="7" min="7" style="1" width="3"/>
  </cols>
  <sheetData>
    <row r="1" customFormat="false" ht="6" hidden="false" customHeight="true" outlineLevel="0" collapsed="false"/>
    <row r="2" customFormat="false" ht="31.5" hidden="false" customHeight="true" outlineLevel="0" collapsed="false">
      <c r="B2" s="2" t="s">
        <v>0</v>
      </c>
      <c r="C2" s="2"/>
      <c r="D2" s="2"/>
      <c r="E2" s="2"/>
      <c r="F2" s="2"/>
    </row>
    <row r="3" customFormat="false" ht="18" hidden="false" customHeight="true" outlineLevel="0" collapsed="false">
      <c r="B3" s="3" t="s">
        <v>1</v>
      </c>
      <c r="C3" s="3" t="s">
        <v>2</v>
      </c>
      <c r="D3" s="3" t="s">
        <v>3</v>
      </c>
      <c r="E3" s="3" t="s">
        <v>4</v>
      </c>
      <c r="F3" s="3" t="s">
        <v>5</v>
      </c>
    </row>
    <row r="4" customFormat="false" ht="7.5" hidden="false" customHeight="true" outlineLevel="0" collapsed="false">
      <c r="B4" s="4" t="s">
        <v>6</v>
      </c>
      <c r="C4" s="5" t="s">
        <v>7</v>
      </c>
      <c r="D4" s="6" t="s">
        <v>8</v>
      </c>
      <c r="E4" s="6" t="s">
        <v>9</v>
      </c>
      <c r="F4" s="6" t="s">
        <v>10</v>
      </c>
    </row>
    <row r="5" customFormat="false" ht="18" hidden="false" customHeight="true" outlineLevel="0" collapsed="false">
      <c r="B5" s="4" t="s">
        <v>11</v>
      </c>
      <c r="C5" s="5" t="s">
        <v>12</v>
      </c>
      <c r="D5" s="6" t="s">
        <v>8</v>
      </c>
      <c r="E5" s="6" t="s">
        <v>9</v>
      </c>
      <c r="F5" s="6" t="s">
        <v>10</v>
      </c>
    </row>
    <row r="6" customFormat="false" ht="18" hidden="false" customHeight="true" outlineLevel="0" collapsed="false">
      <c r="B6" s="4" t="s">
        <v>13</v>
      </c>
      <c r="C6" s="5" t="s">
        <v>14</v>
      </c>
      <c r="D6" s="6" t="s">
        <v>8</v>
      </c>
      <c r="E6" s="6" t="s">
        <v>9</v>
      </c>
      <c r="F6" s="6" t="s">
        <v>10</v>
      </c>
    </row>
    <row r="7" customFormat="false" ht="16.5" hidden="false" customHeight="true" outlineLevel="0" collapsed="false">
      <c r="B7" s="7" t="s">
        <v>15</v>
      </c>
      <c r="C7" s="8" t="s">
        <v>16</v>
      </c>
      <c r="D7" s="9" t="s">
        <v>17</v>
      </c>
      <c r="E7" s="9" t="s">
        <v>18</v>
      </c>
      <c r="F7" s="9" t="s">
        <v>10</v>
      </c>
    </row>
    <row r="8" customFormat="false" ht="16.5" hidden="false" customHeight="true" outlineLevel="0" collapsed="false">
      <c r="B8" s="4" t="s">
        <v>19</v>
      </c>
      <c r="C8" s="5" t="s">
        <v>20</v>
      </c>
      <c r="D8" s="6" t="s">
        <v>8</v>
      </c>
      <c r="E8" s="6" t="s">
        <v>9</v>
      </c>
      <c r="F8" s="6" t="s">
        <v>10</v>
      </c>
    </row>
    <row r="9" customFormat="false" ht="16.5" hidden="false" customHeight="true" outlineLevel="0" collapsed="false">
      <c r="B9" s="4" t="s">
        <v>21</v>
      </c>
      <c r="C9" s="5" t="s">
        <v>22</v>
      </c>
      <c r="D9" s="6" t="s">
        <v>8</v>
      </c>
      <c r="E9" s="6" t="s">
        <v>9</v>
      </c>
      <c r="F9" s="6" t="s">
        <v>10</v>
      </c>
    </row>
    <row r="10" customFormat="false" ht="16.5" hidden="false" customHeight="true" outlineLevel="0" collapsed="false">
      <c r="B10" s="4" t="s">
        <v>23</v>
      </c>
      <c r="C10" s="5" t="s">
        <v>24</v>
      </c>
      <c r="D10" s="6" t="s">
        <v>8</v>
      </c>
      <c r="E10" s="6" t="s">
        <v>9</v>
      </c>
      <c r="F10" s="6" t="s">
        <v>10</v>
      </c>
    </row>
    <row r="11" customFormat="false" ht="16.5" hidden="false" customHeight="true" outlineLevel="0" collapsed="false">
      <c r="B11" s="4" t="s">
        <v>25</v>
      </c>
      <c r="C11" s="5" t="s">
        <v>26</v>
      </c>
      <c r="D11" s="6" t="s">
        <v>8</v>
      </c>
      <c r="E11" s="6" t="s">
        <v>9</v>
      </c>
      <c r="F11" s="6" t="s">
        <v>10</v>
      </c>
    </row>
    <row r="12" customFormat="false" ht="16.5" hidden="false" customHeight="true" outlineLevel="0" collapsed="false">
      <c r="B12" s="7" t="s">
        <v>27</v>
      </c>
      <c r="C12" s="8" t="s">
        <v>28</v>
      </c>
      <c r="D12" s="9" t="s">
        <v>17</v>
      </c>
      <c r="E12" s="9" t="s">
        <v>18</v>
      </c>
      <c r="F12" s="9" t="s">
        <v>10</v>
      </c>
    </row>
    <row r="13" customFormat="false" ht="16.5" hidden="false" customHeight="true" outlineLevel="0" collapsed="false">
      <c r="B13" s="4" t="s">
        <v>29</v>
      </c>
      <c r="C13" s="5" t="s">
        <v>30</v>
      </c>
      <c r="D13" s="6" t="s">
        <v>8</v>
      </c>
      <c r="E13" s="6" t="s">
        <v>9</v>
      </c>
      <c r="F13" s="6" t="s">
        <v>10</v>
      </c>
    </row>
    <row r="14" customFormat="false" ht="16.5" hidden="false" customHeight="true" outlineLevel="0" collapsed="false">
      <c r="B14" s="7" t="s">
        <v>31</v>
      </c>
      <c r="C14" s="8" t="s">
        <v>32</v>
      </c>
      <c r="D14" s="9" t="s">
        <v>17</v>
      </c>
      <c r="E14" s="9" t="s">
        <v>18</v>
      </c>
      <c r="F14" s="9" t="s">
        <v>10</v>
      </c>
    </row>
    <row r="15" customFormat="false" ht="16.5" hidden="false" customHeight="true" outlineLevel="0" collapsed="false">
      <c r="B15" s="4" t="s">
        <v>33</v>
      </c>
      <c r="C15" s="5" t="s">
        <v>34</v>
      </c>
      <c r="D15" s="6" t="s">
        <v>8</v>
      </c>
      <c r="E15" s="6" t="s">
        <v>9</v>
      </c>
      <c r="F15" s="6" t="s">
        <v>10</v>
      </c>
    </row>
    <row r="16" customFormat="false" ht="16.5" hidden="false" customHeight="true" outlineLevel="0" collapsed="false">
      <c r="B16" s="10" t="s">
        <v>35</v>
      </c>
      <c r="C16" s="11" t="s">
        <v>36</v>
      </c>
      <c r="D16" s="12" t="s">
        <v>37</v>
      </c>
      <c r="E16" s="12" t="s">
        <v>18</v>
      </c>
      <c r="F16" s="12" t="s">
        <v>10</v>
      </c>
    </row>
    <row r="17" customFormat="false" ht="16.5" hidden="false" customHeight="true" outlineLevel="0" collapsed="false">
      <c r="B17" s="10" t="s">
        <v>38</v>
      </c>
      <c r="C17" s="11" t="s">
        <v>39</v>
      </c>
      <c r="D17" s="12" t="s">
        <v>37</v>
      </c>
      <c r="E17" s="12" t="s">
        <v>18</v>
      </c>
      <c r="F17" s="12" t="s">
        <v>10</v>
      </c>
    </row>
    <row r="18" customFormat="false" ht="16.5" hidden="false" customHeight="true" outlineLevel="0" collapsed="false">
      <c r="B18" s="10" t="s">
        <v>40</v>
      </c>
      <c r="C18" s="11" t="s">
        <v>41</v>
      </c>
      <c r="D18" s="12" t="s">
        <v>37</v>
      </c>
      <c r="E18" s="12" t="s">
        <v>18</v>
      </c>
      <c r="F18" s="12" t="s">
        <v>10</v>
      </c>
    </row>
    <row r="19" customFormat="false" ht="16.5" hidden="false" customHeight="true" outlineLevel="0" collapsed="false">
      <c r="B19" s="10" t="s">
        <v>42</v>
      </c>
      <c r="C19" s="11" t="s">
        <v>43</v>
      </c>
      <c r="D19" s="12" t="s">
        <v>37</v>
      </c>
      <c r="E19" s="12" t="s">
        <v>18</v>
      </c>
      <c r="F19" s="12" t="s">
        <v>10</v>
      </c>
    </row>
    <row r="20" customFormat="false" ht="16.5" hidden="false" customHeight="true" outlineLevel="0" collapsed="false">
      <c r="B20" s="10" t="s">
        <v>44</v>
      </c>
      <c r="C20" s="11" t="s">
        <v>45</v>
      </c>
      <c r="D20" s="12" t="s">
        <v>37</v>
      </c>
      <c r="E20" s="12" t="s">
        <v>18</v>
      </c>
      <c r="F20" s="12" t="s">
        <v>10</v>
      </c>
    </row>
    <row r="21" customFormat="false" ht="16.5" hidden="false" customHeight="true" outlineLevel="0" collapsed="false">
      <c r="B21" s="10" t="s">
        <v>46</v>
      </c>
      <c r="C21" s="11" t="s">
        <v>47</v>
      </c>
      <c r="D21" s="12" t="s">
        <v>37</v>
      </c>
      <c r="E21" s="12" t="s">
        <v>18</v>
      </c>
      <c r="F21" s="12" t="s">
        <v>10</v>
      </c>
    </row>
    <row r="22" customFormat="false" ht="16.5" hidden="false" customHeight="true" outlineLevel="0" collapsed="false">
      <c r="B22" s="10" t="s">
        <v>48</v>
      </c>
      <c r="C22" s="11" t="s">
        <v>49</v>
      </c>
      <c r="D22" s="12" t="s">
        <v>37</v>
      </c>
      <c r="E22" s="12" t="s">
        <v>18</v>
      </c>
      <c r="F22" s="12" t="s">
        <v>10</v>
      </c>
    </row>
    <row r="23" customFormat="false" ht="16.5" hidden="false" customHeight="true" outlineLevel="0" collapsed="false">
      <c r="B23" s="10" t="s">
        <v>50</v>
      </c>
      <c r="C23" s="11" t="s">
        <v>51</v>
      </c>
      <c r="D23" s="12" t="s">
        <v>37</v>
      </c>
      <c r="E23" s="12" t="s">
        <v>18</v>
      </c>
      <c r="F23" s="12" t="s">
        <v>10</v>
      </c>
    </row>
    <row r="24" customFormat="false" ht="16.5" hidden="false" customHeight="true" outlineLevel="0" collapsed="false">
      <c r="B24" s="13" t="s">
        <v>52</v>
      </c>
      <c r="C24" s="14" t="s">
        <v>53</v>
      </c>
      <c r="D24" s="15" t="s">
        <v>54</v>
      </c>
      <c r="E24" s="15" t="s">
        <v>18</v>
      </c>
      <c r="F24" s="15" t="s">
        <v>10</v>
      </c>
    </row>
    <row r="25" customFormat="false" ht="16.5" hidden="false" customHeight="true" outlineLevel="0" collapsed="false">
      <c r="B25" s="13" t="s">
        <v>55</v>
      </c>
      <c r="C25" s="14" t="s">
        <v>56</v>
      </c>
      <c r="D25" s="15" t="s">
        <v>54</v>
      </c>
      <c r="E25" s="15" t="s">
        <v>18</v>
      </c>
      <c r="F25" s="15" t="s">
        <v>10</v>
      </c>
    </row>
    <row r="26" customFormat="false" ht="16.5" hidden="false" customHeight="true" outlineLevel="0" collapsed="false">
      <c r="B26" s="13" t="s">
        <v>57</v>
      </c>
      <c r="C26" s="14" t="s">
        <v>58</v>
      </c>
      <c r="D26" s="15" t="s">
        <v>54</v>
      </c>
      <c r="E26" s="15" t="s">
        <v>18</v>
      </c>
      <c r="F26" s="15" t="s">
        <v>10</v>
      </c>
    </row>
    <row r="27" customFormat="false" ht="16.5" hidden="false" customHeight="true" outlineLevel="0" collapsed="false">
      <c r="B27" s="13" t="s">
        <v>59</v>
      </c>
      <c r="C27" s="14" t="s">
        <v>60</v>
      </c>
      <c r="D27" s="15" t="s">
        <v>54</v>
      </c>
      <c r="E27" s="15" t="s">
        <v>9</v>
      </c>
      <c r="F27" s="15" t="s">
        <v>10</v>
      </c>
    </row>
    <row r="28" customFormat="false" ht="16.5" hidden="false" customHeight="true" outlineLevel="0" collapsed="false">
      <c r="B28" s="16" t="s">
        <v>61</v>
      </c>
      <c r="C28" s="17" t="s">
        <v>62</v>
      </c>
      <c r="D28" s="18" t="s">
        <v>63</v>
      </c>
      <c r="E28" s="18" t="s">
        <v>18</v>
      </c>
      <c r="F28" s="18" t="s">
        <v>64</v>
      </c>
    </row>
    <row r="29" customFormat="false" ht="16.5" hidden="false" customHeight="true" outlineLevel="0" collapsed="false">
      <c r="B29" s="16" t="s">
        <v>65</v>
      </c>
      <c r="C29" s="17" t="s">
        <v>66</v>
      </c>
      <c r="D29" s="18" t="s">
        <v>63</v>
      </c>
      <c r="E29" s="18" t="s">
        <v>18</v>
      </c>
      <c r="F29" s="18" t="s">
        <v>64</v>
      </c>
    </row>
    <row r="30" customFormat="false" ht="16.5" hidden="false" customHeight="true" outlineLevel="0" collapsed="false">
      <c r="B30" s="16" t="s">
        <v>67</v>
      </c>
      <c r="C30" s="17" t="s">
        <v>68</v>
      </c>
      <c r="D30" s="18" t="s">
        <v>63</v>
      </c>
      <c r="E30" s="18" t="s">
        <v>18</v>
      </c>
      <c r="F30" s="18" t="s">
        <v>64</v>
      </c>
    </row>
    <row r="31" customFormat="false" ht="16.5" hidden="false" customHeight="true" outlineLevel="0" collapsed="false">
      <c r="B31" s="16" t="s">
        <v>69</v>
      </c>
      <c r="C31" s="17" t="s">
        <v>70</v>
      </c>
      <c r="D31" s="18" t="s">
        <v>63</v>
      </c>
      <c r="E31" s="18" t="s">
        <v>18</v>
      </c>
      <c r="F31" s="18" t="s">
        <v>64</v>
      </c>
    </row>
    <row r="32" customFormat="false" ht="16.5" hidden="false" customHeight="true" outlineLevel="0" collapsed="false">
      <c r="B32" s="19" t="s">
        <v>71</v>
      </c>
      <c r="C32" s="20" t="s">
        <v>72</v>
      </c>
      <c r="D32" s="21" t="s">
        <v>73</v>
      </c>
      <c r="E32" s="21" t="s">
        <v>9</v>
      </c>
      <c r="F32" s="21" t="s">
        <v>64</v>
      </c>
    </row>
    <row r="33" customFormat="false" ht="16.5" hidden="false" customHeight="true" outlineLevel="0" collapsed="false">
      <c r="B33" s="19" t="s">
        <v>74</v>
      </c>
      <c r="C33" s="20" t="s">
        <v>75</v>
      </c>
      <c r="D33" s="21" t="s">
        <v>73</v>
      </c>
      <c r="E33" s="21" t="s">
        <v>9</v>
      </c>
      <c r="F33" s="21" t="s">
        <v>64</v>
      </c>
    </row>
    <row r="34" customFormat="false" ht="16.5" hidden="false" customHeight="true" outlineLevel="0" collapsed="false">
      <c r="B34" s="19" t="s">
        <v>76</v>
      </c>
      <c r="C34" s="20" t="s">
        <v>77</v>
      </c>
      <c r="D34" s="21" t="s">
        <v>73</v>
      </c>
      <c r="E34" s="21" t="s">
        <v>9</v>
      </c>
      <c r="F34" s="21" t="s">
        <v>64</v>
      </c>
    </row>
    <row r="35" customFormat="false" ht="16.5" hidden="false" customHeight="true" outlineLevel="0" collapsed="false">
      <c r="B35" s="19" t="s">
        <v>78</v>
      </c>
      <c r="C35" s="20" t="s">
        <v>79</v>
      </c>
      <c r="D35" s="21" t="s">
        <v>73</v>
      </c>
      <c r="E35" s="21" t="s">
        <v>9</v>
      </c>
      <c r="F35" s="21" t="s">
        <v>64</v>
      </c>
    </row>
    <row r="36" customFormat="false" ht="16.5" hidden="false" customHeight="true" outlineLevel="0" collapsed="false">
      <c r="B36" s="19" t="s">
        <v>80</v>
      </c>
      <c r="C36" s="20" t="s">
        <v>81</v>
      </c>
      <c r="D36" s="21" t="s">
        <v>73</v>
      </c>
      <c r="E36" s="21" t="s">
        <v>9</v>
      </c>
      <c r="F36" s="21" t="s">
        <v>64</v>
      </c>
    </row>
    <row r="37" customFormat="false" ht="16.5" hidden="false" customHeight="true" outlineLevel="0" collapsed="false">
      <c r="B37" s="19" t="s">
        <v>82</v>
      </c>
      <c r="C37" s="20" t="s">
        <v>83</v>
      </c>
      <c r="D37" s="21" t="s">
        <v>73</v>
      </c>
      <c r="E37" s="21" t="s">
        <v>9</v>
      </c>
      <c r="F37" s="21" t="s">
        <v>64</v>
      </c>
    </row>
    <row r="38" customFormat="false" ht="16.5" hidden="false" customHeight="true" outlineLevel="0" collapsed="false">
      <c r="B38" s="19" t="s">
        <v>84</v>
      </c>
      <c r="C38" s="20" t="s">
        <v>85</v>
      </c>
      <c r="D38" s="21" t="s">
        <v>73</v>
      </c>
      <c r="E38" s="21" t="s">
        <v>9</v>
      </c>
      <c r="F38" s="21" t="s">
        <v>64</v>
      </c>
    </row>
    <row r="39" customFormat="false" ht="16.5" hidden="false" customHeight="true" outlineLevel="0" collapsed="false">
      <c r="B39" s="19" t="s">
        <v>86</v>
      </c>
      <c r="C39" s="20" t="s">
        <v>87</v>
      </c>
      <c r="D39" s="21" t="s">
        <v>73</v>
      </c>
      <c r="E39" s="21" t="s">
        <v>9</v>
      </c>
      <c r="F39" s="21" t="s">
        <v>64</v>
      </c>
    </row>
    <row r="40" customFormat="false" ht="16.5" hidden="false" customHeight="true" outlineLevel="0" collapsed="false">
      <c r="B40" s="19" t="s">
        <v>88</v>
      </c>
      <c r="C40" s="20" t="s">
        <v>89</v>
      </c>
      <c r="D40" s="21" t="s">
        <v>73</v>
      </c>
      <c r="E40" s="21" t="s">
        <v>9</v>
      </c>
      <c r="F40" s="21" t="s">
        <v>64</v>
      </c>
    </row>
    <row r="41" customFormat="false" ht="16.5" hidden="false" customHeight="true" outlineLevel="0" collapsed="false">
      <c r="B41" s="19" t="s">
        <v>90</v>
      </c>
      <c r="C41" s="20" t="s">
        <v>91</v>
      </c>
      <c r="D41" s="21" t="s">
        <v>73</v>
      </c>
      <c r="E41" s="21" t="s">
        <v>9</v>
      </c>
      <c r="F41" s="21" t="s">
        <v>64</v>
      </c>
    </row>
    <row r="42" customFormat="false" ht="16.5" hidden="false" customHeight="true" outlineLevel="0" collapsed="false">
      <c r="B42" s="19" t="s">
        <v>92</v>
      </c>
      <c r="C42" s="20" t="s">
        <v>93</v>
      </c>
      <c r="D42" s="21" t="s">
        <v>73</v>
      </c>
      <c r="E42" s="21" t="s">
        <v>9</v>
      </c>
      <c r="F42" s="21" t="s">
        <v>64</v>
      </c>
    </row>
    <row r="43" customFormat="false" ht="16.5" hidden="false" customHeight="true" outlineLevel="0" collapsed="false">
      <c r="B43" s="19" t="s">
        <v>94</v>
      </c>
      <c r="C43" s="20" t="s">
        <v>95</v>
      </c>
      <c r="D43" s="21" t="s">
        <v>73</v>
      </c>
      <c r="E43" s="21" t="s">
        <v>9</v>
      </c>
      <c r="F43" s="21" t="s">
        <v>64</v>
      </c>
    </row>
    <row r="44" customFormat="false" ht="16.5" hidden="false" customHeight="true" outlineLevel="0" collapsed="false">
      <c r="B44" s="19" t="s">
        <v>96</v>
      </c>
      <c r="C44" s="20" t="s">
        <v>97</v>
      </c>
      <c r="D44" s="21" t="s">
        <v>73</v>
      </c>
      <c r="E44" s="21" t="s">
        <v>9</v>
      </c>
      <c r="F44" s="21" t="s">
        <v>64</v>
      </c>
    </row>
    <row r="45" customFormat="false" ht="16.5" hidden="false" customHeight="true" outlineLevel="0" collapsed="false">
      <c r="B45" s="19" t="s">
        <v>98</v>
      </c>
      <c r="C45" s="20" t="s">
        <v>99</v>
      </c>
      <c r="D45" s="21" t="s">
        <v>73</v>
      </c>
      <c r="E45" s="21" t="s">
        <v>9</v>
      </c>
      <c r="F45" s="21" t="s">
        <v>64</v>
      </c>
    </row>
    <row r="46" customFormat="false" ht="16.5" hidden="false" customHeight="true" outlineLevel="0" collapsed="false">
      <c r="B46" s="19" t="s">
        <v>100</v>
      </c>
      <c r="C46" s="20" t="s">
        <v>101</v>
      </c>
      <c r="D46" s="21" t="s">
        <v>73</v>
      </c>
      <c r="E46" s="21" t="s">
        <v>9</v>
      </c>
      <c r="F46" s="21" t="s">
        <v>64</v>
      </c>
    </row>
    <row r="47" customFormat="false" ht="16.5" hidden="false" customHeight="true" outlineLevel="0" collapsed="false"/>
    <row r="48" customFormat="false" ht="16.5" hidden="false" customHeight="true" outlineLevel="0" collapsed="false"/>
    <row r="49" customFormat="false" ht="16.5" hidden="false" customHeight="true" outlineLevel="0" collapsed="false">
      <c r="B49" s="22" t="s">
        <v>102</v>
      </c>
      <c r="C49" s="22"/>
      <c r="D49" s="22"/>
      <c r="E49" s="22"/>
      <c r="F49" s="22"/>
    </row>
    <row r="50" customFormat="false" ht="16.5" hidden="false" customHeight="true" outlineLevel="0" collapsed="false">
      <c r="B50" s="6" t="s">
        <v>8</v>
      </c>
      <c r="C50" s="6"/>
    </row>
    <row r="51" customFormat="false" ht="16.5" hidden="false" customHeight="true" outlineLevel="0" collapsed="false">
      <c r="B51" s="12" t="s">
        <v>37</v>
      </c>
      <c r="C51" s="12"/>
    </row>
    <row r="52" customFormat="false" ht="16.5" hidden="false" customHeight="true" outlineLevel="0" collapsed="false">
      <c r="B52" s="15" t="s">
        <v>54</v>
      </c>
      <c r="C52" s="15"/>
    </row>
    <row r="53" customFormat="false" ht="16.5" hidden="false" customHeight="true" outlineLevel="0" collapsed="false">
      <c r="B53" s="18" t="s">
        <v>63</v>
      </c>
      <c r="C53" s="18"/>
    </row>
    <row r="54" customFormat="false" ht="16.5" hidden="false" customHeight="true" outlineLevel="0" collapsed="false">
      <c r="B54" s="21" t="s">
        <v>73</v>
      </c>
      <c r="C54" s="21"/>
    </row>
    <row r="55" customFormat="false" ht="16.5" hidden="false" customHeight="true" outlineLevel="0" collapsed="false">
      <c r="B55" s="9" t="s">
        <v>17</v>
      </c>
      <c r="C55" s="9"/>
    </row>
    <row r="56" customFormat="false" ht="16.5" hidden="false" customHeight="true" outlineLevel="0" collapsed="false"/>
    <row r="57" customFormat="false" ht="16.5" hidden="false" customHeight="true" outlineLevel="0" collapsed="false"/>
    <row r="58" customFormat="false" ht="16.5" hidden="false" customHeight="true" outlineLevel="0" collapsed="false"/>
    <row r="59" customFormat="false" ht="16.5" hidden="false" customHeight="true" outlineLevel="0" collapsed="false"/>
    <row r="60" customFormat="false" ht="16.5" hidden="false" customHeight="true" outlineLevel="0" collapsed="false"/>
    <row r="61" customFormat="false" ht="16.5" hidden="false" customHeight="true" outlineLevel="0" collapsed="false"/>
    <row r="62" customFormat="false" ht="16.5" hidden="false" customHeight="true" outlineLevel="0" collapsed="false"/>
    <row r="63" customFormat="false" ht="16.5" hidden="false" customHeight="true" outlineLevel="0" collapsed="false"/>
    <row r="64" customFormat="false" ht="16.5" hidden="false" customHeight="true" outlineLevel="0" collapsed="false"/>
    <row r="65" customFormat="false" ht="16.5" hidden="false" customHeight="true" outlineLevel="0" collapsed="false"/>
    <row r="66" customFormat="false" ht="16.5" hidden="false" customHeight="true" outlineLevel="0" collapsed="false"/>
    <row r="67" customFormat="false" ht="16.5" hidden="false" customHeight="true" outlineLevel="0" collapsed="false"/>
    <row r="68" customFormat="false" ht="16.5" hidden="false" customHeight="true" outlineLevel="0" collapsed="false"/>
    <row r="69" customFormat="false" ht="16.5" hidden="false" customHeight="true" outlineLevel="0" collapsed="false"/>
    <row r="70" customFormat="false" ht="16.5" hidden="false" customHeight="true" outlineLevel="0" collapsed="false"/>
    <row r="71" customFormat="false" ht="16.5" hidden="false" customHeight="true" outlineLevel="0" collapsed="false"/>
    <row r="72" customFormat="false" ht="16.5" hidden="false" customHeight="true" outlineLevel="0" collapsed="false"/>
    <row r="73" customFormat="false" ht="16.5" hidden="false" customHeight="true" outlineLevel="0" collapsed="false"/>
    <row r="74" customFormat="false" ht="16.5" hidden="false" customHeight="true" outlineLevel="0" collapsed="false"/>
    <row r="75" customFormat="false" ht="16.5" hidden="false" customHeight="true" outlineLevel="0" collapsed="false"/>
    <row r="76" customFormat="false" ht="16.5" hidden="false" customHeight="true" outlineLevel="0" collapsed="false"/>
    <row r="77" customFormat="false" ht="16.5" hidden="false" customHeight="true" outlineLevel="0" collapsed="false"/>
    <row r="78" customFormat="false" ht="16.5" hidden="false" customHeight="true" outlineLevel="0" collapsed="false"/>
    <row r="79" customFormat="false" ht="16.5" hidden="false" customHeight="true" outlineLevel="0" collapsed="false"/>
    <row r="80" customFormat="false" ht="16.5" hidden="false" customHeight="true" outlineLevel="0" collapsed="false"/>
    <row r="81" customFormat="false" ht="16.5" hidden="false" customHeight="true" outlineLevel="0" collapsed="false"/>
    <row r="82" customFormat="false" ht="16.5" hidden="false" customHeight="true" outlineLevel="0" collapsed="false"/>
    <row r="83" customFormat="false" ht="16.5" hidden="false" customHeight="true" outlineLevel="0" collapsed="false"/>
    <row r="84" customFormat="false" ht="16.5" hidden="false" customHeight="true" outlineLevel="0" collapsed="false"/>
    <row r="85" customFormat="false" ht="16.5" hidden="false" customHeight="true" outlineLevel="0" collapsed="false"/>
    <row r="86" customFormat="false" ht="16.5" hidden="false" customHeight="true" outlineLevel="0" collapsed="false"/>
    <row r="87" customFormat="false" ht="16.5" hidden="false" customHeight="true" outlineLevel="0" collapsed="false"/>
    <row r="88" customFormat="false" ht="16.5" hidden="false" customHeight="true" outlineLevel="0" collapsed="false"/>
    <row r="89" customFormat="false" ht="16.5" hidden="false" customHeight="true" outlineLevel="0" collapsed="false"/>
    <row r="90" customFormat="false" ht="16.5" hidden="false" customHeight="true" outlineLevel="0" collapsed="false"/>
    <row r="91" customFormat="false" ht="16.5" hidden="false" customHeight="true" outlineLevel="0" collapsed="false"/>
    <row r="92" customFormat="false" ht="16.5" hidden="false" customHeight="true" outlineLevel="0" collapsed="false"/>
    <row r="93" customFormat="false" ht="16.5" hidden="false" customHeight="true" outlineLevel="0" collapsed="false"/>
    <row r="94" customFormat="false" ht="16.5" hidden="false" customHeight="true" outlineLevel="0" collapsed="false"/>
    <row r="95" customFormat="false" ht="16.5" hidden="false" customHeight="true" outlineLevel="0" collapsed="false"/>
    <row r="96" customFormat="false" ht="16.5" hidden="false" customHeight="true" outlineLevel="0" collapsed="false"/>
    <row r="97" customFormat="false" ht="16.5" hidden="false" customHeight="true" outlineLevel="0" collapsed="false"/>
    <row r="98" customFormat="false" ht="16.5" hidden="false" customHeight="true" outlineLevel="0" collapsed="false"/>
    <row r="99" customFormat="false" ht="16.5" hidden="false" customHeight="true" outlineLevel="0" collapsed="false"/>
  </sheetData>
  <mergeCells count="8">
    <mergeCell ref="B2:F2"/>
    <mergeCell ref="B49:F49"/>
    <mergeCell ref="B50:C50"/>
    <mergeCell ref="B51:C51"/>
    <mergeCell ref="B52:C52"/>
    <mergeCell ref="B53:C53"/>
    <mergeCell ref="B54:C54"/>
    <mergeCell ref="B55:C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6E6E"/>
    <pageSetUpPr fitToPage="false"/>
  </sheetPr>
  <dimension ref="B1:J18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5"/>
    <col collapsed="false" customWidth="true" hidden="false" outlineLevel="0" max="3" min="3" style="1" width="13"/>
    <col collapsed="false" customWidth="true" hidden="false" outlineLevel="0" max="4" min="4" style="1" width="14"/>
    <col collapsed="false" customWidth="true" hidden="false" outlineLevel="0" max="5" min="5" style="1" width="11"/>
    <col collapsed="false" customWidth="true" hidden="false" outlineLevel="0" max="6" min="6" style="1" width="32"/>
    <col collapsed="false" customWidth="true" hidden="false" outlineLevel="0" max="7" min="7" style="1" width="22"/>
    <col collapsed="false" customWidth="true" hidden="false" outlineLevel="0" max="9" min="8" style="1" width="15"/>
    <col collapsed="false" customWidth="true" hidden="false" outlineLevel="0" max="10" min="10" style="1" width="18"/>
    <col collapsed="false" customWidth="true" hidden="false" outlineLevel="0" max="11" min="11" style="1" width="3"/>
  </cols>
  <sheetData>
    <row r="1" customFormat="false" ht="6" hidden="false" customHeight="true" outlineLevel="0" collapsed="false"/>
    <row r="2" customFormat="false" ht="33.75" hidden="false" customHeight="true" outlineLevel="0" collapsed="false">
      <c r="B2" s="23" t="str">
        <f aca="false">IFERROR("GENERAL JOURNAL  —  Smart Monthly Ledger  |  Fiscal Year: "&amp;TEXT(G3,"0"),"GENERAL JOURNAL")</f>
        <v>GENERAL JOURNAL  —  Smart Monthly Ledger  |  Fiscal Year: 2025</v>
      </c>
      <c r="C2" s="23"/>
      <c r="D2" s="23"/>
      <c r="E2" s="23"/>
      <c r="F2" s="23"/>
      <c r="G2" s="23"/>
      <c r="H2" s="23"/>
      <c r="I2" s="23"/>
      <c r="J2" s="23"/>
    </row>
    <row r="3" customFormat="false" ht="19.5" hidden="false" customHeight="true" outlineLevel="0" collapsed="false">
      <c r="B3" s="24" t="s">
        <v>103</v>
      </c>
      <c r="C3" s="24"/>
      <c r="D3" s="25" t="s">
        <v>104</v>
      </c>
      <c r="E3" s="25"/>
      <c r="F3" s="24" t="s">
        <v>105</v>
      </c>
      <c r="G3" s="26" t="n">
        <v>2025</v>
      </c>
      <c r="H3" s="27" t="s">
        <v>106</v>
      </c>
      <c r="I3" s="27"/>
      <c r="J3" s="27"/>
    </row>
    <row r="4" customFormat="false" ht="19.5" hidden="false" customHeight="true" outlineLevel="0" collapsed="false">
      <c r="B4" s="28" t="s">
        <v>107</v>
      </c>
      <c r="C4" s="28"/>
      <c r="D4" s="28"/>
      <c r="E4" s="28"/>
      <c r="F4" s="28"/>
      <c r="G4" s="28"/>
      <c r="H4" s="28"/>
      <c r="I4" s="28"/>
      <c r="J4" s="28"/>
    </row>
    <row r="5" customFormat="false" ht="19.5" hidden="false" customHeight="true" outlineLevel="0" collapsed="false">
      <c r="B5" s="29" t="s">
        <v>108</v>
      </c>
      <c r="C5" s="29"/>
      <c r="D5" s="29"/>
      <c r="E5" s="29"/>
      <c r="F5" s="29"/>
      <c r="G5" s="29"/>
      <c r="H5" s="29"/>
      <c r="I5" s="29"/>
      <c r="J5" s="29"/>
    </row>
    <row r="6" customFormat="false" ht="19.5" hidden="false" customHeight="true" outlineLevel="0" collapsed="false">
      <c r="B6" s="30" t="s">
        <v>109</v>
      </c>
      <c r="C6" s="30"/>
      <c r="D6" s="31" t="s">
        <v>110</v>
      </c>
      <c r="E6" s="32" t="n">
        <f aca="false">IFERROR(SUM(H10:H1809),0)</f>
        <v>0</v>
      </c>
      <c r="F6" s="31" t="s">
        <v>111</v>
      </c>
      <c r="G6" s="33" t="n">
        <f aca="false">IFERROR(SUM(I10:I1809),0)</f>
        <v>0</v>
      </c>
      <c r="H6" s="34" t="str">
        <f aca="false">IF(E6=G6,"✔ BALANCED","✖ OUT OF BALANCE")</f>
        <v>✔ BALANCED</v>
      </c>
      <c r="I6" s="35" t="s">
        <v>112</v>
      </c>
      <c r="J6" s="35"/>
    </row>
    <row r="7" customFormat="false" ht="7.5" hidden="false" customHeight="true" outlineLevel="0" collapsed="false"/>
    <row r="8" customFormat="false" ht="19.5" hidden="false" customHeight="true" outlineLevel="0" collapsed="false"/>
    <row r="9" customFormat="false" ht="18" hidden="false" customHeight="true" outlineLevel="0" collapsed="false">
      <c r="B9" s="36" t="s">
        <v>113</v>
      </c>
      <c r="C9" s="36" t="s">
        <v>114</v>
      </c>
      <c r="D9" s="36" t="s">
        <v>115</v>
      </c>
      <c r="E9" s="36" t="s">
        <v>116</v>
      </c>
      <c r="F9" s="36" t="s">
        <v>2</v>
      </c>
      <c r="G9" s="36" t="s">
        <v>117</v>
      </c>
      <c r="H9" s="36" t="s">
        <v>118</v>
      </c>
      <c r="I9" s="36" t="s">
        <v>119</v>
      </c>
      <c r="J9" s="36" t="s">
        <v>120</v>
      </c>
    </row>
    <row r="10" customFormat="false" ht="16.5" hidden="false" customHeight="true" outlineLevel="0" collapsed="false">
      <c r="B10" s="37" t="str">
        <f aca="false">IF(C10="","",ROW()-9)</f>
        <v/>
      </c>
      <c r="C10" s="38"/>
      <c r="D10" s="39" t="str">
        <f aca="false">IF(C10="","",IFERROR(TEXT(C10,"MMMM"),""))</f>
        <v/>
      </c>
      <c r="E10" s="40"/>
      <c r="F10" s="41" t="str">
        <f aca="false">IF(E10="","",IFERROR(INDEX('Chart of Accounts'!$C$4:$C$200,MATCH(TEXT(E10,"@"),TEXT('Chart of Accounts'!$B$4:$B$200,"@"),0)),"⚠ Not Found"))</f>
        <v/>
      </c>
      <c r="G10" s="42"/>
      <c r="H10" s="43"/>
      <c r="I10" s="43"/>
      <c r="J10" s="40"/>
    </row>
    <row r="11" customFormat="false" ht="16.5" hidden="false" customHeight="true" outlineLevel="0" collapsed="false">
      <c r="B11" s="44" t="str">
        <f aca="false">IF(C11="","",ROW()-9)</f>
        <v/>
      </c>
      <c r="C11" s="45"/>
      <c r="D11" s="46" t="str">
        <f aca="false">IF(C11="","",IFERROR(TEXT(C11,"MMMM"),""))</f>
        <v/>
      </c>
      <c r="E11" s="47"/>
      <c r="F11" s="48" t="str">
        <f aca="false">IF(E11="","",IFERROR(INDEX('Chart of Accounts'!$C$4:$C$200,MATCH(TEXT(E11,"@"),TEXT('Chart of Accounts'!$B$4:$B$200,"@"),0)),"⚠ Not Found"))</f>
        <v/>
      </c>
      <c r="G11" s="49"/>
      <c r="H11" s="50"/>
      <c r="I11" s="50"/>
      <c r="J11" s="47"/>
    </row>
    <row r="12" customFormat="false" ht="16.5" hidden="false" customHeight="true" outlineLevel="0" collapsed="false">
      <c r="B12" s="37" t="str">
        <f aca="false">IF(C12="","",ROW()-9)</f>
        <v/>
      </c>
      <c r="C12" s="38"/>
      <c r="D12" s="39" t="str">
        <f aca="false">IF(C12="","",IFERROR(TEXT(C12,"MMMM"),""))</f>
        <v/>
      </c>
      <c r="E12" s="40"/>
      <c r="F12" s="41" t="str">
        <f aca="false">IF(E12="","",IFERROR(INDEX('Chart of Accounts'!$C$4:$C$200,MATCH(TEXT(E12,"@"),TEXT('Chart of Accounts'!$B$4:$B$200,"@"),0)),"⚠ Not Found"))</f>
        <v/>
      </c>
      <c r="G12" s="42"/>
      <c r="H12" s="43"/>
      <c r="I12" s="43"/>
      <c r="J12" s="40"/>
    </row>
    <row r="13" customFormat="false" ht="16.5" hidden="false" customHeight="true" outlineLevel="0" collapsed="false">
      <c r="B13" s="44" t="str">
        <f aca="false">IF(C13="","",ROW()-9)</f>
        <v/>
      </c>
      <c r="C13" s="45"/>
      <c r="D13" s="46" t="str">
        <f aca="false">IF(C13="","",IFERROR(TEXT(C13,"MMMM"),""))</f>
        <v/>
      </c>
      <c r="E13" s="47"/>
      <c r="F13" s="48" t="str">
        <f aca="false">IF(E13="","",IFERROR(INDEX('Chart of Accounts'!$C$4:$C$200,MATCH(TEXT(E13,"@"),TEXT('Chart of Accounts'!$B$4:$B$200,"@"),0)),"⚠ Not Found"))</f>
        <v/>
      </c>
      <c r="G13" s="49"/>
      <c r="H13" s="50"/>
      <c r="I13" s="50"/>
      <c r="J13" s="47"/>
    </row>
    <row r="14" customFormat="false" ht="16.5" hidden="false" customHeight="true" outlineLevel="0" collapsed="false">
      <c r="B14" s="37" t="str">
        <f aca="false">IF(C14="","",ROW()-9)</f>
        <v/>
      </c>
      <c r="C14" s="38"/>
      <c r="D14" s="39" t="str">
        <f aca="false">IF(C14="","",IFERROR(TEXT(C14,"MMMM"),""))</f>
        <v/>
      </c>
      <c r="E14" s="40"/>
      <c r="F14" s="41" t="str">
        <f aca="false">IF(E14="","",IFERROR(INDEX('Chart of Accounts'!$C$4:$C$200,MATCH(TEXT(E14,"@"),TEXT('Chart of Accounts'!$B$4:$B$200,"@"),0)),"⚠ Not Found"))</f>
        <v/>
      </c>
      <c r="G14" s="42"/>
      <c r="H14" s="43"/>
      <c r="I14" s="43"/>
      <c r="J14" s="40"/>
    </row>
    <row r="15" customFormat="false" ht="16.5" hidden="false" customHeight="true" outlineLevel="0" collapsed="false">
      <c r="B15" s="44" t="str">
        <f aca="false">IF(C15="","",ROW()-9)</f>
        <v/>
      </c>
      <c r="C15" s="45"/>
      <c r="D15" s="46" t="str">
        <f aca="false">IF(C15="","",IFERROR(TEXT(C15,"MMMM"),""))</f>
        <v/>
      </c>
      <c r="E15" s="47"/>
      <c r="F15" s="48" t="str">
        <f aca="false">IF(E15="","",IFERROR(INDEX('Chart of Accounts'!$C$4:$C$200,MATCH(TEXT(E15,"@"),TEXT('Chart of Accounts'!$B$4:$B$200,"@"),0)),"⚠ Not Found"))</f>
        <v/>
      </c>
      <c r="G15" s="49"/>
      <c r="H15" s="50"/>
      <c r="I15" s="50"/>
      <c r="J15" s="47"/>
    </row>
    <row r="16" customFormat="false" ht="16.5" hidden="false" customHeight="true" outlineLevel="0" collapsed="false">
      <c r="B16" s="37" t="str">
        <f aca="false">IF(C16="","",ROW()-9)</f>
        <v/>
      </c>
      <c r="C16" s="38"/>
      <c r="D16" s="39" t="str">
        <f aca="false">IF(C16="","",IFERROR(TEXT(C16,"MMMM"),""))</f>
        <v/>
      </c>
      <c r="E16" s="40"/>
      <c r="F16" s="41" t="str">
        <f aca="false">IF(E16="","",IFERROR(INDEX('Chart of Accounts'!$C$4:$C$200,MATCH(TEXT(E16,"@"),TEXT('Chart of Accounts'!$B$4:$B$200,"@"),0)),"⚠ Not Found"))</f>
        <v/>
      </c>
      <c r="G16" s="42"/>
      <c r="H16" s="43"/>
      <c r="I16" s="43"/>
      <c r="J16" s="40"/>
    </row>
    <row r="17" customFormat="false" ht="16.5" hidden="false" customHeight="true" outlineLevel="0" collapsed="false">
      <c r="B17" s="44" t="str">
        <f aca="false">IF(C17="","",ROW()-9)</f>
        <v/>
      </c>
      <c r="C17" s="45"/>
      <c r="D17" s="46" t="str">
        <f aca="false">IF(C17="","",IFERROR(TEXT(C17,"MMMM"),""))</f>
        <v/>
      </c>
      <c r="E17" s="47"/>
      <c r="F17" s="48" t="str">
        <f aca="false">IF(E17="","",IFERROR(INDEX('Chart of Accounts'!$C$4:$C$200,MATCH(TEXT(E17,"@"),TEXT('Chart of Accounts'!$B$4:$B$200,"@"),0)),"⚠ Not Found"))</f>
        <v/>
      </c>
      <c r="G17" s="49"/>
      <c r="H17" s="50"/>
      <c r="I17" s="50"/>
      <c r="J17" s="47"/>
    </row>
    <row r="18" customFormat="false" ht="16.5" hidden="false" customHeight="true" outlineLevel="0" collapsed="false">
      <c r="B18" s="37" t="str">
        <f aca="false">IF(C18="","",ROW()-9)</f>
        <v/>
      </c>
      <c r="C18" s="38"/>
      <c r="D18" s="39" t="str">
        <f aca="false">IF(C18="","",IFERROR(TEXT(C18,"MMMM"),""))</f>
        <v/>
      </c>
      <c r="E18" s="40"/>
      <c r="F18" s="41" t="str">
        <f aca="false">IF(E18="","",IFERROR(INDEX('Chart of Accounts'!$C$4:$C$200,MATCH(TEXT(E18,"@"),TEXT('Chart of Accounts'!$B$4:$B$200,"@"),0)),"⚠ Not Found"))</f>
        <v/>
      </c>
      <c r="G18" s="42"/>
      <c r="H18" s="43"/>
      <c r="I18" s="43"/>
      <c r="J18" s="40"/>
    </row>
    <row r="19" customFormat="false" ht="16.5" hidden="false" customHeight="true" outlineLevel="0" collapsed="false">
      <c r="B19" s="44" t="str">
        <f aca="false">IF(C19="","",ROW()-9)</f>
        <v/>
      </c>
      <c r="C19" s="45"/>
      <c r="D19" s="46" t="str">
        <f aca="false">IF(C19="","",IFERROR(TEXT(C19,"MMMM"),""))</f>
        <v/>
      </c>
      <c r="E19" s="47"/>
      <c r="F19" s="48" t="str">
        <f aca="false">IF(E19="","",IFERROR(INDEX('Chart of Accounts'!$C$4:$C$200,MATCH(TEXT(E19,"@"),TEXT('Chart of Accounts'!$B$4:$B$200,"@"),0)),"⚠ Not Found"))</f>
        <v/>
      </c>
      <c r="G19" s="49"/>
      <c r="H19" s="50"/>
      <c r="I19" s="50"/>
      <c r="J19" s="47"/>
    </row>
    <row r="20" customFormat="false" ht="16.5" hidden="false" customHeight="true" outlineLevel="0" collapsed="false">
      <c r="B20" s="37" t="str">
        <f aca="false">IF(C20="","",ROW()-9)</f>
        <v/>
      </c>
      <c r="C20" s="38"/>
      <c r="D20" s="39" t="str">
        <f aca="false">IF(C20="","",IFERROR(TEXT(C20,"MMMM"),""))</f>
        <v/>
      </c>
      <c r="E20" s="40"/>
      <c r="F20" s="41" t="str">
        <f aca="false">IF(E20="","",IFERROR(INDEX('Chart of Accounts'!$C$4:$C$200,MATCH(TEXT(E20,"@"),TEXT('Chart of Accounts'!$B$4:$B$200,"@"),0)),"⚠ Not Found"))</f>
        <v/>
      </c>
      <c r="G20" s="42"/>
      <c r="H20" s="43"/>
      <c r="I20" s="43"/>
      <c r="J20" s="40"/>
    </row>
    <row r="21" customFormat="false" ht="16.5" hidden="false" customHeight="true" outlineLevel="0" collapsed="false">
      <c r="B21" s="44" t="str">
        <f aca="false">IF(C21="","",ROW()-9)</f>
        <v/>
      </c>
      <c r="C21" s="45"/>
      <c r="D21" s="46" t="str">
        <f aca="false">IF(C21="","",IFERROR(TEXT(C21,"MMMM"),""))</f>
        <v/>
      </c>
      <c r="E21" s="47"/>
      <c r="F21" s="48" t="str">
        <f aca="false">IF(E21="","",IFERROR(INDEX('Chart of Accounts'!$C$4:$C$200,MATCH(TEXT(E21,"@"),TEXT('Chart of Accounts'!$B$4:$B$200,"@"),0)),"⚠ Not Found"))</f>
        <v/>
      </c>
      <c r="G21" s="49"/>
      <c r="H21" s="50"/>
      <c r="I21" s="50"/>
      <c r="J21" s="47"/>
    </row>
    <row r="22" customFormat="false" ht="16.5" hidden="false" customHeight="true" outlineLevel="0" collapsed="false">
      <c r="B22" s="37" t="str">
        <f aca="false">IF(C22="","",ROW()-9)</f>
        <v/>
      </c>
      <c r="C22" s="38"/>
      <c r="D22" s="39" t="str">
        <f aca="false">IF(C22="","",IFERROR(TEXT(C22,"MMMM"),""))</f>
        <v/>
      </c>
      <c r="E22" s="40"/>
      <c r="F22" s="41" t="str">
        <f aca="false">IF(E22="","",IFERROR(INDEX('Chart of Accounts'!$C$4:$C$200,MATCH(TEXT(E22,"@"),TEXT('Chart of Accounts'!$B$4:$B$200,"@"),0)),"⚠ Not Found"))</f>
        <v/>
      </c>
      <c r="G22" s="42"/>
      <c r="H22" s="43"/>
      <c r="I22" s="43"/>
      <c r="J22" s="40"/>
    </row>
    <row r="23" customFormat="false" ht="16.5" hidden="false" customHeight="true" outlineLevel="0" collapsed="false">
      <c r="B23" s="44" t="str">
        <f aca="false">IF(C23="","",ROW()-9)</f>
        <v/>
      </c>
      <c r="C23" s="45"/>
      <c r="D23" s="46" t="str">
        <f aca="false">IF(C23="","",IFERROR(TEXT(C23,"MMMM"),""))</f>
        <v/>
      </c>
      <c r="E23" s="47"/>
      <c r="F23" s="48" t="str">
        <f aca="false">IF(E23="","",IFERROR(INDEX('Chart of Accounts'!$C$4:$C$200,MATCH(TEXT(E23,"@"),TEXT('Chart of Accounts'!$B$4:$B$200,"@"),0)),"⚠ Not Found"))</f>
        <v/>
      </c>
      <c r="G23" s="49"/>
      <c r="H23" s="50"/>
      <c r="I23" s="50"/>
      <c r="J23" s="47"/>
    </row>
    <row r="24" customFormat="false" ht="16.5" hidden="false" customHeight="true" outlineLevel="0" collapsed="false">
      <c r="B24" s="37" t="str">
        <f aca="false">IF(C24="","",ROW()-9)</f>
        <v/>
      </c>
      <c r="C24" s="38"/>
      <c r="D24" s="39" t="str">
        <f aca="false">IF(C24="","",IFERROR(TEXT(C24,"MMMM"),""))</f>
        <v/>
      </c>
      <c r="E24" s="40"/>
      <c r="F24" s="41" t="str">
        <f aca="false">IF(E24="","",IFERROR(INDEX('Chart of Accounts'!$C$4:$C$200,MATCH(TEXT(E24,"@"),TEXT('Chart of Accounts'!$B$4:$B$200,"@"),0)),"⚠ Not Found"))</f>
        <v/>
      </c>
      <c r="G24" s="42"/>
      <c r="H24" s="43"/>
      <c r="I24" s="43"/>
      <c r="J24" s="40"/>
    </row>
    <row r="25" customFormat="false" ht="16.5" hidden="false" customHeight="true" outlineLevel="0" collapsed="false">
      <c r="B25" s="44" t="str">
        <f aca="false">IF(C25="","",ROW()-9)</f>
        <v/>
      </c>
      <c r="C25" s="45"/>
      <c r="D25" s="46" t="str">
        <f aca="false">IF(C25="","",IFERROR(TEXT(C25,"MMMM"),""))</f>
        <v/>
      </c>
      <c r="E25" s="47"/>
      <c r="F25" s="48" t="str">
        <f aca="false">IF(E25="","",IFERROR(INDEX('Chart of Accounts'!$C$4:$C$200,MATCH(TEXT(E25,"@"),TEXT('Chart of Accounts'!$B$4:$B$200,"@"),0)),"⚠ Not Found"))</f>
        <v/>
      </c>
      <c r="G25" s="49"/>
      <c r="H25" s="50"/>
      <c r="I25" s="50"/>
      <c r="J25" s="47"/>
    </row>
    <row r="26" customFormat="false" ht="16.5" hidden="false" customHeight="true" outlineLevel="0" collapsed="false">
      <c r="B26" s="37" t="str">
        <f aca="false">IF(C26="","",ROW()-9)</f>
        <v/>
      </c>
      <c r="C26" s="38"/>
      <c r="D26" s="39" t="str">
        <f aca="false">IF(C26="","",IFERROR(TEXT(C26,"MMMM"),""))</f>
        <v/>
      </c>
      <c r="E26" s="40"/>
      <c r="F26" s="41" t="str">
        <f aca="false">IF(E26="","",IFERROR(INDEX('Chart of Accounts'!$C$4:$C$200,MATCH(TEXT(E26,"@"),TEXT('Chart of Accounts'!$B$4:$B$200,"@"),0)),"⚠ Not Found"))</f>
        <v/>
      </c>
      <c r="G26" s="42"/>
      <c r="H26" s="43"/>
      <c r="I26" s="43"/>
      <c r="J26" s="40"/>
    </row>
    <row r="27" customFormat="false" ht="16.5" hidden="false" customHeight="true" outlineLevel="0" collapsed="false">
      <c r="B27" s="44" t="str">
        <f aca="false">IF(C27="","",ROW()-9)</f>
        <v/>
      </c>
      <c r="C27" s="45"/>
      <c r="D27" s="46" t="str">
        <f aca="false">IF(C27="","",IFERROR(TEXT(C27,"MMMM"),""))</f>
        <v/>
      </c>
      <c r="E27" s="47"/>
      <c r="F27" s="48" t="str">
        <f aca="false">IF(E27="","",IFERROR(INDEX('Chart of Accounts'!$C$4:$C$200,MATCH(TEXT(E27,"@"),TEXT('Chart of Accounts'!$B$4:$B$200,"@"),0)),"⚠ Not Found"))</f>
        <v/>
      </c>
      <c r="G27" s="49"/>
      <c r="H27" s="50"/>
      <c r="I27" s="50"/>
      <c r="J27" s="47"/>
    </row>
    <row r="28" customFormat="false" ht="16.5" hidden="false" customHeight="true" outlineLevel="0" collapsed="false">
      <c r="B28" s="37" t="str">
        <f aca="false">IF(C28="","",ROW()-9)</f>
        <v/>
      </c>
      <c r="C28" s="38"/>
      <c r="D28" s="39" t="str">
        <f aca="false">IF(C28="","",IFERROR(TEXT(C28,"MMMM"),""))</f>
        <v/>
      </c>
      <c r="E28" s="40"/>
      <c r="F28" s="41" t="str">
        <f aca="false">IF(E28="","",IFERROR(INDEX('Chart of Accounts'!$C$4:$C$200,MATCH(TEXT(E28,"@"),TEXT('Chart of Accounts'!$B$4:$B$200,"@"),0)),"⚠ Not Found"))</f>
        <v/>
      </c>
      <c r="G28" s="42"/>
      <c r="H28" s="43"/>
      <c r="I28" s="43"/>
      <c r="J28" s="40"/>
    </row>
    <row r="29" customFormat="false" ht="16.5" hidden="false" customHeight="true" outlineLevel="0" collapsed="false">
      <c r="B29" s="44" t="str">
        <f aca="false">IF(C29="","",ROW()-9)</f>
        <v/>
      </c>
      <c r="C29" s="45"/>
      <c r="D29" s="46" t="str">
        <f aca="false">IF(C29="","",IFERROR(TEXT(C29,"MMMM"),""))</f>
        <v/>
      </c>
      <c r="E29" s="47"/>
      <c r="F29" s="48" t="str">
        <f aca="false">IF(E29="","",IFERROR(INDEX('Chart of Accounts'!$C$4:$C$200,MATCH(TEXT(E29,"@"),TEXT('Chart of Accounts'!$B$4:$B$200,"@"),0)),"⚠ Not Found"))</f>
        <v/>
      </c>
      <c r="G29" s="49"/>
      <c r="H29" s="50"/>
      <c r="I29" s="50"/>
      <c r="J29" s="47"/>
    </row>
    <row r="30" customFormat="false" ht="16.5" hidden="false" customHeight="true" outlineLevel="0" collapsed="false">
      <c r="B30" s="37" t="str">
        <f aca="false">IF(C30="","",ROW()-9)</f>
        <v/>
      </c>
      <c r="C30" s="38"/>
      <c r="D30" s="39" t="str">
        <f aca="false">IF(C30="","",IFERROR(TEXT(C30,"MMMM"),""))</f>
        <v/>
      </c>
      <c r="E30" s="40"/>
      <c r="F30" s="41" t="str">
        <f aca="false">IF(E30="","",IFERROR(INDEX('Chart of Accounts'!$C$4:$C$200,MATCH(TEXT(E30,"@"),TEXT('Chart of Accounts'!$B$4:$B$200,"@"),0)),"⚠ Not Found"))</f>
        <v/>
      </c>
      <c r="G30" s="42"/>
      <c r="H30" s="43"/>
      <c r="I30" s="43"/>
      <c r="J30" s="40"/>
    </row>
    <row r="31" customFormat="false" ht="16.5" hidden="false" customHeight="true" outlineLevel="0" collapsed="false">
      <c r="B31" s="44" t="str">
        <f aca="false">IF(C31="","",ROW()-9)</f>
        <v/>
      </c>
      <c r="C31" s="45"/>
      <c r="D31" s="46" t="str">
        <f aca="false">IF(C31="","",IFERROR(TEXT(C31,"MMMM"),""))</f>
        <v/>
      </c>
      <c r="E31" s="47"/>
      <c r="F31" s="48" t="str">
        <f aca="false">IF(E31="","",IFERROR(INDEX('Chart of Accounts'!$C$4:$C$200,MATCH(TEXT(E31,"@"),TEXT('Chart of Accounts'!$B$4:$B$200,"@"),0)),"⚠ Not Found"))</f>
        <v/>
      </c>
      <c r="G31" s="49"/>
      <c r="H31" s="50"/>
      <c r="I31" s="50"/>
      <c r="J31" s="47"/>
    </row>
    <row r="32" customFormat="false" ht="16.5" hidden="false" customHeight="true" outlineLevel="0" collapsed="false">
      <c r="B32" s="37" t="str">
        <f aca="false">IF(C32="","",ROW()-9)</f>
        <v/>
      </c>
      <c r="C32" s="38"/>
      <c r="D32" s="39" t="str">
        <f aca="false">IF(C32="","",IFERROR(TEXT(C32,"MMMM"),""))</f>
        <v/>
      </c>
      <c r="E32" s="40"/>
      <c r="F32" s="41" t="str">
        <f aca="false">IF(E32="","",IFERROR(INDEX('Chart of Accounts'!$C$4:$C$200,MATCH(TEXT(E32,"@"),TEXT('Chart of Accounts'!$B$4:$B$200,"@"),0)),"⚠ Not Found"))</f>
        <v/>
      </c>
      <c r="G32" s="42"/>
      <c r="H32" s="43"/>
      <c r="I32" s="43"/>
      <c r="J32" s="40"/>
    </row>
    <row r="33" customFormat="false" ht="16.5" hidden="false" customHeight="true" outlineLevel="0" collapsed="false">
      <c r="B33" s="44" t="str">
        <f aca="false">IF(C33="","",ROW()-9)</f>
        <v/>
      </c>
      <c r="C33" s="45"/>
      <c r="D33" s="46" t="str">
        <f aca="false">IF(C33="","",IFERROR(TEXT(C33,"MMMM"),""))</f>
        <v/>
      </c>
      <c r="E33" s="47"/>
      <c r="F33" s="48" t="str">
        <f aca="false">IF(E33="","",IFERROR(INDEX('Chart of Accounts'!$C$4:$C$200,MATCH(TEXT(E33,"@"),TEXT('Chart of Accounts'!$B$4:$B$200,"@"),0)),"⚠ Not Found"))</f>
        <v/>
      </c>
      <c r="G33" s="49"/>
      <c r="H33" s="50"/>
      <c r="I33" s="50"/>
      <c r="J33" s="47"/>
    </row>
    <row r="34" customFormat="false" ht="16.5" hidden="false" customHeight="true" outlineLevel="0" collapsed="false">
      <c r="B34" s="37" t="str">
        <f aca="false">IF(C34="","",ROW()-9)</f>
        <v/>
      </c>
      <c r="C34" s="38"/>
      <c r="D34" s="39" t="str">
        <f aca="false">IF(C34="","",IFERROR(TEXT(C34,"MMMM"),""))</f>
        <v/>
      </c>
      <c r="E34" s="40"/>
      <c r="F34" s="41" t="str">
        <f aca="false">IF(E34="","",IFERROR(INDEX('Chart of Accounts'!$C$4:$C$200,MATCH(TEXT(E34,"@"),TEXT('Chart of Accounts'!$B$4:$B$200,"@"),0)),"⚠ Not Found"))</f>
        <v/>
      </c>
      <c r="G34" s="42"/>
      <c r="H34" s="43"/>
      <c r="I34" s="43"/>
      <c r="J34" s="40"/>
    </row>
    <row r="35" customFormat="false" ht="16.5" hidden="false" customHeight="true" outlineLevel="0" collapsed="false">
      <c r="B35" s="44" t="str">
        <f aca="false">IF(C35="","",ROW()-9)</f>
        <v/>
      </c>
      <c r="C35" s="45"/>
      <c r="D35" s="46" t="str">
        <f aca="false">IF(C35="","",IFERROR(TEXT(C35,"MMMM"),""))</f>
        <v/>
      </c>
      <c r="E35" s="47"/>
      <c r="F35" s="48" t="str">
        <f aca="false">IF(E35="","",IFERROR(INDEX('Chart of Accounts'!$C$4:$C$200,MATCH(TEXT(E35,"@"),TEXT('Chart of Accounts'!$B$4:$B$200,"@"),0)),"⚠ Not Found"))</f>
        <v/>
      </c>
      <c r="G35" s="49"/>
      <c r="H35" s="50"/>
      <c r="I35" s="50"/>
      <c r="J35" s="47"/>
    </row>
    <row r="36" customFormat="false" ht="16.5" hidden="false" customHeight="true" outlineLevel="0" collapsed="false">
      <c r="B36" s="37" t="str">
        <f aca="false">IF(C36="","",ROW()-9)</f>
        <v/>
      </c>
      <c r="C36" s="38"/>
      <c r="D36" s="39" t="str">
        <f aca="false">IF(C36="","",IFERROR(TEXT(C36,"MMMM"),""))</f>
        <v/>
      </c>
      <c r="E36" s="40"/>
      <c r="F36" s="41" t="str">
        <f aca="false">IF(E36="","",IFERROR(INDEX('Chart of Accounts'!$C$4:$C$200,MATCH(TEXT(E36,"@"),TEXT('Chart of Accounts'!$B$4:$B$200,"@"),0)),"⚠ Not Found"))</f>
        <v/>
      </c>
      <c r="G36" s="42"/>
      <c r="H36" s="43"/>
      <c r="I36" s="43"/>
      <c r="J36" s="40"/>
    </row>
    <row r="37" customFormat="false" ht="16.5" hidden="false" customHeight="true" outlineLevel="0" collapsed="false">
      <c r="B37" s="44" t="str">
        <f aca="false">IF(C37="","",ROW()-9)</f>
        <v/>
      </c>
      <c r="C37" s="45"/>
      <c r="D37" s="46" t="str">
        <f aca="false">IF(C37="","",IFERROR(TEXT(C37,"MMMM"),""))</f>
        <v/>
      </c>
      <c r="E37" s="47"/>
      <c r="F37" s="48" t="str">
        <f aca="false">IF(E37="","",IFERROR(INDEX('Chart of Accounts'!$C$4:$C$200,MATCH(TEXT(E37,"@"),TEXT('Chart of Accounts'!$B$4:$B$200,"@"),0)),"⚠ Not Found"))</f>
        <v/>
      </c>
      <c r="G37" s="49"/>
      <c r="H37" s="50"/>
      <c r="I37" s="50"/>
      <c r="J37" s="47"/>
    </row>
    <row r="38" customFormat="false" ht="16.5" hidden="false" customHeight="true" outlineLevel="0" collapsed="false">
      <c r="B38" s="37" t="str">
        <f aca="false">IF(C38="","",ROW()-9)</f>
        <v/>
      </c>
      <c r="C38" s="38"/>
      <c r="D38" s="39" t="str">
        <f aca="false">IF(C38="","",IFERROR(TEXT(C38,"MMMM"),""))</f>
        <v/>
      </c>
      <c r="E38" s="40"/>
      <c r="F38" s="41" t="str">
        <f aca="false">IF(E38="","",IFERROR(INDEX('Chart of Accounts'!$C$4:$C$200,MATCH(TEXT(E38,"@"),TEXT('Chart of Accounts'!$B$4:$B$200,"@"),0)),"⚠ Not Found"))</f>
        <v/>
      </c>
      <c r="G38" s="42"/>
      <c r="H38" s="43"/>
      <c r="I38" s="43"/>
      <c r="J38" s="40"/>
    </row>
    <row r="39" customFormat="false" ht="16.5" hidden="false" customHeight="true" outlineLevel="0" collapsed="false">
      <c r="B39" s="44" t="str">
        <f aca="false">IF(C39="","",ROW()-9)</f>
        <v/>
      </c>
      <c r="C39" s="45"/>
      <c r="D39" s="46" t="str">
        <f aca="false">IF(C39="","",IFERROR(TEXT(C39,"MMMM"),""))</f>
        <v/>
      </c>
      <c r="E39" s="47"/>
      <c r="F39" s="48" t="str">
        <f aca="false">IF(E39="","",IFERROR(INDEX('Chart of Accounts'!$C$4:$C$200,MATCH(TEXT(E39,"@"),TEXT('Chart of Accounts'!$B$4:$B$200,"@"),0)),"⚠ Not Found"))</f>
        <v/>
      </c>
      <c r="G39" s="49"/>
      <c r="H39" s="50"/>
      <c r="I39" s="50"/>
      <c r="J39" s="47"/>
    </row>
    <row r="40" customFormat="false" ht="16.5" hidden="false" customHeight="true" outlineLevel="0" collapsed="false">
      <c r="B40" s="37" t="str">
        <f aca="false">IF(C40="","",ROW()-9)</f>
        <v/>
      </c>
      <c r="C40" s="38"/>
      <c r="D40" s="39" t="str">
        <f aca="false">IF(C40="","",IFERROR(TEXT(C40,"MMMM"),""))</f>
        <v/>
      </c>
      <c r="E40" s="40"/>
      <c r="F40" s="41" t="str">
        <f aca="false">IF(E40="","",IFERROR(INDEX('Chart of Accounts'!$C$4:$C$200,MATCH(TEXT(E40,"@"),TEXT('Chart of Accounts'!$B$4:$B$200,"@"),0)),"⚠ Not Found"))</f>
        <v/>
      </c>
      <c r="G40" s="42"/>
      <c r="H40" s="43"/>
      <c r="I40" s="43"/>
      <c r="J40" s="40"/>
    </row>
    <row r="41" customFormat="false" ht="16.5" hidden="false" customHeight="true" outlineLevel="0" collapsed="false">
      <c r="B41" s="44" t="str">
        <f aca="false">IF(C41="","",ROW()-9)</f>
        <v/>
      </c>
      <c r="C41" s="45"/>
      <c r="D41" s="46" t="str">
        <f aca="false">IF(C41="","",IFERROR(TEXT(C41,"MMMM"),""))</f>
        <v/>
      </c>
      <c r="E41" s="47"/>
      <c r="F41" s="48" t="str">
        <f aca="false">IF(E41="","",IFERROR(INDEX('Chart of Accounts'!$C$4:$C$200,MATCH(TEXT(E41,"@"),TEXT('Chart of Accounts'!$B$4:$B$200,"@"),0)),"⚠ Not Found"))</f>
        <v/>
      </c>
      <c r="G41" s="49"/>
      <c r="H41" s="50"/>
      <c r="I41" s="50"/>
      <c r="J41" s="47"/>
    </row>
    <row r="42" customFormat="false" ht="16.5" hidden="false" customHeight="true" outlineLevel="0" collapsed="false">
      <c r="B42" s="37" t="str">
        <f aca="false">IF(C42="","",ROW()-9)</f>
        <v/>
      </c>
      <c r="C42" s="38"/>
      <c r="D42" s="39" t="str">
        <f aca="false">IF(C42="","",IFERROR(TEXT(C42,"MMMM"),""))</f>
        <v/>
      </c>
      <c r="E42" s="40"/>
      <c r="F42" s="41" t="str">
        <f aca="false">IF(E42="","",IFERROR(INDEX('Chart of Accounts'!$C$4:$C$200,MATCH(TEXT(E42,"@"),TEXT('Chart of Accounts'!$B$4:$B$200,"@"),0)),"⚠ Not Found"))</f>
        <v/>
      </c>
      <c r="G42" s="42"/>
      <c r="H42" s="43"/>
      <c r="I42" s="43"/>
      <c r="J42" s="40"/>
    </row>
    <row r="43" customFormat="false" ht="16.5" hidden="false" customHeight="true" outlineLevel="0" collapsed="false">
      <c r="B43" s="44" t="str">
        <f aca="false">IF(C43="","",ROW()-9)</f>
        <v/>
      </c>
      <c r="C43" s="45"/>
      <c r="D43" s="46" t="str">
        <f aca="false">IF(C43="","",IFERROR(TEXT(C43,"MMMM"),""))</f>
        <v/>
      </c>
      <c r="E43" s="47"/>
      <c r="F43" s="48" t="str">
        <f aca="false">IF(E43="","",IFERROR(INDEX('Chart of Accounts'!$C$4:$C$200,MATCH(TEXT(E43,"@"),TEXT('Chart of Accounts'!$B$4:$B$200,"@"),0)),"⚠ Not Found"))</f>
        <v/>
      </c>
      <c r="G43" s="49"/>
      <c r="H43" s="50"/>
      <c r="I43" s="50"/>
      <c r="J43" s="47"/>
    </row>
    <row r="44" customFormat="false" ht="16.5" hidden="false" customHeight="true" outlineLevel="0" collapsed="false">
      <c r="B44" s="37" t="str">
        <f aca="false">IF(C44="","",ROW()-9)</f>
        <v/>
      </c>
      <c r="C44" s="38"/>
      <c r="D44" s="39" t="str">
        <f aca="false">IF(C44="","",IFERROR(TEXT(C44,"MMMM"),""))</f>
        <v/>
      </c>
      <c r="E44" s="40"/>
      <c r="F44" s="41" t="str">
        <f aca="false">IF(E44="","",IFERROR(INDEX('Chart of Accounts'!$C$4:$C$200,MATCH(TEXT(E44,"@"),TEXT('Chart of Accounts'!$B$4:$B$200,"@"),0)),"⚠ Not Found"))</f>
        <v/>
      </c>
      <c r="G44" s="42"/>
      <c r="H44" s="43"/>
      <c r="I44" s="43"/>
      <c r="J44" s="40"/>
    </row>
    <row r="45" customFormat="false" ht="16.5" hidden="false" customHeight="true" outlineLevel="0" collapsed="false">
      <c r="B45" s="44" t="str">
        <f aca="false">IF(C45="","",ROW()-9)</f>
        <v/>
      </c>
      <c r="C45" s="45"/>
      <c r="D45" s="46" t="str">
        <f aca="false">IF(C45="","",IFERROR(TEXT(C45,"MMMM"),""))</f>
        <v/>
      </c>
      <c r="E45" s="47"/>
      <c r="F45" s="48" t="str">
        <f aca="false">IF(E45="","",IFERROR(INDEX('Chart of Accounts'!$C$4:$C$200,MATCH(TEXT(E45,"@"),TEXT('Chart of Accounts'!$B$4:$B$200,"@"),0)),"⚠ Not Found"))</f>
        <v/>
      </c>
      <c r="G45" s="49"/>
      <c r="H45" s="50"/>
      <c r="I45" s="50"/>
      <c r="J45" s="47"/>
    </row>
    <row r="46" customFormat="false" ht="16.5" hidden="false" customHeight="true" outlineLevel="0" collapsed="false">
      <c r="B46" s="37" t="str">
        <f aca="false">IF(C46="","",ROW()-9)</f>
        <v/>
      </c>
      <c r="C46" s="38"/>
      <c r="D46" s="39" t="str">
        <f aca="false">IF(C46="","",IFERROR(TEXT(C46,"MMMM"),""))</f>
        <v/>
      </c>
      <c r="E46" s="40"/>
      <c r="F46" s="41" t="str">
        <f aca="false">IF(E46="","",IFERROR(INDEX('Chart of Accounts'!$C$4:$C$200,MATCH(TEXT(E46,"@"),TEXT('Chart of Accounts'!$B$4:$B$200,"@"),0)),"⚠ Not Found"))</f>
        <v/>
      </c>
      <c r="G46" s="42"/>
      <c r="H46" s="43"/>
      <c r="I46" s="43"/>
      <c r="J46" s="40"/>
    </row>
    <row r="47" customFormat="false" ht="16.5" hidden="false" customHeight="true" outlineLevel="0" collapsed="false">
      <c r="B47" s="44" t="str">
        <f aca="false">IF(C47="","",ROW()-9)</f>
        <v/>
      </c>
      <c r="C47" s="45"/>
      <c r="D47" s="46" t="str">
        <f aca="false">IF(C47="","",IFERROR(TEXT(C47,"MMMM"),""))</f>
        <v/>
      </c>
      <c r="E47" s="47"/>
      <c r="F47" s="48" t="str">
        <f aca="false">IF(E47="","",IFERROR(INDEX('Chart of Accounts'!$C$4:$C$200,MATCH(TEXT(E47,"@"),TEXT('Chart of Accounts'!$B$4:$B$200,"@"),0)),"⚠ Not Found"))</f>
        <v/>
      </c>
      <c r="G47" s="49"/>
      <c r="H47" s="50"/>
      <c r="I47" s="50"/>
      <c r="J47" s="47"/>
    </row>
    <row r="48" customFormat="false" ht="16.5" hidden="false" customHeight="true" outlineLevel="0" collapsed="false">
      <c r="B48" s="37" t="str">
        <f aca="false">IF(C48="","",ROW()-9)</f>
        <v/>
      </c>
      <c r="C48" s="38"/>
      <c r="D48" s="39" t="str">
        <f aca="false">IF(C48="","",IFERROR(TEXT(C48,"MMMM"),""))</f>
        <v/>
      </c>
      <c r="E48" s="40"/>
      <c r="F48" s="41" t="str">
        <f aca="false">IF(E48="","",IFERROR(INDEX('Chart of Accounts'!$C$4:$C$200,MATCH(TEXT(E48,"@"),TEXT('Chart of Accounts'!$B$4:$B$200,"@"),0)),"⚠ Not Found"))</f>
        <v/>
      </c>
      <c r="G48" s="42"/>
      <c r="H48" s="43"/>
      <c r="I48" s="43"/>
      <c r="J48" s="40"/>
    </row>
    <row r="49" customFormat="false" ht="16.5" hidden="false" customHeight="true" outlineLevel="0" collapsed="false">
      <c r="B49" s="44" t="str">
        <f aca="false">IF(C49="","",ROW()-9)</f>
        <v/>
      </c>
      <c r="C49" s="45"/>
      <c r="D49" s="46" t="str">
        <f aca="false">IF(C49="","",IFERROR(TEXT(C49,"MMMM"),""))</f>
        <v/>
      </c>
      <c r="E49" s="47"/>
      <c r="F49" s="48" t="str">
        <f aca="false">IF(E49="","",IFERROR(INDEX('Chart of Accounts'!$C$4:$C$200,MATCH(TEXT(E49,"@"),TEXT('Chart of Accounts'!$B$4:$B$200,"@"),0)),"⚠ Not Found"))</f>
        <v/>
      </c>
      <c r="G49" s="49"/>
      <c r="H49" s="50"/>
      <c r="I49" s="50"/>
      <c r="J49" s="47"/>
    </row>
    <row r="50" customFormat="false" ht="16.5" hidden="false" customHeight="true" outlineLevel="0" collapsed="false">
      <c r="B50" s="37" t="str">
        <f aca="false">IF(C50="","",ROW()-9)</f>
        <v/>
      </c>
      <c r="C50" s="38"/>
      <c r="D50" s="39" t="str">
        <f aca="false">IF(C50="","",IFERROR(TEXT(C50,"MMMM"),""))</f>
        <v/>
      </c>
      <c r="E50" s="40"/>
      <c r="F50" s="41" t="str">
        <f aca="false">IF(E50="","",IFERROR(INDEX('Chart of Accounts'!$C$4:$C$200,MATCH(TEXT(E50,"@"),TEXT('Chart of Accounts'!$B$4:$B$200,"@"),0)),"⚠ Not Found"))</f>
        <v/>
      </c>
      <c r="G50" s="42"/>
      <c r="H50" s="43"/>
      <c r="I50" s="43"/>
      <c r="J50" s="40"/>
    </row>
    <row r="51" customFormat="false" ht="16.5" hidden="false" customHeight="true" outlineLevel="0" collapsed="false">
      <c r="B51" s="44" t="str">
        <f aca="false">IF(C51="","",ROW()-9)</f>
        <v/>
      </c>
      <c r="C51" s="45"/>
      <c r="D51" s="46" t="str">
        <f aca="false">IF(C51="","",IFERROR(TEXT(C51,"MMMM"),""))</f>
        <v/>
      </c>
      <c r="E51" s="47"/>
      <c r="F51" s="48" t="str">
        <f aca="false">IF(E51="","",IFERROR(INDEX('Chart of Accounts'!$C$4:$C$200,MATCH(TEXT(E51,"@"),TEXT('Chart of Accounts'!$B$4:$B$200,"@"),0)),"⚠ Not Found"))</f>
        <v/>
      </c>
      <c r="G51" s="49"/>
      <c r="H51" s="50"/>
      <c r="I51" s="50"/>
      <c r="J51" s="47"/>
    </row>
    <row r="52" customFormat="false" ht="16.5" hidden="false" customHeight="true" outlineLevel="0" collapsed="false">
      <c r="B52" s="37" t="str">
        <f aca="false">IF(C52="","",ROW()-9)</f>
        <v/>
      </c>
      <c r="C52" s="38"/>
      <c r="D52" s="39" t="str">
        <f aca="false">IF(C52="","",IFERROR(TEXT(C52,"MMMM"),""))</f>
        <v/>
      </c>
      <c r="E52" s="40"/>
      <c r="F52" s="41" t="str">
        <f aca="false">IF(E52="","",IFERROR(INDEX('Chart of Accounts'!$C$4:$C$200,MATCH(TEXT(E52,"@"),TEXT('Chart of Accounts'!$B$4:$B$200,"@"),0)),"⚠ Not Found"))</f>
        <v/>
      </c>
      <c r="G52" s="42"/>
      <c r="H52" s="43"/>
      <c r="I52" s="43"/>
      <c r="J52" s="40"/>
    </row>
    <row r="53" customFormat="false" ht="16.5" hidden="false" customHeight="true" outlineLevel="0" collapsed="false">
      <c r="B53" s="44" t="str">
        <f aca="false">IF(C53="","",ROW()-9)</f>
        <v/>
      </c>
      <c r="C53" s="45"/>
      <c r="D53" s="46" t="str">
        <f aca="false">IF(C53="","",IFERROR(TEXT(C53,"MMMM"),""))</f>
        <v/>
      </c>
      <c r="E53" s="47"/>
      <c r="F53" s="48" t="str">
        <f aca="false">IF(E53="","",IFERROR(INDEX('Chart of Accounts'!$C$4:$C$200,MATCH(TEXT(E53,"@"),TEXT('Chart of Accounts'!$B$4:$B$200,"@"),0)),"⚠ Not Found"))</f>
        <v/>
      </c>
      <c r="G53" s="49"/>
      <c r="H53" s="50"/>
      <c r="I53" s="50"/>
      <c r="J53" s="47"/>
    </row>
    <row r="54" customFormat="false" ht="16.5" hidden="false" customHeight="true" outlineLevel="0" collapsed="false">
      <c r="B54" s="37" t="str">
        <f aca="false">IF(C54="","",ROW()-9)</f>
        <v/>
      </c>
      <c r="C54" s="38"/>
      <c r="D54" s="39" t="str">
        <f aca="false">IF(C54="","",IFERROR(TEXT(C54,"MMMM"),""))</f>
        <v/>
      </c>
      <c r="E54" s="40"/>
      <c r="F54" s="41" t="str">
        <f aca="false">IF(E54="","",IFERROR(INDEX('Chart of Accounts'!$C$4:$C$200,MATCH(TEXT(E54,"@"),TEXT('Chart of Accounts'!$B$4:$B$200,"@"),0)),"⚠ Not Found"))</f>
        <v/>
      </c>
      <c r="G54" s="42"/>
      <c r="H54" s="43"/>
      <c r="I54" s="43"/>
      <c r="J54" s="40"/>
    </row>
    <row r="55" customFormat="false" ht="16.5" hidden="false" customHeight="true" outlineLevel="0" collapsed="false">
      <c r="B55" s="44" t="str">
        <f aca="false">IF(C55="","",ROW()-9)</f>
        <v/>
      </c>
      <c r="C55" s="45"/>
      <c r="D55" s="46" t="str">
        <f aca="false">IF(C55="","",IFERROR(TEXT(C55,"MMMM"),""))</f>
        <v/>
      </c>
      <c r="E55" s="47"/>
      <c r="F55" s="48" t="str">
        <f aca="false">IF(E55="","",IFERROR(INDEX('Chart of Accounts'!$C$4:$C$200,MATCH(TEXT(E55,"@"),TEXT('Chart of Accounts'!$B$4:$B$200,"@"),0)),"⚠ Not Found"))</f>
        <v/>
      </c>
      <c r="G55" s="49"/>
      <c r="H55" s="50"/>
      <c r="I55" s="50"/>
      <c r="J55" s="47"/>
    </row>
    <row r="56" customFormat="false" ht="16.5" hidden="false" customHeight="true" outlineLevel="0" collapsed="false">
      <c r="B56" s="37" t="str">
        <f aca="false">IF(C56="","",ROW()-9)</f>
        <v/>
      </c>
      <c r="C56" s="38"/>
      <c r="D56" s="39" t="str">
        <f aca="false">IF(C56="","",IFERROR(TEXT(C56,"MMMM"),""))</f>
        <v/>
      </c>
      <c r="E56" s="40"/>
      <c r="F56" s="41" t="str">
        <f aca="false">IF(E56="","",IFERROR(INDEX('Chart of Accounts'!$C$4:$C$200,MATCH(TEXT(E56,"@"),TEXT('Chart of Accounts'!$B$4:$B$200,"@"),0)),"⚠ Not Found"))</f>
        <v/>
      </c>
      <c r="G56" s="42"/>
      <c r="H56" s="43"/>
      <c r="I56" s="43"/>
      <c r="J56" s="40"/>
    </row>
    <row r="57" customFormat="false" ht="16.5" hidden="false" customHeight="true" outlineLevel="0" collapsed="false">
      <c r="B57" s="44" t="str">
        <f aca="false">IF(C57="","",ROW()-9)</f>
        <v/>
      </c>
      <c r="C57" s="45"/>
      <c r="D57" s="46" t="str">
        <f aca="false">IF(C57="","",IFERROR(TEXT(C57,"MMMM"),""))</f>
        <v/>
      </c>
      <c r="E57" s="47"/>
      <c r="F57" s="48" t="str">
        <f aca="false">IF(E57="","",IFERROR(INDEX('Chart of Accounts'!$C$4:$C$200,MATCH(TEXT(E57,"@"),TEXT('Chart of Accounts'!$B$4:$B$200,"@"),0)),"⚠ Not Found"))</f>
        <v/>
      </c>
      <c r="G57" s="49"/>
      <c r="H57" s="50"/>
      <c r="I57" s="50"/>
      <c r="J57" s="47"/>
    </row>
    <row r="58" customFormat="false" ht="16.5" hidden="false" customHeight="true" outlineLevel="0" collapsed="false">
      <c r="B58" s="37" t="str">
        <f aca="false">IF(C58="","",ROW()-9)</f>
        <v/>
      </c>
      <c r="C58" s="38"/>
      <c r="D58" s="39" t="str">
        <f aca="false">IF(C58="","",IFERROR(TEXT(C58,"MMMM"),""))</f>
        <v/>
      </c>
      <c r="E58" s="40"/>
      <c r="F58" s="41" t="str">
        <f aca="false">IF(E58="","",IFERROR(INDEX('Chart of Accounts'!$C$4:$C$200,MATCH(TEXT(E58,"@"),TEXT('Chart of Accounts'!$B$4:$B$200,"@"),0)),"⚠ Not Found"))</f>
        <v/>
      </c>
      <c r="G58" s="42"/>
      <c r="H58" s="43"/>
      <c r="I58" s="43"/>
      <c r="J58" s="40"/>
    </row>
    <row r="59" customFormat="false" ht="16.5" hidden="false" customHeight="true" outlineLevel="0" collapsed="false">
      <c r="B59" s="44" t="str">
        <f aca="false">IF(C59="","",ROW()-9)</f>
        <v/>
      </c>
      <c r="C59" s="45"/>
      <c r="D59" s="46" t="str">
        <f aca="false">IF(C59="","",IFERROR(TEXT(C59,"MMMM"),""))</f>
        <v/>
      </c>
      <c r="E59" s="47"/>
      <c r="F59" s="48" t="str">
        <f aca="false">IF(E59="","",IFERROR(INDEX('Chart of Accounts'!$C$4:$C$200,MATCH(TEXT(E59,"@"),TEXT('Chart of Accounts'!$B$4:$B$200,"@"),0)),"⚠ Not Found"))</f>
        <v/>
      </c>
      <c r="G59" s="49"/>
      <c r="H59" s="50"/>
      <c r="I59" s="50"/>
      <c r="J59" s="47"/>
    </row>
    <row r="60" customFormat="false" ht="16.5" hidden="false" customHeight="true" outlineLevel="0" collapsed="false">
      <c r="B60" s="37" t="str">
        <f aca="false">IF(C60="","",ROW()-9)</f>
        <v/>
      </c>
      <c r="C60" s="38"/>
      <c r="D60" s="39" t="str">
        <f aca="false">IF(C60="","",IFERROR(TEXT(C60,"MMMM"),""))</f>
        <v/>
      </c>
      <c r="E60" s="40"/>
      <c r="F60" s="41" t="str">
        <f aca="false">IF(E60="","",IFERROR(INDEX('Chart of Accounts'!$C$4:$C$200,MATCH(TEXT(E60,"@"),TEXT('Chart of Accounts'!$B$4:$B$200,"@"),0)),"⚠ Not Found"))</f>
        <v/>
      </c>
      <c r="G60" s="42"/>
      <c r="H60" s="43"/>
      <c r="I60" s="43"/>
      <c r="J60" s="40"/>
    </row>
    <row r="61" customFormat="false" ht="16.5" hidden="false" customHeight="true" outlineLevel="0" collapsed="false">
      <c r="B61" s="44" t="str">
        <f aca="false">IF(C61="","",ROW()-9)</f>
        <v/>
      </c>
      <c r="C61" s="45"/>
      <c r="D61" s="46" t="str">
        <f aca="false">IF(C61="","",IFERROR(TEXT(C61,"MMMM"),""))</f>
        <v/>
      </c>
      <c r="E61" s="47"/>
      <c r="F61" s="48" t="str">
        <f aca="false">IF(E61="","",IFERROR(INDEX('Chart of Accounts'!$C$4:$C$200,MATCH(TEXT(E61,"@"),TEXT('Chart of Accounts'!$B$4:$B$200,"@"),0)),"⚠ Not Found"))</f>
        <v/>
      </c>
      <c r="G61" s="49"/>
      <c r="H61" s="50"/>
      <c r="I61" s="50"/>
      <c r="J61" s="47"/>
    </row>
    <row r="62" customFormat="false" ht="16.5" hidden="false" customHeight="true" outlineLevel="0" collapsed="false">
      <c r="B62" s="37" t="str">
        <f aca="false">IF(C62="","",ROW()-9)</f>
        <v/>
      </c>
      <c r="C62" s="38"/>
      <c r="D62" s="39" t="str">
        <f aca="false">IF(C62="","",IFERROR(TEXT(C62,"MMMM"),""))</f>
        <v/>
      </c>
      <c r="E62" s="40"/>
      <c r="F62" s="41" t="str">
        <f aca="false">IF(E62="","",IFERROR(INDEX('Chart of Accounts'!$C$4:$C$200,MATCH(TEXT(E62,"@"),TEXT('Chart of Accounts'!$B$4:$B$200,"@"),0)),"⚠ Not Found"))</f>
        <v/>
      </c>
      <c r="G62" s="42"/>
      <c r="H62" s="43"/>
      <c r="I62" s="43"/>
      <c r="J62" s="40"/>
    </row>
    <row r="63" customFormat="false" ht="16.5" hidden="false" customHeight="true" outlineLevel="0" collapsed="false">
      <c r="B63" s="44" t="str">
        <f aca="false">IF(C63="","",ROW()-9)</f>
        <v/>
      </c>
      <c r="C63" s="45"/>
      <c r="D63" s="46" t="str">
        <f aca="false">IF(C63="","",IFERROR(TEXT(C63,"MMMM"),""))</f>
        <v/>
      </c>
      <c r="E63" s="47"/>
      <c r="F63" s="48" t="str">
        <f aca="false">IF(E63="","",IFERROR(INDEX('Chart of Accounts'!$C$4:$C$200,MATCH(TEXT(E63,"@"),TEXT('Chart of Accounts'!$B$4:$B$200,"@"),0)),"⚠ Not Found"))</f>
        <v/>
      </c>
      <c r="G63" s="49"/>
      <c r="H63" s="50"/>
      <c r="I63" s="50"/>
      <c r="J63" s="47"/>
    </row>
    <row r="64" customFormat="false" ht="16.5" hidden="false" customHeight="true" outlineLevel="0" collapsed="false">
      <c r="B64" s="37" t="str">
        <f aca="false">IF(C64="","",ROW()-9)</f>
        <v/>
      </c>
      <c r="C64" s="38"/>
      <c r="D64" s="39" t="str">
        <f aca="false">IF(C64="","",IFERROR(TEXT(C64,"MMMM"),""))</f>
        <v/>
      </c>
      <c r="E64" s="40"/>
      <c r="F64" s="41" t="str">
        <f aca="false">IF(E64="","",IFERROR(INDEX('Chart of Accounts'!$C$4:$C$200,MATCH(TEXT(E64,"@"),TEXT('Chart of Accounts'!$B$4:$B$200,"@"),0)),"⚠ Not Found"))</f>
        <v/>
      </c>
      <c r="G64" s="42"/>
      <c r="H64" s="43"/>
      <c r="I64" s="43"/>
      <c r="J64" s="40"/>
    </row>
    <row r="65" customFormat="false" ht="16.5" hidden="false" customHeight="true" outlineLevel="0" collapsed="false">
      <c r="B65" s="44" t="str">
        <f aca="false">IF(C65="","",ROW()-9)</f>
        <v/>
      </c>
      <c r="C65" s="45"/>
      <c r="D65" s="46" t="str">
        <f aca="false">IF(C65="","",IFERROR(TEXT(C65,"MMMM"),""))</f>
        <v/>
      </c>
      <c r="E65" s="47"/>
      <c r="F65" s="48" t="str">
        <f aca="false">IF(E65="","",IFERROR(INDEX('Chart of Accounts'!$C$4:$C$200,MATCH(TEXT(E65,"@"),TEXT('Chart of Accounts'!$B$4:$B$200,"@"),0)),"⚠ Not Found"))</f>
        <v/>
      </c>
      <c r="G65" s="49"/>
      <c r="H65" s="50"/>
      <c r="I65" s="50"/>
      <c r="J65" s="47"/>
    </row>
    <row r="66" customFormat="false" ht="16.5" hidden="false" customHeight="true" outlineLevel="0" collapsed="false">
      <c r="B66" s="37" t="str">
        <f aca="false">IF(C66="","",ROW()-9)</f>
        <v/>
      </c>
      <c r="C66" s="38"/>
      <c r="D66" s="39" t="str">
        <f aca="false">IF(C66="","",IFERROR(TEXT(C66,"MMMM"),""))</f>
        <v/>
      </c>
      <c r="E66" s="40"/>
      <c r="F66" s="41" t="str">
        <f aca="false">IF(E66="","",IFERROR(INDEX('Chart of Accounts'!$C$4:$C$200,MATCH(TEXT(E66,"@"),TEXT('Chart of Accounts'!$B$4:$B$200,"@"),0)),"⚠ Not Found"))</f>
        <v/>
      </c>
      <c r="G66" s="42"/>
      <c r="H66" s="43"/>
      <c r="I66" s="43"/>
      <c r="J66" s="40"/>
    </row>
    <row r="67" customFormat="false" ht="16.5" hidden="false" customHeight="true" outlineLevel="0" collapsed="false">
      <c r="B67" s="44" t="str">
        <f aca="false">IF(C67="","",ROW()-9)</f>
        <v/>
      </c>
      <c r="C67" s="45"/>
      <c r="D67" s="46" t="str">
        <f aca="false">IF(C67="","",IFERROR(TEXT(C67,"MMMM"),""))</f>
        <v/>
      </c>
      <c r="E67" s="47"/>
      <c r="F67" s="48" t="str">
        <f aca="false">IF(E67="","",IFERROR(INDEX('Chart of Accounts'!$C$4:$C$200,MATCH(TEXT(E67,"@"),TEXT('Chart of Accounts'!$B$4:$B$200,"@"),0)),"⚠ Not Found"))</f>
        <v/>
      </c>
      <c r="G67" s="49"/>
      <c r="H67" s="50"/>
      <c r="I67" s="50"/>
      <c r="J67" s="47"/>
    </row>
    <row r="68" customFormat="false" ht="16.5" hidden="false" customHeight="true" outlineLevel="0" collapsed="false">
      <c r="B68" s="37" t="str">
        <f aca="false">IF(C68="","",ROW()-9)</f>
        <v/>
      </c>
      <c r="C68" s="38"/>
      <c r="D68" s="39" t="str">
        <f aca="false">IF(C68="","",IFERROR(TEXT(C68,"MMMM"),""))</f>
        <v/>
      </c>
      <c r="E68" s="40"/>
      <c r="F68" s="41" t="str">
        <f aca="false">IF(E68="","",IFERROR(INDEX('Chart of Accounts'!$C$4:$C$200,MATCH(TEXT(E68,"@"),TEXT('Chart of Accounts'!$B$4:$B$200,"@"),0)),"⚠ Not Found"))</f>
        <v/>
      </c>
      <c r="G68" s="42"/>
      <c r="H68" s="43"/>
      <c r="I68" s="43"/>
      <c r="J68" s="40"/>
    </row>
    <row r="69" customFormat="false" ht="16.5" hidden="false" customHeight="true" outlineLevel="0" collapsed="false">
      <c r="B69" s="44" t="str">
        <f aca="false">IF(C69="","",ROW()-9)</f>
        <v/>
      </c>
      <c r="C69" s="45"/>
      <c r="D69" s="46" t="str">
        <f aca="false">IF(C69="","",IFERROR(TEXT(C69,"MMMM"),""))</f>
        <v/>
      </c>
      <c r="E69" s="47"/>
      <c r="F69" s="48" t="str">
        <f aca="false">IF(E69="","",IFERROR(INDEX('Chart of Accounts'!$C$4:$C$200,MATCH(TEXT(E69,"@"),TEXT('Chart of Accounts'!$B$4:$B$200,"@"),0)),"⚠ Not Found"))</f>
        <v/>
      </c>
      <c r="G69" s="49"/>
      <c r="H69" s="50"/>
      <c r="I69" s="50"/>
      <c r="J69" s="47"/>
    </row>
    <row r="70" customFormat="false" ht="16.5" hidden="false" customHeight="true" outlineLevel="0" collapsed="false">
      <c r="B70" s="37" t="str">
        <f aca="false">IF(C70="","",ROW()-9)</f>
        <v/>
      </c>
      <c r="C70" s="38"/>
      <c r="D70" s="39" t="str">
        <f aca="false">IF(C70="","",IFERROR(TEXT(C70,"MMMM"),""))</f>
        <v/>
      </c>
      <c r="E70" s="40"/>
      <c r="F70" s="41" t="str">
        <f aca="false">IF(E70="","",IFERROR(INDEX('Chart of Accounts'!$C$4:$C$200,MATCH(TEXT(E70,"@"),TEXT('Chart of Accounts'!$B$4:$B$200,"@"),0)),"⚠ Not Found"))</f>
        <v/>
      </c>
      <c r="G70" s="42"/>
      <c r="H70" s="43"/>
      <c r="I70" s="43"/>
      <c r="J70" s="40"/>
    </row>
    <row r="71" customFormat="false" ht="16.5" hidden="false" customHeight="true" outlineLevel="0" collapsed="false">
      <c r="B71" s="44" t="str">
        <f aca="false">IF(C71="","",ROW()-9)</f>
        <v/>
      </c>
      <c r="C71" s="45"/>
      <c r="D71" s="46" t="str">
        <f aca="false">IF(C71="","",IFERROR(TEXT(C71,"MMMM"),""))</f>
        <v/>
      </c>
      <c r="E71" s="47"/>
      <c r="F71" s="48" t="str">
        <f aca="false">IF(E71="","",IFERROR(INDEX('Chart of Accounts'!$C$4:$C$200,MATCH(TEXT(E71,"@"),TEXT('Chart of Accounts'!$B$4:$B$200,"@"),0)),"⚠ Not Found"))</f>
        <v/>
      </c>
      <c r="G71" s="49"/>
      <c r="H71" s="50"/>
      <c r="I71" s="50"/>
      <c r="J71" s="47"/>
    </row>
    <row r="72" customFormat="false" ht="16.5" hidden="false" customHeight="true" outlineLevel="0" collapsed="false">
      <c r="B72" s="37" t="str">
        <f aca="false">IF(C72="","",ROW()-9)</f>
        <v/>
      </c>
      <c r="C72" s="38"/>
      <c r="D72" s="39" t="str">
        <f aca="false">IF(C72="","",IFERROR(TEXT(C72,"MMMM"),""))</f>
        <v/>
      </c>
      <c r="E72" s="40"/>
      <c r="F72" s="41" t="str">
        <f aca="false">IF(E72="","",IFERROR(INDEX('Chart of Accounts'!$C$4:$C$200,MATCH(TEXT(E72,"@"),TEXT('Chart of Accounts'!$B$4:$B$200,"@"),0)),"⚠ Not Found"))</f>
        <v/>
      </c>
      <c r="G72" s="42"/>
      <c r="H72" s="43"/>
      <c r="I72" s="43"/>
      <c r="J72" s="40"/>
    </row>
    <row r="73" customFormat="false" ht="16.5" hidden="false" customHeight="true" outlineLevel="0" collapsed="false">
      <c r="B73" s="44" t="str">
        <f aca="false">IF(C73="","",ROW()-9)</f>
        <v/>
      </c>
      <c r="C73" s="45"/>
      <c r="D73" s="46" t="str">
        <f aca="false">IF(C73="","",IFERROR(TEXT(C73,"MMMM"),""))</f>
        <v/>
      </c>
      <c r="E73" s="47"/>
      <c r="F73" s="48" t="str">
        <f aca="false">IF(E73="","",IFERROR(INDEX('Chart of Accounts'!$C$4:$C$200,MATCH(TEXT(E73,"@"),TEXT('Chart of Accounts'!$B$4:$B$200,"@"),0)),"⚠ Not Found"))</f>
        <v/>
      </c>
      <c r="G73" s="49"/>
      <c r="H73" s="50"/>
      <c r="I73" s="50"/>
      <c r="J73" s="47"/>
    </row>
    <row r="74" customFormat="false" ht="16.5" hidden="false" customHeight="true" outlineLevel="0" collapsed="false">
      <c r="B74" s="37" t="str">
        <f aca="false">IF(C74="","",ROW()-9)</f>
        <v/>
      </c>
      <c r="C74" s="38"/>
      <c r="D74" s="39" t="str">
        <f aca="false">IF(C74="","",IFERROR(TEXT(C74,"MMMM"),""))</f>
        <v/>
      </c>
      <c r="E74" s="40"/>
      <c r="F74" s="41" t="str">
        <f aca="false">IF(E74="","",IFERROR(INDEX('Chart of Accounts'!$C$4:$C$200,MATCH(TEXT(E74,"@"),TEXT('Chart of Accounts'!$B$4:$B$200,"@"),0)),"⚠ Not Found"))</f>
        <v/>
      </c>
      <c r="G74" s="42"/>
      <c r="H74" s="43"/>
      <c r="I74" s="43"/>
      <c r="J74" s="40"/>
    </row>
    <row r="75" customFormat="false" ht="16.5" hidden="false" customHeight="true" outlineLevel="0" collapsed="false">
      <c r="B75" s="44" t="str">
        <f aca="false">IF(C75="","",ROW()-9)</f>
        <v/>
      </c>
      <c r="C75" s="45"/>
      <c r="D75" s="46" t="str">
        <f aca="false">IF(C75="","",IFERROR(TEXT(C75,"MMMM"),""))</f>
        <v/>
      </c>
      <c r="E75" s="47"/>
      <c r="F75" s="48" t="str">
        <f aca="false">IF(E75="","",IFERROR(INDEX('Chart of Accounts'!$C$4:$C$200,MATCH(TEXT(E75,"@"),TEXT('Chart of Accounts'!$B$4:$B$200,"@"),0)),"⚠ Not Found"))</f>
        <v/>
      </c>
      <c r="G75" s="49"/>
      <c r="H75" s="50"/>
      <c r="I75" s="50"/>
      <c r="J75" s="47"/>
    </row>
    <row r="76" customFormat="false" ht="16.5" hidden="false" customHeight="true" outlineLevel="0" collapsed="false">
      <c r="B76" s="37" t="str">
        <f aca="false">IF(C76="","",ROW()-9)</f>
        <v/>
      </c>
      <c r="C76" s="38"/>
      <c r="D76" s="39" t="str">
        <f aca="false">IF(C76="","",IFERROR(TEXT(C76,"MMMM"),""))</f>
        <v/>
      </c>
      <c r="E76" s="40"/>
      <c r="F76" s="41" t="str">
        <f aca="false">IF(E76="","",IFERROR(INDEX('Chart of Accounts'!$C$4:$C$200,MATCH(TEXT(E76,"@"),TEXT('Chart of Accounts'!$B$4:$B$200,"@"),0)),"⚠ Not Found"))</f>
        <v/>
      </c>
      <c r="G76" s="42"/>
      <c r="H76" s="43"/>
      <c r="I76" s="43"/>
      <c r="J76" s="40"/>
    </row>
    <row r="77" customFormat="false" ht="16.5" hidden="false" customHeight="true" outlineLevel="0" collapsed="false">
      <c r="B77" s="44" t="str">
        <f aca="false">IF(C77="","",ROW()-9)</f>
        <v/>
      </c>
      <c r="C77" s="45"/>
      <c r="D77" s="46" t="str">
        <f aca="false">IF(C77="","",IFERROR(TEXT(C77,"MMMM"),""))</f>
        <v/>
      </c>
      <c r="E77" s="47"/>
      <c r="F77" s="48" t="str">
        <f aca="false">IF(E77="","",IFERROR(INDEX('Chart of Accounts'!$C$4:$C$200,MATCH(TEXT(E77,"@"),TEXT('Chart of Accounts'!$B$4:$B$200,"@"),0)),"⚠ Not Found"))</f>
        <v/>
      </c>
      <c r="G77" s="49"/>
      <c r="H77" s="50"/>
      <c r="I77" s="50"/>
      <c r="J77" s="47"/>
    </row>
    <row r="78" customFormat="false" ht="16.5" hidden="false" customHeight="true" outlineLevel="0" collapsed="false">
      <c r="B78" s="37" t="str">
        <f aca="false">IF(C78="","",ROW()-9)</f>
        <v/>
      </c>
      <c r="C78" s="38"/>
      <c r="D78" s="39" t="str">
        <f aca="false">IF(C78="","",IFERROR(TEXT(C78,"MMMM"),""))</f>
        <v/>
      </c>
      <c r="E78" s="40"/>
      <c r="F78" s="41" t="str">
        <f aca="false">IF(E78="","",IFERROR(INDEX('Chart of Accounts'!$C$4:$C$200,MATCH(TEXT(E78,"@"),TEXT('Chart of Accounts'!$B$4:$B$200,"@"),0)),"⚠ Not Found"))</f>
        <v/>
      </c>
      <c r="G78" s="42"/>
      <c r="H78" s="43"/>
      <c r="I78" s="43"/>
      <c r="J78" s="40"/>
    </row>
    <row r="79" customFormat="false" ht="16.5" hidden="false" customHeight="true" outlineLevel="0" collapsed="false">
      <c r="B79" s="44" t="str">
        <f aca="false">IF(C79="","",ROW()-9)</f>
        <v/>
      </c>
      <c r="C79" s="45"/>
      <c r="D79" s="46" t="str">
        <f aca="false">IF(C79="","",IFERROR(TEXT(C79,"MMMM"),""))</f>
        <v/>
      </c>
      <c r="E79" s="47"/>
      <c r="F79" s="48" t="str">
        <f aca="false">IF(E79="","",IFERROR(INDEX('Chart of Accounts'!$C$4:$C$200,MATCH(TEXT(E79,"@"),TEXT('Chart of Accounts'!$B$4:$B$200,"@"),0)),"⚠ Not Found"))</f>
        <v/>
      </c>
      <c r="G79" s="49"/>
      <c r="H79" s="50"/>
      <c r="I79" s="50"/>
      <c r="J79" s="47"/>
    </row>
    <row r="80" customFormat="false" ht="16.5" hidden="false" customHeight="true" outlineLevel="0" collapsed="false">
      <c r="B80" s="37" t="str">
        <f aca="false">IF(C80="","",ROW()-9)</f>
        <v/>
      </c>
      <c r="C80" s="38"/>
      <c r="D80" s="39" t="str">
        <f aca="false">IF(C80="","",IFERROR(TEXT(C80,"MMMM"),""))</f>
        <v/>
      </c>
      <c r="E80" s="40"/>
      <c r="F80" s="41" t="str">
        <f aca="false">IF(E80="","",IFERROR(INDEX('Chart of Accounts'!$C$4:$C$200,MATCH(TEXT(E80,"@"),TEXT('Chart of Accounts'!$B$4:$B$200,"@"),0)),"⚠ Not Found"))</f>
        <v/>
      </c>
      <c r="G80" s="42"/>
      <c r="H80" s="43"/>
      <c r="I80" s="43"/>
      <c r="J80" s="40"/>
    </row>
    <row r="81" customFormat="false" ht="16.5" hidden="false" customHeight="true" outlineLevel="0" collapsed="false">
      <c r="B81" s="44" t="str">
        <f aca="false">IF(C81="","",ROW()-9)</f>
        <v/>
      </c>
      <c r="C81" s="45"/>
      <c r="D81" s="46" t="str">
        <f aca="false">IF(C81="","",IFERROR(TEXT(C81,"MMMM"),""))</f>
        <v/>
      </c>
      <c r="E81" s="47"/>
      <c r="F81" s="48" t="str">
        <f aca="false">IF(E81="","",IFERROR(INDEX('Chart of Accounts'!$C$4:$C$200,MATCH(TEXT(E81,"@"),TEXT('Chart of Accounts'!$B$4:$B$200,"@"),0)),"⚠ Not Found"))</f>
        <v/>
      </c>
      <c r="G81" s="49"/>
      <c r="H81" s="50"/>
      <c r="I81" s="50"/>
      <c r="J81" s="47"/>
    </row>
    <row r="82" customFormat="false" ht="16.5" hidden="false" customHeight="true" outlineLevel="0" collapsed="false">
      <c r="B82" s="37" t="str">
        <f aca="false">IF(C82="","",ROW()-9)</f>
        <v/>
      </c>
      <c r="C82" s="38"/>
      <c r="D82" s="39" t="str">
        <f aca="false">IF(C82="","",IFERROR(TEXT(C82,"MMMM"),""))</f>
        <v/>
      </c>
      <c r="E82" s="40"/>
      <c r="F82" s="41" t="str">
        <f aca="false">IF(E82="","",IFERROR(INDEX('Chart of Accounts'!$C$4:$C$200,MATCH(TEXT(E82,"@"),TEXT('Chart of Accounts'!$B$4:$B$200,"@"),0)),"⚠ Not Found"))</f>
        <v/>
      </c>
      <c r="G82" s="42"/>
      <c r="H82" s="43"/>
      <c r="I82" s="43"/>
      <c r="J82" s="40"/>
    </row>
    <row r="83" customFormat="false" ht="16.5" hidden="false" customHeight="true" outlineLevel="0" collapsed="false">
      <c r="B83" s="44" t="str">
        <f aca="false">IF(C83="","",ROW()-9)</f>
        <v/>
      </c>
      <c r="C83" s="45"/>
      <c r="D83" s="46" t="str">
        <f aca="false">IF(C83="","",IFERROR(TEXT(C83,"MMMM"),""))</f>
        <v/>
      </c>
      <c r="E83" s="47"/>
      <c r="F83" s="48" t="str">
        <f aca="false">IF(E83="","",IFERROR(INDEX('Chart of Accounts'!$C$4:$C$200,MATCH(TEXT(E83,"@"),TEXT('Chart of Accounts'!$B$4:$B$200,"@"),0)),"⚠ Not Found"))</f>
        <v/>
      </c>
      <c r="G83" s="49"/>
      <c r="H83" s="50"/>
      <c r="I83" s="50"/>
      <c r="J83" s="47"/>
    </row>
    <row r="84" customFormat="false" ht="16.5" hidden="false" customHeight="true" outlineLevel="0" collapsed="false">
      <c r="B84" s="37" t="str">
        <f aca="false">IF(C84="","",ROW()-9)</f>
        <v/>
      </c>
      <c r="C84" s="38"/>
      <c r="D84" s="39" t="str">
        <f aca="false">IF(C84="","",IFERROR(TEXT(C84,"MMMM"),""))</f>
        <v/>
      </c>
      <c r="E84" s="40"/>
      <c r="F84" s="41" t="str">
        <f aca="false">IF(E84="","",IFERROR(INDEX('Chart of Accounts'!$C$4:$C$200,MATCH(TEXT(E84,"@"),TEXT('Chart of Accounts'!$B$4:$B$200,"@"),0)),"⚠ Not Found"))</f>
        <v/>
      </c>
      <c r="G84" s="42"/>
      <c r="H84" s="43"/>
      <c r="I84" s="43"/>
      <c r="J84" s="40"/>
    </row>
    <row r="85" customFormat="false" ht="16.5" hidden="false" customHeight="true" outlineLevel="0" collapsed="false">
      <c r="B85" s="44" t="str">
        <f aca="false">IF(C85="","",ROW()-9)</f>
        <v/>
      </c>
      <c r="C85" s="45"/>
      <c r="D85" s="46" t="str">
        <f aca="false">IF(C85="","",IFERROR(TEXT(C85,"MMMM"),""))</f>
        <v/>
      </c>
      <c r="E85" s="47"/>
      <c r="F85" s="48" t="str">
        <f aca="false">IF(E85="","",IFERROR(INDEX('Chart of Accounts'!$C$4:$C$200,MATCH(TEXT(E85,"@"),TEXT('Chart of Accounts'!$B$4:$B$200,"@"),0)),"⚠ Not Found"))</f>
        <v/>
      </c>
      <c r="G85" s="49"/>
      <c r="H85" s="50"/>
      <c r="I85" s="50"/>
      <c r="J85" s="47"/>
    </row>
    <row r="86" customFormat="false" ht="16.5" hidden="false" customHeight="true" outlineLevel="0" collapsed="false">
      <c r="B86" s="37" t="str">
        <f aca="false">IF(C86="","",ROW()-9)</f>
        <v/>
      </c>
      <c r="C86" s="38"/>
      <c r="D86" s="39" t="str">
        <f aca="false">IF(C86="","",IFERROR(TEXT(C86,"MMMM"),""))</f>
        <v/>
      </c>
      <c r="E86" s="40"/>
      <c r="F86" s="41" t="str">
        <f aca="false">IF(E86="","",IFERROR(INDEX('Chart of Accounts'!$C$4:$C$200,MATCH(TEXT(E86,"@"),TEXT('Chart of Accounts'!$B$4:$B$200,"@"),0)),"⚠ Not Found"))</f>
        <v/>
      </c>
      <c r="G86" s="42"/>
      <c r="H86" s="43"/>
      <c r="I86" s="43"/>
      <c r="J86" s="40"/>
    </row>
    <row r="87" customFormat="false" ht="16.5" hidden="false" customHeight="true" outlineLevel="0" collapsed="false">
      <c r="B87" s="44" t="str">
        <f aca="false">IF(C87="","",ROW()-9)</f>
        <v/>
      </c>
      <c r="C87" s="45"/>
      <c r="D87" s="46" t="str">
        <f aca="false">IF(C87="","",IFERROR(TEXT(C87,"MMMM"),""))</f>
        <v/>
      </c>
      <c r="E87" s="47"/>
      <c r="F87" s="48" t="str">
        <f aca="false">IF(E87="","",IFERROR(INDEX('Chart of Accounts'!$C$4:$C$200,MATCH(TEXT(E87,"@"),TEXT('Chart of Accounts'!$B$4:$B$200,"@"),0)),"⚠ Not Found"))</f>
        <v/>
      </c>
      <c r="G87" s="49"/>
      <c r="H87" s="50"/>
      <c r="I87" s="50"/>
      <c r="J87" s="47"/>
    </row>
    <row r="88" customFormat="false" ht="16.5" hidden="false" customHeight="true" outlineLevel="0" collapsed="false">
      <c r="B88" s="37" t="str">
        <f aca="false">IF(C88="","",ROW()-9)</f>
        <v/>
      </c>
      <c r="C88" s="38"/>
      <c r="D88" s="39" t="str">
        <f aca="false">IF(C88="","",IFERROR(TEXT(C88,"MMMM"),""))</f>
        <v/>
      </c>
      <c r="E88" s="40"/>
      <c r="F88" s="41" t="str">
        <f aca="false">IF(E88="","",IFERROR(INDEX('Chart of Accounts'!$C$4:$C$200,MATCH(TEXT(E88,"@"),TEXT('Chart of Accounts'!$B$4:$B$200,"@"),0)),"⚠ Not Found"))</f>
        <v/>
      </c>
      <c r="G88" s="42"/>
      <c r="H88" s="43"/>
      <c r="I88" s="43"/>
      <c r="J88" s="40"/>
    </row>
    <row r="89" customFormat="false" ht="16.5" hidden="false" customHeight="true" outlineLevel="0" collapsed="false">
      <c r="B89" s="44" t="str">
        <f aca="false">IF(C89="","",ROW()-9)</f>
        <v/>
      </c>
      <c r="C89" s="45"/>
      <c r="D89" s="46" t="str">
        <f aca="false">IF(C89="","",IFERROR(TEXT(C89,"MMMM"),""))</f>
        <v/>
      </c>
      <c r="E89" s="47"/>
      <c r="F89" s="48" t="str">
        <f aca="false">IF(E89="","",IFERROR(INDEX('Chart of Accounts'!$C$4:$C$200,MATCH(TEXT(E89,"@"),TEXT('Chart of Accounts'!$B$4:$B$200,"@"),0)),"⚠ Not Found"))</f>
        <v/>
      </c>
      <c r="G89" s="49"/>
      <c r="H89" s="50"/>
      <c r="I89" s="50"/>
      <c r="J89" s="47"/>
    </row>
    <row r="90" customFormat="false" ht="16.5" hidden="false" customHeight="true" outlineLevel="0" collapsed="false">
      <c r="B90" s="37" t="str">
        <f aca="false">IF(C90="","",ROW()-9)</f>
        <v/>
      </c>
      <c r="C90" s="38"/>
      <c r="D90" s="39" t="str">
        <f aca="false">IF(C90="","",IFERROR(TEXT(C90,"MMMM"),""))</f>
        <v/>
      </c>
      <c r="E90" s="40"/>
      <c r="F90" s="41" t="str">
        <f aca="false">IF(E90="","",IFERROR(INDEX('Chart of Accounts'!$C$4:$C$200,MATCH(TEXT(E90,"@"),TEXT('Chart of Accounts'!$B$4:$B$200,"@"),0)),"⚠ Not Found"))</f>
        <v/>
      </c>
      <c r="G90" s="42"/>
      <c r="H90" s="43"/>
      <c r="I90" s="43"/>
      <c r="J90" s="40"/>
    </row>
    <row r="91" customFormat="false" ht="16.5" hidden="false" customHeight="true" outlineLevel="0" collapsed="false">
      <c r="B91" s="44" t="str">
        <f aca="false">IF(C91="","",ROW()-9)</f>
        <v/>
      </c>
      <c r="C91" s="45"/>
      <c r="D91" s="46" t="str">
        <f aca="false">IF(C91="","",IFERROR(TEXT(C91,"MMMM"),""))</f>
        <v/>
      </c>
      <c r="E91" s="47"/>
      <c r="F91" s="48" t="str">
        <f aca="false">IF(E91="","",IFERROR(INDEX('Chart of Accounts'!$C$4:$C$200,MATCH(TEXT(E91,"@"),TEXT('Chart of Accounts'!$B$4:$B$200,"@"),0)),"⚠ Not Found"))</f>
        <v/>
      </c>
      <c r="G91" s="49"/>
      <c r="H91" s="50"/>
      <c r="I91" s="50"/>
      <c r="J91" s="47"/>
    </row>
    <row r="92" customFormat="false" ht="16.5" hidden="false" customHeight="true" outlineLevel="0" collapsed="false">
      <c r="B92" s="37" t="str">
        <f aca="false">IF(C92="","",ROW()-9)</f>
        <v/>
      </c>
      <c r="C92" s="38"/>
      <c r="D92" s="39" t="str">
        <f aca="false">IF(C92="","",IFERROR(TEXT(C92,"MMMM"),""))</f>
        <v/>
      </c>
      <c r="E92" s="40"/>
      <c r="F92" s="41" t="str">
        <f aca="false">IF(E92="","",IFERROR(INDEX('Chart of Accounts'!$C$4:$C$200,MATCH(TEXT(E92,"@"),TEXT('Chart of Accounts'!$B$4:$B$200,"@"),0)),"⚠ Not Found"))</f>
        <v/>
      </c>
      <c r="G92" s="42"/>
      <c r="H92" s="43"/>
      <c r="I92" s="43"/>
      <c r="J92" s="40"/>
    </row>
    <row r="93" customFormat="false" ht="16.5" hidden="false" customHeight="true" outlineLevel="0" collapsed="false">
      <c r="B93" s="44" t="str">
        <f aca="false">IF(C93="","",ROW()-9)</f>
        <v/>
      </c>
      <c r="C93" s="45"/>
      <c r="D93" s="46" t="str">
        <f aca="false">IF(C93="","",IFERROR(TEXT(C93,"MMMM"),""))</f>
        <v/>
      </c>
      <c r="E93" s="47"/>
      <c r="F93" s="48" t="str">
        <f aca="false">IF(E93="","",IFERROR(INDEX('Chart of Accounts'!$C$4:$C$200,MATCH(TEXT(E93,"@"),TEXT('Chart of Accounts'!$B$4:$B$200,"@"),0)),"⚠ Not Found"))</f>
        <v/>
      </c>
      <c r="G93" s="49"/>
      <c r="H93" s="50"/>
      <c r="I93" s="50"/>
      <c r="J93" s="47"/>
    </row>
    <row r="94" customFormat="false" ht="16.5" hidden="false" customHeight="true" outlineLevel="0" collapsed="false">
      <c r="B94" s="37" t="str">
        <f aca="false">IF(C94="","",ROW()-9)</f>
        <v/>
      </c>
      <c r="C94" s="38"/>
      <c r="D94" s="39" t="str">
        <f aca="false">IF(C94="","",IFERROR(TEXT(C94,"MMMM"),""))</f>
        <v/>
      </c>
      <c r="E94" s="40"/>
      <c r="F94" s="41" t="str">
        <f aca="false">IF(E94="","",IFERROR(INDEX('Chart of Accounts'!$C$4:$C$200,MATCH(TEXT(E94,"@"),TEXT('Chart of Accounts'!$B$4:$B$200,"@"),0)),"⚠ Not Found"))</f>
        <v/>
      </c>
      <c r="G94" s="42"/>
      <c r="H94" s="43"/>
      <c r="I94" s="43"/>
      <c r="J94" s="40"/>
    </row>
    <row r="95" customFormat="false" ht="16.5" hidden="false" customHeight="true" outlineLevel="0" collapsed="false">
      <c r="B95" s="44" t="str">
        <f aca="false">IF(C95="","",ROW()-9)</f>
        <v/>
      </c>
      <c r="C95" s="45"/>
      <c r="D95" s="46" t="str">
        <f aca="false">IF(C95="","",IFERROR(TEXT(C95,"MMMM"),""))</f>
        <v/>
      </c>
      <c r="E95" s="47"/>
      <c r="F95" s="48" t="str">
        <f aca="false">IF(E95="","",IFERROR(INDEX('Chart of Accounts'!$C$4:$C$200,MATCH(TEXT(E95,"@"),TEXT('Chart of Accounts'!$B$4:$B$200,"@"),0)),"⚠ Not Found"))</f>
        <v/>
      </c>
      <c r="G95" s="49"/>
      <c r="H95" s="50"/>
      <c r="I95" s="50"/>
      <c r="J95" s="47"/>
    </row>
    <row r="96" customFormat="false" ht="16.5" hidden="false" customHeight="true" outlineLevel="0" collapsed="false">
      <c r="B96" s="37" t="str">
        <f aca="false">IF(C96="","",ROW()-9)</f>
        <v/>
      </c>
      <c r="C96" s="38"/>
      <c r="D96" s="39" t="str">
        <f aca="false">IF(C96="","",IFERROR(TEXT(C96,"MMMM"),""))</f>
        <v/>
      </c>
      <c r="E96" s="40"/>
      <c r="F96" s="41" t="str">
        <f aca="false">IF(E96="","",IFERROR(INDEX('Chart of Accounts'!$C$4:$C$200,MATCH(TEXT(E96,"@"),TEXT('Chart of Accounts'!$B$4:$B$200,"@"),0)),"⚠ Not Found"))</f>
        <v/>
      </c>
      <c r="G96" s="42"/>
      <c r="H96" s="43"/>
      <c r="I96" s="43"/>
      <c r="J96" s="40"/>
    </row>
    <row r="97" customFormat="false" ht="16.5" hidden="false" customHeight="true" outlineLevel="0" collapsed="false">
      <c r="B97" s="44" t="str">
        <f aca="false">IF(C97="","",ROW()-9)</f>
        <v/>
      </c>
      <c r="C97" s="45"/>
      <c r="D97" s="46" t="str">
        <f aca="false">IF(C97="","",IFERROR(TEXT(C97,"MMMM"),""))</f>
        <v/>
      </c>
      <c r="E97" s="47"/>
      <c r="F97" s="48" t="str">
        <f aca="false">IF(E97="","",IFERROR(INDEX('Chart of Accounts'!$C$4:$C$200,MATCH(TEXT(E97,"@"),TEXT('Chart of Accounts'!$B$4:$B$200,"@"),0)),"⚠ Not Found"))</f>
        <v/>
      </c>
      <c r="G97" s="49"/>
      <c r="H97" s="50"/>
      <c r="I97" s="50"/>
      <c r="J97" s="47"/>
    </row>
    <row r="98" customFormat="false" ht="16.5" hidden="false" customHeight="true" outlineLevel="0" collapsed="false">
      <c r="B98" s="37" t="str">
        <f aca="false">IF(C98="","",ROW()-9)</f>
        <v/>
      </c>
      <c r="C98" s="38"/>
      <c r="D98" s="39" t="str">
        <f aca="false">IF(C98="","",IFERROR(TEXT(C98,"MMMM"),""))</f>
        <v/>
      </c>
      <c r="E98" s="40"/>
      <c r="F98" s="41" t="str">
        <f aca="false">IF(E98="","",IFERROR(INDEX('Chart of Accounts'!$C$4:$C$200,MATCH(TEXT(E98,"@"),TEXT('Chart of Accounts'!$B$4:$B$200,"@"),0)),"⚠ Not Found"))</f>
        <v/>
      </c>
      <c r="G98" s="42"/>
      <c r="H98" s="43"/>
      <c r="I98" s="43"/>
      <c r="J98" s="40"/>
    </row>
    <row r="99" customFormat="false" ht="16.5" hidden="false" customHeight="true" outlineLevel="0" collapsed="false">
      <c r="B99" s="44" t="str">
        <f aca="false">IF(C99="","",ROW()-9)</f>
        <v/>
      </c>
      <c r="C99" s="45"/>
      <c r="D99" s="46" t="str">
        <f aca="false">IF(C99="","",IFERROR(TEXT(C99,"MMMM"),""))</f>
        <v/>
      </c>
      <c r="E99" s="47"/>
      <c r="F99" s="48" t="str">
        <f aca="false">IF(E99="","",IFERROR(INDEX('Chart of Accounts'!$C$4:$C$200,MATCH(TEXT(E99,"@"),TEXT('Chart of Accounts'!$B$4:$B$200,"@"),0)),"⚠ Not Found"))</f>
        <v/>
      </c>
      <c r="G99" s="49"/>
      <c r="H99" s="50"/>
      <c r="I99" s="50"/>
      <c r="J99" s="47"/>
    </row>
    <row r="100" customFormat="false" ht="16.5" hidden="false" customHeight="true" outlineLevel="0" collapsed="false">
      <c r="B100" s="37" t="str">
        <f aca="false">IF(C100="","",ROW()-9)</f>
        <v/>
      </c>
      <c r="C100" s="38"/>
      <c r="D100" s="39" t="str">
        <f aca="false">IF(C100="","",IFERROR(TEXT(C100,"MMMM"),""))</f>
        <v/>
      </c>
      <c r="E100" s="40"/>
      <c r="F100" s="41" t="str">
        <f aca="false">IF(E100="","",IFERROR(INDEX('Chart of Accounts'!$C$4:$C$200,MATCH(TEXT(E100,"@"),TEXT('Chart of Accounts'!$B$4:$B$200,"@"),0)),"⚠ Not Found"))</f>
        <v/>
      </c>
      <c r="G100" s="42"/>
      <c r="H100" s="43"/>
      <c r="I100" s="43"/>
      <c r="J100" s="40"/>
    </row>
    <row r="101" customFormat="false" ht="16.5" hidden="false" customHeight="true" outlineLevel="0" collapsed="false">
      <c r="B101" s="44" t="str">
        <f aca="false">IF(C101="","",ROW()-9)</f>
        <v/>
      </c>
      <c r="C101" s="45"/>
      <c r="D101" s="46" t="str">
        <f aca="false">IF(C101="","",IFERROR(TEXT(C101,"MMMM"),""))</f>
        <v/>
      </c>
      <c r="E101" s="47"/>
      <c r="F101" s="48" t="str">
        <f aca="false">IF(E101="","",IFERROR(INDEX('Chart of Accounts'!$C$4:$C$200,MATCH(TEXT(E101,"@"),TEXT('Chart of Accounts'!$B$4:$B$200,"@"),0)),"⚠ Not Found"))</f>
        <v/>
      </c>
      <c r="G101" s="49"/>
      <c r="H101" s="50"/>
      <c r="I101" s="50"/>
      <c r="J101" s="47"/>
    </row>
    <row r="102" customFormat="false" ht="16.5" hidden="false" customHeight="true" outlineLevel="0" collapsed="false">
      <c r="B102" s="37" t="str">
        <f aca="false">IF(C102="","",ROW()-9)</f>
        <v/>
      </c>
      <c r="C102" s="38"/>
      <c r="D102" s="39" t="str">
        <f aca="false">IF(C102="","",IFERROR(TEXT(C102,"MMMM"),""))</f>
        <v/>
      </c>
      <c r="E102" s="40"/>
      <c r="F102" s="41" t="str">
        <f aca="false">IF(E102="","",IFERROR(INDEX('Chart of Accounts'!$C$4:$C$200,MATCH(TEXT(E102,"@"),TEXT('Chart of Accounts'!$B$4:$B$200,"@"),0)),"⚠ Not Found"))</f>
        <v/>
      </c>
      <c r="G102" s="42"/>
      <c r="H102" s="43"/>
      <c r="I102" s="43"/>
      <c r="J102" s="40"/>
    </row>
    <row r="103" customFormat="false" ht="16.5" hidden="false" customHeight="true" outlineLevel="0" collapsed="false">
      <c r="B103" s="44" t="str">
        <f aca="false">IF(C103="","",ROW()-9)</f>
        <v/>
      </c>
      <c r="C103" s="45"/>
      <c r="D103" s="46" t="str">
        <f aca="false">IF(C103="","",IFERROR(TEXT(C103,"MMMM"),""))</f>
        <v/>
      </c>
      <c r="E103" s="47"/>
      <c r="F103" s="48" t="str">
        <f aca="false">IF(E103="","",IFERROR(INDEX('Chart of Accounts'!$C$4:$C$200,MATCH(TEXT(E103,"@"),TEXT('Chart of Accounts'!$B$4:$B$200,"@"),0)),"⚠ Not Found"))</f>
        <v/>
      </c>
      <c r="G103" s="49"/>
      <c r="H103" s="50"/>
      <c r="I103" s="50"/>
      <c r="J103" s="47"/>
    </row>
    <row r="104" customFormat="false" ht="16.5" hidden="false" customHeight="true" outlineLevel="0" collapsed="false">
      <c r="B104" s="37" t="str">
        <f aca="false">IF(C104="","",ROW()-9)</f>
        <v/>
      </c>
      <c r="C104" s="38"/>
      <c r="D104" s="39" t="str">
        <f aca="false">IF(C104="","",IFERROR(TEXT(C104,"MMMM"),""))</f>
        <v/>
      </c>
      <c r="E104" s="40"/>
      <c r="F104" s="41" t="str">
        <f aca="false">IF(E104="","",IFERROR(INDEX('Chart of Accounts'!$C$4:$C$200,MATCH(TEXT(E104,"@"),TEXT('Chart of Accounts'!$B$4:$B$200,"@"),0)),"⚠ Not Found"))</f>
        <v/>
      </c>
      <c r="G104" s="42"/>
      <c r="H104" s="43"/>
      <c r="I104" s="43"/>
      <c r="J104" s="40"/>
    </row>
    <row r="105" customFormat="false" ht="16.5" hidden="false" customHeight="true" outlineLevel="0" collapsed="false">
      <c r="B105" s="44" t="str">
        <f aca="false">IF(C105="","",ROW()-9)</f>
        <v/>
      </c>
      <c r="C105" s="45"/>
      <c r="D105" s="46" t="str">
        <f aca="false">IF(C105="","",IFERROR(TEXT(C105,"MMMM"),""))</f>
        <v/>
      </c>
      <c r="E105" s="47"/>
      <c r="F105" s="48" t="str">
        <f aca="false">IF(E105="","",IFERROR(INDEX('Chart of Accounts'!$C$4:$C$200,MATCH(TEXT(E105,"@"),TEXT('Chart of Accounts'!$B$4:$B$200,"@"),0)),"⚠ Not Found"))</f>
        <v/>
      </c>
      <c r="G105" s="49"/>
      <c r="H105" s="50"/>
      <c r="I105" s="50"/>
      <c r="J105" s="47"/>
    </row>
    <row r="106" customFormat="false" ht="16.5" hidden="false" customHeight="true" outlineLevel="0" collapsed="false">
      <c r="B106" s="37" t="str">
        <f aca="false">IF(C106="","",ROW()-9)</f>
        <v/>
      </c>
      <c r="C106" s="38"/>
      <c r="D106" s="39" t="str">
        <f aca="false">IF(C106="","",IFERROR(TEXT(C106,"MMMM"),""))</f>
        <v/>
      </c>
      <c r="E106" s="40"/>
      <c r="F106" s="41" t="str">
        <f aca="false">IF(E106="","",IFERROR(INDEX('Chart of Accounts'!$C$4:$C$200,MATCH(TEXT(E106,"@"),TEXT('Chart of Accounts'!$B$4:$B$200,"@"),0)),"⚠ Not Found"))</f>
        <v/>
      </c>
      <c r="G106" s="42"/>
      <c r="H106" s="43"/>
      <c r="I106" s="43"/>
      <c r="J106" s="40"/>
    </row>
    <row r="107" customFormat="false" ht="16.5" hidden="false" customHeight="true" outlineLevel="0" collapsed="false">
      <c r="B107" s="44" t="str">
        <f aca="false">IF(C107="","",ROW()-9)</f>
        <v/>
      </c>
      <c r="C107" s="45"/>
      <c r="D107" s="46" t="str">
        <f aca="false">IF(C107="","",IFERROR(TEXT(C107,"MMMM"),""))</f>
        <v/>
      </c>
      <c r="E107" s="47"/>
      <c r="F107" s="48" t="str">
        <f aca="false">IF(E107="","",IFERROR(INDEX('Chart of Accounts'!$C$4:$C$200,MATCH(TEXT(E107,"@"),TEXT('Chart of Accounts'!$B$4:$B$200,"@"),0)),"⚠ Not Found"))</f>
        <v/>
      </c>
      <c r="G107" s="49"/>
      <c r="H107" s="50"/>
      <c r="I107" s="50"/>
      <c r="J107" s="47"/>
    </row>
    <row r="108" customFormat="false" ht="16.5" hidden="false" customHeight="true" outlineLevel="0" collapsed="false">
      <c r="B108" s="37" t="str">
        <f aca="false">IF(C108="","",ROW()-9)</f>
        <v/>
      </c>
      <c r="C108" s="38"/>
      <c r="D108" s="39" t="str">
        <f aca="false">IF(C108="","",IFERROR(TEXT(C108,"MMMM"),""))</f>
        <v/>
      </c>
      <c r="E108" s="40"/>
      <c r="F108" s="41" t="str">
        <f aca="false">IF(E108="","",IFERROR(INDEX('Chart of Accounts'!$C$4:$C$200,MATCH(TEXT(E108,"@"),TEXT('Chart of Accounts'!$B$4:$B$200,"@"),0)),"⚠ Not Found"))</f>
        <v/>
      </c>
      <c r="G108" s="42"/>
      <c r="H108" s="43"/>
      <c r="I108" s="43"/>
      <c r="J108" s="40"/>
    </row>
    <row r="109" customFormat="false" ht="16.5" hidden="false" customHeight="true" outlineLevel="0" collapsed="false">
      <c r="B109" s="44" t="str">
        <f aca="false">IF(C109="","",ROW()-9)</f>
        <v/>
      </c>
      <c r="C109" s="45"/>
      <c r="D109" s="46" t="str">
        <f aca="false">IF(C109="","",IFERROR(TEXT(C109,"MMMM"),""))</f>
        <v/>
      </c>
      <c r="E109" s="47"/>
      <c r="F109" s="48" t="str">
        <f aca="false">IF(E109="","",IFERROR(INDEX('Chart of Accounts'!$C$4:$C$200,MATCH(TEXT(E109,"@"),TEXT('Chart of Accounts'!$B$4:$B$200,"@"),0)),"⚠ Not Found"))</f>
        <v/>
      </c>
      <c r="G109" s="49"/>
      <c r="H109" s="50"/>
      <c r="I109" s="50"/>
      <c r="J109" s="47"/>
    </row>
    <row r="110" customFormat="false" ht="16.5" hidden="false" customHeight="true" outlineLevel="0" collapsed="false">
      <c r="B110" s="37" t="str">
        <f aca="false">IF(C110="","",ROW()-9)</f>
        <v/>
      </c>
      <c r="C110" s="38"/>
      <c r="D110" s="39" t="str">
        <f aca="false">IF(C110="","",IFERROR(TEXT(C110,"MMMM"),""))</f>
        <v/>
      </c>
      <c r="E110" s="40"/>
      <c r="F110" s="41" t="str">
        <f aca="false">IF(E110="","",IFERROR(INDEX('Chart of Accounts'!$C$4:$C$200,MATCH(TEXT(E110,"@"),TEXT('Chart of Accounts'!$B$4:$B$200,"@"),0)),"⚠ Not Found"))</f>
        <v/>
      </c>
      <c r="G110" s="42"/>
      <c r="H110" s="43"/>
      <c r="I110" s="43"/>
      <c r="J110" s="40"/>
    </row>
    <row r="111" customFormat="false" ht="16.5" hidden="false" customHeight="true" outlineLevel="0" collapsed="false">
      <c r="B111" s="44" t="str">
        <f aca="false">IF(C111="","",ROW()-9)</f>
        <v/>
      </c>
      <c r="C111" s="45"/>
      <c r="D111" s="46" t="str">
        <f aca="false">IF(C111="","",IFERROR(TEXT(C111,"MMMM"),""))</f>
        <v/>
      </c>
      <c r="E111" s="47"/>
      <c r="F111" s="48" t="str">
        <f aca="false">IF(E111="","",IFERROR(INDEX('Chart of Accounts'!$C$4:$C$200,MATCH(TEXT(E111,"@"),TEXT('Chart of Accounts'!$B$4:$B$200,"@"),0)),"⚠ Not Found"))</f>
        <v/>
      </c>
      <c r="G111" s="49"/>
      <c r="H111" s="50"/>
      <c r="I111" s="50"/>
      <c r="J111" s="47"/>
    </row>
    <row r="112" customFormat="false" ht="16.5" hidden="false" customHeight="true" outlineLevel="0" collapsed="false">
      <c r="B112" s="37" t="str">
        <f aca="false">IF(C112="","",ROW()-9)</f>
        <v/>
      </c>
      <c r="C112" s="38"/>
      <c r="D112" s="39" t="str">
        <f aca="false">IF(C112="","",IFERROR(TEXT(C112,"MMMM"),""))</f>
        <v/>
      </c>
      <c r="E112" s="40"/>
      <c r="F112" s="41" t="str">
        <f aca="false">IF(E112="","",IFERROR(INDEX('Chart of Accounts'!$C$4:$C$200,MATCH(TEXT(E112,"@"),TEXT('Chart of Accounts'!$B$4:$B$200,"@"),0)),"⚠ Not Found"))</f>
        <v/>
      </c>
      <c r="G112" s="42"/>
      <c r="H112" s="43"/>
      <c r="I112" s="43"/>
      <c r="J112" s="40"/>
    </row>
    <row r="113" customFormat="false" ht="16.5" hidden="false" customHeight="true" outlineLevel="0" collapsed="false">
      <c r="B113" s="44" t="str">
        <f aca="false">IF(C113="","",ROW()-9)</f>
        <v/>
      </c>
      <c r="C113" s="45"/>
      <c r="D113" s="46" t="str">
        <f aca="false">IF(C113="","",IFERROR(TEXT(C113,"MMMM"),""))</f>
        <v/>
      </c>
      <c r="E113" s="47"/>
      <c r="F113" s="48" t="str">
        <f aca="false">IF(E113="","",IFERROR(INDEX('Chart of Accounts'!$C$4:$C$200,MATCH(TEXT(E113,"@"),TEXT('Chart of Accounts'!$B$4:$B$200,"@"),0)),"⚠ Not Found"))</f>
        <v/>
      </c>
      <c r="G113" s="49"/>
      <c r="H113" s="50"/>
      <c r="I113" s="50"/>
      <c r="J113" s="47"/>
    </row>
    <row r="114" customFormat="false" ht="16.5" hidden="false" customHeight="true" outlineLevel="0" collapsed="false">
      <c r="B114" s="37" t="str">
        <f aca="false">IF(C114="","",ROW()-9)</f>
        <v/>
      </c>
      <c r="C114" s="38"/>
      <c r="D114" s="39" t="str">
        <f aca="false">IF(C114="","",IFERROR(TEXT(C114,"MMMM"),""))</f>
        <v/>
      </c>
      <c r="E114" s="40"/>
      <c r="F114" s="41" t="str">
        <f aca="false">IF(E114="","",IFERROR(INDEX('Chart of Accounts'!$C$4:$C$200,MATCH(TEXT(E114,"@"),TEXT('Chart of Accounts'!$B$4:$B$200,"@"),0)),"⚠ Not Found"))</f>
        <v/>
      </c>
      <c r="G114" s="42"/>
      <c r="H114" s="43"/>
      <c r="I114" s="43"/>
      <c r="J114" s="40"/>
    </row>
    <row r="115" customFormat="false" ht="16.5" hidden="false" customHeight="true" outlineLevel="0" collapsed="false">
      <c r="B115" s="44" t="str">
        <f aca="false">IF(C115="","",ROW()-9)</f>
        <v/>
      </c>
      <c r="C115" s="45"/>
      <c r="D115" s="46" t="str">
        <f aca="false">IF(C115="","",IFERROR(TEXT(C115,"MMMM"),""))</f>
        <v/>
      </c>
      <c r="E115" s="47"/>
      <c r="F115" s="48" t="str">
        <f aca="false">IF(E115="","",IFERROR(INDEX('Chart of Accounts'!$C$4:$C$200,MATCH(TEXT(E115,"@"),TEXT('Chart of Accounts'!$B$4:$B$200,"@"),0)),"⚠ Not Found"))</f>
        <v/>
      </c>
      <c r="G115" s="49"/>
      <c r="H115" s="50"/>
      <c r="I115" s="50"/>
      <c r="J115" s="47"/>
    </row>
    <row r="116" customFormat="false" ht="16.5" hidden="false" customHeight="true" outlineLevel="0" collapsed="false">
      <c r="B116" s="37" t="str">
        <f aca="false">IF(C116="","",ROW()-9)</f>
        <v/>
      </c>
      <c r="C116" s="38"/>
      <c r="D116" s="39" t="str">
        <f aca="false">IF(C116="","",IFERROR(TEXT(C116,"MMMM"),""))</f>
        <v/>
      </c>
      <c r="E116" s="40"/>
      <c r="F116" s="41" t="str">
        <f aca="false">IF(E116="","",IFERROR(INDEX('Chart of Accounts'!$C$4:$C$200,MATCH(TEXT(E116,"@"),TEXT('Chart of Accounts'!$B$4:$B$200,"@"),0)),"⚠ Not Found"))</f>
        <v/>
      </c>
      <c r="G116" s="42"/>
      <c r="H116" s="43"/>
      <c r="I116" s="43"/>
      <c r="J116" s="40"/>
    </row>
    <row r="117" customFormat="false" ht="16.5" hidden="false" customHeight="true" outlineLevel="0" collapsed="false">
      <c r="B117" s="44" t="str">
        <f aca="false">IF(C117="","",ROW()-9)</f>
        <v/>
      </c>
      <c r="C117" s="45"/>
      <c r="D117" s="46" t="str">
        <f aca="false">IF(C117="","",IFERROR(TEXT(C117,"MMMM"),""))</f>
        <v/>
      </c>
      <c r="E117" s="47"/>
      <c r="F117" s="48" t="str">
        <f aca="false">IF(E117="","",IFERROR(INDEX('Chart of Accounts'!$C$4:$C$200,MATCH(TEXT(E117,"@"),TEXT('Chart of Accounts'!$B$4:$B$200,"@"),0)),"⚠ Not Found"))</f>
        <v/>
      </c>
      <c r="G117" s="49"/>
      <c r="H117" s="50"/>
      <c r="I117" s="50"/>
      <c r="J117" s="47"/>
    </row>
    <row r="118" customFormat="false" ht="16.5" hidden="false" customHeight="true" outlineLevel="0" collapsed="false">
      <c r="B118" s="37" t="str">
        <f aca="false">IF(C118="","",ROW()-9)</f>
        <v/>
      </c>
      <c r="C118" s="38"/>
      <c r="D118" s="39" t="str">
        <f aca="false">IF(C118="","",IFERROR(TEXT(C118,"MMMM"),""))</f>
        <v/>
      </c>
      <c r="E118" s="40"/>
      <c r="F118" s="41" t="str">
        <f aca="false">IF(E118="","",IFERROR(INDEX('Chart of Accounts'!$C$4:$C$200,MATCH(TEXT(E118,"@"),TEXT('Chart of Accounts'!$B$4:$B$200,"@"),0)),"⚠ Not Found"))</f>
        <v/>
      </c>
      <c r="G118" s="42"/>
      <c r="H118" s="43"/>
      <c r="I118" s="43"/>
      <c r="J118" s="40"/>
    </row>
    <row r="119" customFormat="false" ht="16.5" hidden="false" customHeight="true" outlineLevel="0" collapsed="false">
      <c r="B119" s="44" t="str">
        <f aca="false">IF(C119="","",ROW()-9)</f>
        <v/>
      </c>
      <c r="C119" s="45"/>
      <c r="D119" s="46" t="str">
        <f aca="false">IF(C119="","",IFERROR(TEXT(C119,"MMMM"),""))</f>
        <v/>
      </c>
      <c r="E119" s="47"/>
      <c r="F119" s="48" t="str">
        <f aca="false">IF(E119="","",IFERROR(INDEX('Chart of Accounts'!$C$4:$C$200,MATCH(TEXT(E119,"@"),TEXT('Chart of Accounts'!$B$4:$B$200,"@"),0)),"⚠ Not Found"))</f>
        <v/>
      </c>
      <c r="G119" s="49"/>
      <c r="H119" s="50"/>
      <c r="I119" s="50"/>
      <c r="J119" s="47"/>
    </row>
    <row r="120" customFormat="false" ht="16.5" hidden="false" customHeight="true" outlineLevel="0" collapsed="false">
      <c r="B120" s="37" t="str">
        <f aca="false">IF(C120="","",ROW()-9)</f>
        <v/>
      </c>
      <c r="C120" s="38"/>
      <c r="D120" s="39" t="str">
        <f aca="false">IF(C120="","",IFERROR(TEXT(C120,"MMMM"),""))</f>
        <v/>
      </c>
      <c r="E120" s="40"/>
      <c r="F120" s="41" t="str">
        <f aca="false">IF(E120="","",IFERROR(INDEX('Chart of Accounts'!$C$4:$C$200,MATCH(TEXT(E120,"@"),TEXT('Chart of Accounts'!$B$4:$B$200,"@"),0)),"⚠ Not Found"))</f>
        <v/>
      </c>
      <c r="G120" s="42"/>
      <c r="H120" s="43"/>
      <c r="I120" s="43"/>
      <c r="J120" s="40"/>
    </row>
    <row r="121" customFormat="false" ht="16.5" hidden="false" customHeight="true" outlineLevel="0" collapsed="false">
      <c r="B121" s="44" t="str">
        <f aca="false">IF(C121="","",ROW()-9)</f>
        <v/>
      </c>
      <c r="C121" s="45"/>
      <c r="D121" s="46" t="str">
        <f aca="false">IF(C121="","",IFERROR(TEXT(C121,"MMMM"),""))</f>
        <v/>
      </c>
      <c r="E121" s="47"/>
      <c r="F121" s="48" t="str">
        <f aca="false">IF(E121="","",IFERROR(INDEX('Chart of Accounts'!$C$4:$C$200,MATCH(TEXT(E121,"@"),TEXT('Chart of Accounts'!$B$4:$B$200,"@"),0)),"⚠ Not Found"))</f>
        <v/>
      </c>
      <c r="G121" s="49"/>
      <c r="H121" s="50"/>
      <c r="I121" s="50"/>
      <c r="J121" s="47"/>
    </row>
    <row r="122" customFormat="false" ht="16.5" hidden="false" customHeight="true" outlineLevel="0" collapsed="false">
      <c r="B122" s="37" t="str">
        <f aca="false">IF(C122="","",ROW()-9)</f>
        <v/>
      </c>
      <c r="C122" s="38"/>
      <c r="D122" s="39" t="str">
        <f aca="false">IF(C122="","",IFERROR(TEXT(C122,"MMMM"),""))</f>
        <v/>
      </c>
      <c r="E122" s="40"/>
      <c r="F122" s="41" t="str">
        <f aca="false">IF(E122="","",IFERROR(INDEX('Chart of Accounts'!$C$4:$C$200,MATCH(TEXT(E122,"@"),TEXT('Chart of Accounts'!$B$4:$B$200,"@"),0)),"⚠ Not Found"))</f>
        <v/>
      </c>
      <c r="G122" s="42"/>
      <c r="H122" s="43"/>
      <c r="I122" s="43"/>
      <c r="J122" s="40"/>
    </row>
    <row r="123" customFormat="false" ht="16.5" hidden="false" customHeight="true" outlineLevel="0" collapsed="false">
      <c r="B123" s="44" t="str">
        <f aca="false">IF(C123="","",ROW()-9)</f>
        <v/>
      </c>
      <c r="C123" s="45"/>
      <c r="D123" s="46" t="str">
        <f aca="false">IF(C123="","",IFERROR(TEXT(C123,"MMMM"),""))</f>
        <v/>
      </c>
      <c r="E123" s="47"/>
      <c r="F123" s="48" t="str">
        <f aca="false">IF(E123="","",IFERROR(INDEX('Chart of Accounts'!$C$4:$C$200,MATCH(TEXT(E123,"@"),TEXT('Chart of Accounts'!$B$4:$B$200,"@"),0)),"⚠ Not Found"))</f>
        <v/>
      </c>
      <c r="G123" s="49"/>
      <c r="H123" s="50"/>
      <c r="I123" s="50"/>
      <c r="J123" s="47"/>
    </row>
    <row r="124" customFormat="false" ht="16.5" hidden="false" customHeight="true" outlineLevel="0" collapsed="false">
      <c r="B124" s="37" t="str">
        <f aca="false">IF(C124="","",ROW()-9)</f>
        <v/>
      </c>
      <c r="C124" s="38"/>
      <c r="D124" s="39" t="str">
        <f aca="false">IF(C124="","",IFERROR(TEXT(C124,"MMMM"),""))</f>
        <v/>
      </c>
      <c r="E124" s="40"/>
      <c r="F124" s="41" t="str">
        <f aca="false">IF(E124="","",IFERROR(INDEX('Chart of Accounts'!$C$4:$C$200,MATCH(TEXT(E124,"@"),TEXT('Chart of Accounts'!$B$4:$B$200,"@"),0)),"⚠ Not Found"))</f>
        <v/>
      </c>
      <c r="G124" s="42"/>
      <c r="H124" s="43"/>
      <c r="I124" s="43"/>
      <c r="J124" s="40"/>
    </row>
    <row r="125" customFormat="false" ht="16.5" hidden="false" customHeight="true" outlineLevel="0" collapsed="false">
      <c r="B125" s="44" t="str">
        <f aca="false">IF(C125="","",ROW()-9)</f>
        <v/>
      </c>
      <c r="C125" s="45"/>
      <c r="D125" s="46" t="str">
        <f aca="false">IF(C125="","",IFERROR(TEXT(C125,"MMMM"),""))</f>
        <v/>
      </c>
      <c r="E125" s="47"/>
      <c r="F125" s="48" t="str">
        <f aca="false">IF(E125="","",IFERROR(INDEX('Chart of Accounts'!$C$4:$C$200,MATCH(TEXT(E125,"@"),TEXT('Chart of Accounts'!$B$4:$B$200,"@"),0)),"⚠ Not Found"))</f>
        <v/>
      </c>
      <c r="G125" s="49"/>
      <c r="H125" s="50"/>
      <c r="I125" s="50"/>
      <c r="J125" s="47"/>
    </row>
    <row r="126" customFormat="false" ht="16.5" hidden="false" customHeight="true" outlineLevel="0" collapsed="false">
      <c r="B126" s="37" t="str">
        <f aca="false">IF(C126="","",ROW()-9)</f>
        <v/>
      </c>
      <c r="C126" s="38"/>
      <c r="D126" s="39" t="str">
        <f aca="false">IF(C126="","",IFERROR(TEXT(C126,"MMMM"),""))</f>
        <v/>
      </c>
      <c r="E126" s="40"/>
      <c r="F126" s="41" t="str">
        <f aca="false">IF(E126="","",IFERROR(INDEX('Chart of Accounts'!$C$4:$C$200,MATCH(TEXT(E126,"@"),TEXT('Chart of Accounts'!$B$4:$B$200,"@"),0)),"⚠ Not Found"))</f>
        <v/>
      </c>
      <c r="G126" s="42"/>
      <c r="H126" s="43"/>
      <c r="I126" s="43"/>
      <c r="J126" s="40"/>
    </row>
    <row r="127" customFormat="false" ht="16.5" hidden="false" customHeight="true" outlineLevel="0" collapsed="false">
      <c r="B127" s="44" t="str">
        <f aca="false">IF(C127="","",ROW()-9)</f>
        <v/>
      </c>
      <c r="C127" s="45"/>
      <c r="D127" s="46" t="str">
        <f aca="false">IF(C127="","",IFERROR(TEXT(C127,"MMMM"),""))</f>
        <v/>
      </c>
      <c r="E127" s="47"/>
      <c r="F127" s="48" t="str">
        <f aca="false">IF(E127="","",IFERROR(INDEX('Chart of Accounts'!$C$4:$C$200,MATCH(TEXT(E127,"@"),TEXT('Chart of Accounts'!$B$4:$B$200,"@"),0)),"⚠ Not Found"))</f>
        <v/>
      </c>
      <c r="G127" s="49"/>
      <c r="H127" s="50"/>
      <c r="I127" s="50"/>
      <c r="J127" s="47"/>
    </row>
    <row r="128" customFormat="false" ht="16.5" hidden="false" customHeight="true" outlineLevel="0" collapsed="false">
      <c r="B128" s="37" t="str">
        <f aca="false">IF(C128="","",ROW()-9)</f>
        <v/>
      </c>
      <c r="C128" s="38"/>
      <c r="D128" s="39" t="str">
        <f aca="false">IF(C128="","",IFERROR(TEXT(C128,"MMMM"),""))</f>
        <v/>
      </c>
      <c r="E128" s="40"/>
      <c r="F128" s="41" t="str">
        <f aca="false">IF(E128="","",IFERROR(INDEX('Chart of Accounts'!$C$4:$C$200,MATCH(TEXT(E128,"@"),TEXT('Chart of Accounts'!$B$4:$B$200,"@"),0)),"⚠ Not Found"))</f>
        <v/>
      </c>
      <c r="G128" s="42"/>
      <c r="H128" s="43"/>
      <c r="I128" s="43"/>
      <c r="J128" s="40"/>
    </row>
    <row r="129" customFormat="false" ht="16.5" hidden="false" customHeight="true" outlineLevel="0" collapsed="false">
      <c r="B129" s="44" t="str">
        <f aca="false">IF(C129="","",ROW()-9)</f>
        <v/>
      </c>
      <c r="C129" s="45"/>
      <c r="D129" s="46" t="str">
        <f aca="false">IF(C129="","",IFERROR(TEXT(C129,"MMMM"),""))</f>
        <v/>
      </c>
      <c r="E129" s="47"/>
      <c r="F129" s="48" t="str">
        <f aca="false">IF(E129="","",IFERROR(INDEX('Chart of Accounts'!$C$4:$C$200,MATCH(TEXT(E129,"@"),TEXT('Chart of Accounts'!$B$4:$B$200,"@"),0)),"⚠ Not Found"))</f>
        <v/>
      </c>
      <c r="G129" s="49"/>
      <c r="H129" s="50"/>
      <c r="I129" s="50"/>
      <c r="J129" s="47"/>
    </row>
    <row r="130" customFormat="false" ht="16.5" hidden="false" customHeight="true" outlineLevel="0" collapsed="false">
      <c r="B130" s="37" t="str">
        <f aca="false">IF(C130="","",ROW()-9)</f>
        <v/>
      </c>
      <c r="C130" s="38"/>
      <c r="D130" s="39" t="str">
        <f aca="false">IF(C130="","",IFERROR(TEXT(C130,"MMMM"),""))</f>
        <v/>
      </c>
      <c r="E130" s="40"/>
      <c r="F130" s="41" t="str">
        <f aca="false">IF(E130="","",IFERROR(INDEX('Chart of Accounts'!$C$4:$C$200,MATCH(TEXT(E130,"@"),TEXT('Chart of Accounts'!$B$4:$B$200,"@"),0)),"⚠ Not Found"))</f>
        <v/>
      </c>
      <c r="G130" s="42"/>
      <c r="H130" s="43"/>
      <c r="I130" s="43"/>
      <c r="J130" s="40"/>
    </row>
    <row r="131" customFormat="false" ht="16.5" hidden="false" customHeight="true" outlineLevel="0" collapsed="false">
      <c r="B131" s="44" t="str">
        <f aca="false">IF(C131="","",ROW()-9)</f>
        <v/>
      </c>
      <c r="C131" s="45"/>
      <c r="D131" s="46" t="str">
        <f aca="false">IF(C131="","",IFERROR(TEXT(C131,"MMMM"),""))</f>
        <v/>
      </c>
      <c r="E131" s="47"/>
      <c r="F131" s="48" t="str">
        <f aca="false">IF(E131="","",IFERROR(INDEX('Chart of Accounts'!$C$4:$C$200,MATCH(TEXT(E131,"@"),TEXT('Chart of Accounts'!$B$4:$B$200,"@"),0)),"⚠ Not Found"))</f>
        <v/>
      </c>
      <c r="G131" s="49"/>
      <c r="H131" s="50"/>
      <c r="I131" s="50"/>
      <c r="J131" s="47"/>
    </row>
    <row r="132" customFormat="false" ht="16.5" hidden="false" customHeight="true" outlineLevel="0" collapsed="false">
      <c r="B132" s="37" t="str">
        <f aca="false">IF(C132="","",ROW()-9)</f>
        <v/>
      </c>
      <c r="C132" s="38"/>
      <c r="D132" s="39" t="str">
        <f aca="false">IF(C132="","",IFERROR(TEXT(C132,"MMMM"),""))</f>
        <v/>
      </c>
      <c r="E132" s="40"/>
      <c r="F132" s="41" t="str">
        <f aca="false">IF(E132="","",IFERROR(INDEX('Chart of Accounts'!$C$4:$C$200,MATCH(TEXT(E132,"@"),TEXT('Chart of Accounts'!$B$4:$B$200,"@"),0)),"⚠ Not Found"))</f>
        <v/>
      </c>
      <c r="G132" s="42"/>
      <c r="H132" s="43"/>
      <c r="I132" s="43"/>
      <c r="J132" s="40"/>
    </row>
    <row r="133" customFormat="false" ht="16.5" hidden="false" customHeight="true" outlineLevel="0" collapsed="false">
      <c r="B133" s="44" t="str">
        <f aca="false">IF(C133="","",ROW()-9)</f>
        <v/>
      </c>
      <c r="C133" s="45"/>
      <c r="D133" s="46" t="str">
        <f aca="false">IF(C133="","",IFERROR(TEXT(C133,"MMMM"),""))</f>
        <v/>
      </c>
      <c r="E133" s="47"/>
      <c r="F133" s="48" t="str">
        <f aca="false">IF(E133="","",IFERROR(INDEX('Chart of Accounts'!$C$4:$C$200,MATCH(TEXT(E133,"@"),TEXT('Chart of Accounts'!$B$4:$B$200,"@"),0)),"⚠ Not Found"))</f>
        <v/>
      </c>
      <c r="G133" s="49"/>
      <c r="H133" s="50"/>
      <c r="I133" s="50"/>
      <c r="J133" s="47"/>
    </row>
    <row r="134" customFormat="false" ht="16.5" hidden="false" customHeight="true" outlineLevel="0" collapsed="false">
      <c r="B134" s="37" t="str">
        <f aca="false">IF(C134="","",ROW()-9)</f>
        <v/>
      </c>
      <c r="C134" s="38"/>
      <c r="D134" s="39" t="str">
        <f aca="false">IF(C134="","",IFERROR(TEXT(C134,"MMMM"),""))</f>
        <v/>
      </c>
      <c r="E134" s="40"/>
      <c r="F134" s="41" t="str">
        <f aca="false">IF(E134="","",IFERROR(INDEX('Chart of Accounts'!$C$4:$C$200,MATCH(TEXT(E134,"@"),TEXT('Chart of Accounts'!$B$4:$B$200,"@"),0)),"⚠ Not Found"))</f>
        <v/>
      </c>
      <c r="G134" s="42"/>
      <c r="H134" s="43"/>
      <c r="I134" s="43"/>
      <c r="J134" s="40"/>
    </row>
    <row r="135" customFormat="false" ht="16.5" hidden="false" customHeight="true" outlineLevel="0" collapsed="false">
      <c r="B135" s="44" t="str">
        <f aca="false">IF(C135="","",ROW()-9)</f>
        <v/>
      </c>
      <c r="C135" s="45"/>
      <c r="D135" s="46" t="str">
        <f aca="false">IF(C135="","",IFERROR(TEXT(C135,"MMMM"),""))</f>
        <v/>
      </c>
      <c r="E135" s="47"/>
      <c r="F135" s="48" t="str">
        <f aca="false">IF(E135="","",IFERROR(INDEX('Chart of Accounts'!$C$4:$C$200,MATCH(TEXT(E135,"@"),TEXT('Chart of Accounts'!$B$4:$B$200,"@"),0)),"⚠ Not Found"))</f>
        <v/>
      </c>
      <c r="G135" s="49"/>
      <c r="H135" s="50"/>
      <c r="I135" s="50"/>
      <c r="J135" s="47"/>
    </row>
    <row r="136" customFormat="false" ht="16.5" hidden="false" customHeight="true" outlineLevel="0" collapsed="false">
      <c r="B136" s="37" t="str">
        <f aca="false">IF(C136="","",ROW()-9)</f>
        <v/>
      </c>
      <c r="C136" s="38"/>
      <c r="D136" s="39" t="str">
        <f aca="false">IF(C136="","",IFERROR(TEXT(C136,"MMMM"),""))</f>
        <v/>
      </c>
      <c r="E136" s="40"/>
      <c r="F136" s="41" t="str">
        <f aca="false">IF(E136="","",IFERROR(INDEX('Chart of Accounts'!$C$4:$C$200,MATCH(TEXT(E136,"@"),TEXT('Chart of Accounts'!$B$4:$B$200,"@"),0)),"⚠ Not Found"))</f>
        <v/>
      </c>
      <c r="G136" s="42"/>
      <c r="H136" s="43"/>
      <c r="I136" s="43"/>
      <c r="J136" s="40"/>
    </row>
    <row r="137" customFormat="false" ht="16.5" hidden="false" customHeight="true" outlineLevel="0" collapsed="false">
      <c r="B137" s="44" t="str">
        <f aca="false">IF(C137="","",ROW()-9)</f>
        <v/>
      </c>
      <c r="C137" s="45"/>
      <c r="D137" s="46" t="str">
        <f aca="false">IF(C137="","",IFERROR(TEXT(C137,"MMMM"),""))</f>
        <v/>
      </c>
      <c r="E137" s="47"/>
      <c r="F137" s="48" t="str">
        <f aca="false">IF(E137="","",IFERROR(INDEX('Chart of Accounts'!$C$4:$C$200,MATCH(TEXT(E137,"@"),TEXT('Chart of Accounts'!$B$4:$B$200,"@"),0)),"⚠ Not Found"))</f>
        <v/>
      </c>
      <c r="G137" s="49"/>
      <c r="H137" s="50"/>
      <c r="I137" s="50"/>
      <c r="J137" s="47"/>
    </row>
    <row r="138" customFormat="false" ht="16.5" hidden="false" customHeight="true" outlineLevel="0" collapsed="false">
      <c r="B138" s="37" t="str">
        <f aca="false">IF(C138="","",ROW()-9)</f>
        <v/>
      </c>
      <c r="C138" s="38"/>
      <c r="D138" s="39" t="str">
        <f aca="false">IF(C138="","",IFERROR(TEXT(C138,"MMMM"),""))</f>
        <v/>
      </c>
      <c r="E138" s="40"/>
      <c r="F138" s="41" t="str">
        <f aca="false">IF(E138="","",IFERROR(INDEX('Chart of Accounts'!$C$4:$C$200,MATCH(TEXT(E138,"@"),TEXT('Chart of Accounts'!$B$4:$B$200,"@"),0)),"⚠ Not Found"))</f>
        <v/>
      </c>
      <c r="G138" s="42"/>
      <c r="H138" s="43"/>
      <c r="I138" s="43"/>
      <c r="J138" s="40"/>
    </row>
    <row r="139" customFormat="false" ht="16.5" hidden="false" customHeight="true" outlineLevel="0" collapsed="false">
      <c r="B139" s="44" t="str">
        <f aca="false">IF(C139="","",ROW()-9)</f>
        <v/>
      </c>
      <c r="C139" s="45"/>
      <c r="D139" s="46" t="str">
        <f aca="false">IF(C139="","",IFERROR(TEXT(C139,"MMMM"),""))</f>
        <v/>
      </c>
      <c r="E139" s="47"/>
      <c r="F139" s="48" t="str">
        <f aca="false">IF(E139="","",IFERROR(INDEX('Chart of Accounts'!$C$4:$C$200,MATCH(TEXT(E139,"@"),TEXT('Chart of Accounts'!$B$4:$B$200,"@"),0)),"⚠ Not Found"))</f>
        <v/>
      </c>
      <c r="G139" s="49"/>
      <c r="H139" s="50"/>
      <c r="I139" s="50"/>
      <c r="J139" s="47"/>
    </row>
    <row r="140" customFormat="false" ht="16.5" hidden="false" customHeight="true" outlineLevel="0" collapsed="false">
      <c r="B140" s="37" t="str">
        <f aca="false">IF(C140="","",ROW()-9)</f>
        <v/>
      </c>
      <c r="C140" s="38"/>
      <c r="D140" s="39" t="str">
        <f aca="false">IF(C140="","",IFERROR(TEXT(C140,"MMMM"),""))</f>
        <v/>
      </c>
      <c r="E140" s="40"/>
      <c r="F140" s="41" t="str">
        <f aca="false">IF(E140="","",IFERROR(INDEX('Chart of Accounts'!$C$4:$C$200,MATCH(TEXT(E140,"@"),TEXT('Chart of Accounts'!$B$4:$B$200,"@"),0)),"⚠ Not Found"))</f>
        <v/>
      </c>
      <c r="G140" s="42"/>
      <c r="H140" s="43"/>
      <c r="I140" s="43"/>
      <c r="J140" s="40"/>
    </row>
    <row r="141" customFormat="false" ht="16.5" hidden="false" customHeight="true" outlineLevel="0" collapsed="false">
      <c r="B141" s="44" t="str">
        <f aca="false">IF(C141="","",ROW()-9)</f>
        <v/>
      </c>
      <c r="C141" s="45"/>
      <c r="D141" s="46" t="str">
        <f aca="false">IF(C141="","",IFERROR(TEXT(C141,"MMMM"),""))</f>
        <v/>
      </c>
      <c r="E141" s="47"/>
      <c r="F141" s="48" t="str">
        <f aca="false">IF(E141="","",IFERROR(INDEX('Chart of Accounts'!$C$4:$C$200,MATCH(TEXT(E141,"@"),TEXT('Chart of Accounts'!$B$4:$B$200,"@"),0)),"⚠ Not Found"))</f>
        <v/>
      </c>
      <c r="G141" s="49"/>
      <c r="H141" s="50"/>
      <c r="I141" s="50"/>
      <c r="J141" s="47"/>
    </row>
    <row r="142" customFormat="false" ht="16.5" hidden="false" customHeight="true" outlineLevel="0" collapsed="false">
      <c r="B142" s="37" t="str">
        <f aca="false">IF(C142="","",ROW()-9)</f>
        <v/>
      </c>
      <c r="C142" s="38"/>
      <c r="D142" s="39" t="str">
        <f aca="false">IF(C142="","",IFERROR(TEXT(C142,"MMMM"),""))</f>
        <v/>
      </c>
      <c r="E142" s="40"/>
      <c r="F142" s="41" t="str">
        <f aca="false">IF(E142="","",IFERROR(INDEX('Chart of Accounts'!$C$4:$C$200,MATCH(TEXT(E142,"@"),TEXT('Chart of Accounts'!$B$4:$B$200,"@"),0)),"⚠ Not Found"))</f>
        <v/>
      </c>
      <c r="G142" s="42"/>
      <c r="H142" s="43"/>
      <c r="I142" s="43"/>
      <c r="J142" s="40"/>
    </row>
    <row r="143" customFormat="false" ht="16.5" hidden="false" customHeight="true" outlineLevel="0" collapsed="false">
      <c r="B143" s="44" t="str">
        <f aca="false">IF(C143="","",ROW()-9)</f>
        <v/>
      </c>
      <c r="C143" s="45"/>
      <c r="D143" s="46" t="str">
        <f aca="false">IF(C143="","",IFERROR(TEXT(C143,"MMMM"),""))</f>
        <v/>
      </c>
      <c r="E143" s="47"/>
      <c r="F143" s="48" t="str">
        <f aca="false">IF(E143="","",IFERROR(INDEX('Chart of Accounts'!$C$4:$C$200,MATCH(TEXT(E143,"@"),TEXT('Chart of Accounts'!$B$4:$B$200,"@"),0)),"⚠ Not Found"))</f>
        <v/>
      </c>
      <c r="G143" s="49"/>
      <c r="H143" s="50"/>
      <c r="I143" s="50"/>
      <c r="J143" s="47"/>
    </row>
    <row r="144" customFormat="false" ht="16.5" hidden="false" customHeight="true" outlineLevel="0" collapsed="false">
      <c r="B144" s="37" t="str">
        <f aca="false">IF(C144="","",ROW()-9)</f>
        <v/>
      </c>
      <c r="C144" s="38"/>
      <c r="D144" s="39" t="str">
        <f aca="false">IF(C144="","",IFERROR(TEXT(C144,"MMMM"),""))</f>
        <v/>
      </c>
      <c r="E144" s="40"/>
      <c r="F144" s="41" t="str">
        <f aca="false">IF(E144="","",IFERROR(INDEX('Chart of Accounts'!$C$4:$C$200,MATCH(TEXT(E144,"@"),TEXT('Chart of Accounts'!$B$4:$B$200,"@"),0)),"⚠ Not Found"))</f>
        <v/>
      </c>
      <c r="G144" s="42"/>
      <c r="H144" s="43"/>
      <c r="I144" s="43"/>
      <c r="J144" s="40"/>
    </row>
    <row r="145" customFormat="false" ht="16.5" hidden="false" customHeight="true" outlineLevel="0" collapsed="false">
      <c r="B145" s="44" t="str">
        <f aca="false">IF(C145="","",ROW()-9)</f>
        <v/>
      </c>
      <c r="C145" s="45"/>
      <c r="D145" s="46" t="str">
        <f aca="false">IF(C145="","",IFERROR(TEXT(C145,"MMMM"),""))</f>
        <v/>
      </c>
      <c r="E145" s="47"/>
      <c r="F145" s="48" t="str">
        <f aca="false">IF(E145="","",IFERROR(INDEX('Chart of Accounts'!$C$4:$C$200,MATCH(TEXT(E145,"@"),TEXT('Chart of Accounts'!$B$4:$B$200,"@"),0)),"⚠ Not Found"))</f>
        <v/>
      </c>
      <c r="G145" s="49"/>
      <c r="H145" s="50"/>
      <c r="I145" s="50"/>
      <c r="J145" s="47"/>
    </row>
    <row r="146" customFormat="false" ht="16.5" hidden="false" customHeight="true" outlineLevel="0" collapsed="false">
      <c r="B146" s="37" t="str">
        <f aca="false">IF(C146="","",ROW()-9)</f>
        <v/>
      </c>
      <c r="C146" s="38"/>
      <c r="D146" s="39" t="str">
        <f aca="false">IF(C146="","",IFERROR(TEXT(C146,"MMMM"),""))</f>
        <v/>
      </c>
      <c r="E146" s="40"/>
      <c r="F146" s="41" t="str">
        <f aca="false">IF(E146="","",IFERROR(INDEX('Chart of Accounts'!$C$4:$C$200,MATCH(TEXT(E146,"@"),TEXT('Chart of Accounts'!$B$4:$B$200,"@"),0)),"⚠ Not Found"))</f>
        <v/>
      </c>
      <c r="G146" s="42"/>
      <c r="H146" s="43"/>
      <c r="I146" s="43"/>
      <c r="J146" s="40"/>
    </row>
    <row r="147" customFormat="false" ht="16.5" hidden="false" customHeight="true" outlineLevel="0" collapsed="false">
      <c r="B147" s="44" t="str">
        <f aca="false">IF(C147="","",ROW()-9)</f>
        <v/>
      </c>
      <c r="C147" s="45"/>
      <c r="D147" s="46" t="str">
        <f aca="false">IF(C147="","",IFERROR(TEXT(C147,"MMMM"),""))</f>
        <v/>
      </c>
      <c r="E147" s="47"/>
      <c r="F147" s="48" t="str">
        <f aca="false">IF(E147="","",IFERROR(INDEX('Chart of Accounts'!$C$4:$C$200,MATCH(TEXT(E147,"@"),TEXT('Chart of Accounts'!$B$4:$B$200,"@"),0)),"⚠ Not Found"))</f>
        <v/>
      </c>
      <c r="G147" s="49"/>
      <c r="H147" s="50"/>
      <c r="I147" s="50"/>
      <c r="J147" s="47"/>
    </row>
    <row r="148" customFormat="false" ht="16.5" hidden="false" customHeight="true" outlineLevel="0" collapsed="false">
      <c r="B148" s="37" t="str">
        <f aca="false">IF(C148="","",ROW()-9)</f>
        <v/>
      </c>
      <c r="C148" s="38"/>
      <c r="D148" s="39" t="str">
        <f aca="false">IF(C148="","",IFERROR(TEXT(C148,"MMMM"),""))</f>
        <v/>
      </c>
      <c r="E148" s="40"/>
      <c r="F148" s="41" t="str">
        <f aca="false">IF(E148="","",IFERROR(INDEX('Chart of Accounts'!$C$4:$C$200,MATCH(TEXT(E148,"@"),TEXT('Chart of Accounts'!$B$4:$B$200,"@"),0)),"⚠ Not Found"))</f>
        <v/>
      </c>
      <c r="G148" s="42"/>
      <c r="H148" s="43"/>
      <c r="I148" s="43"/>
      <c r="J148" s="40"/>
    </row>
    <row r="149" customFormat="false" ht="16.5" hidden="false" customHeight="true" outlineLevel="0" collapsed="false">
      <c r="B149" s="44" t="str">
        <f aca="false">IF(C149="","",ROW()-9)</f>
        <v/>
      </c>
      <c r="C149" s="45"/>
      <c r="D149" s="46" t="str">
        <f aca="false">IF(C149="","",IFERROR(TEXT(C149,"MMMM"),""))</f>
        <v/>
      </c>
      <c r="E149" s="47"/>
      <c r="F149" s="48" t="str">
        <f aca="false">IF(E149="","",IFERROR(INDEX('Chart of Accounts'!$C$4:$C$200,MATCH(TEXT(E149,"@"),TEXT('Chart of Accounts'!$B$4:$B$200,"@"),0)),"⚠ Not Found"))</f>
        <v/>
      </c>
      <c r="G149" s="49"/>
      <c r="H149" s="50"/>
      <c r="I149" s="50"/>
      <c r="J149" s="47"/>
    </row>
    <row r="150" customFormat="false" ht="16.5" hidden="false" customHeight="true" outlineLevel="0" collapsed="false">
      <c r="B150" s="37" t="str">
        <f aca="false">IF(C150="","",ROW()-9)</f>
        <v/>
      </c>
      <c r="C150" s="38"/>
      <c r="D150" s="39" t="str">
        <f aca="false">IF(C150="","",IFERROR(TEXT(C150,"MMMM"),""))</f>
        <v/>
      </c>
      <c r="E150" s="40"/>
      <c r="F150" s="41" t="str">
        <f aca="false">IF(E150="","",IFERROR(INDEX('Chart of Accounts'!$C$4:$C$200,MATCH(TEXT(E150,"@"),TEXT('Chart of Accounts'!$B$4:$B$200,"@"),0)),"⚠ Not Found"))</f>
        <v/>
      </c>
      <c r="G150" s="42"/>
      <c r="H150" s="43"/>
      <c r="I150" s="43"/>
      <c r="J150" s="40"/>
    </row>
    <row r="151" customFormat="false" ht="16.5" hidden="false" customHeight="true" outlineLevel="0" collapsed="false">
      <c r="B151" s="44" t="str">
        <f aca="false">IF(C151="","",ROW()-9)</f>
        <v/>
      </c>
      <c r="C151" s="45"/>
      <c r="D151" s="46" t="str">
        <f aca="false">IF(C151="","",IFERROR(TEXT(C151,"MMMM"),""))</f>
        <v/>
      </c>
      <c r="E151" s="47"/>
      <c r="F151" s="48" t="str">
        <f aca="false">IF(E151="","",IFERROR(INDEX('Chart of Accounts'!$C$4:$C$200,MATCH(TEXT(E151,"@"),TEXT('Chart of Accounts'!$B$4:$B$200,"@"),0)),"⚠ Not Found"))</f>
        <v/>
      </c>
      <c r="G151" s="49"/>
      <c r="H151" s="50"/>
      <c r="I151" s="50"/>
      <c r="J151" s="47"/>
    </row>
    <row r="152" customFormat="false" ht="16.5" hidden="false" customHeight="true" outlineLevel="0" collapsed="false">
      <c r="B152" s="37" t="str">
        <f aca="false">IF(C152="","",ROW()-9)</f>
        <v/>
      </c>
      <c r="C152" s="38"/>
      <c r="D152" s="39" t="str">
        <f aca="false">IF(C152="","",IFERROR(TEXT(C152,"MMMM"),""))</f>
        <v/>
      </c>
      <c r="E152" s="40"/>
      <c r="F152" s="41" t="str">
        <f aca="false">IF(E152="","",IFERROR(INDEX('Chart of Accounts'!$C$4:$C$200,MATCH(TEXT(E152,"@"),TEXT('Chart of Accounts'!$B$4:$B$200,"@"),0)),"⚠ Not Found"))</f>
        <v/>
      </c>
      <c r="G152" s="42"/>
      <c r="H152" s="43"/>
      <c r="I152" s="43"/>
      <c r="J152" s="40"/>
    </row>
    <row r="153" customFormat="false" ht="16.5" hidden="false" customHeight="true" outlineLevel="0" collapsed="false">
      <c r="B153" s="44" t="str">
        <f aca="false">IF(C153="","",ROW()-9)</f>
        <v/>
      </c>
      <c r="C153" s="45"/>
      <c r="D153" s="46" t="str">
        <f aca="false">IF(C153="","",IFERROR(TEXT(C153,"MMMM"),""))</f>
        <v/>
      </c>
      <c r="E153" s="47"/>
      <c r="F153" s="48" t="str">
        <f aca="false">IF(E153="","",IFERROR(INDEX('Chart of Accounts'!$C$4:$C$200,MATCH(TEXT(E153,"@"),TEXT('Chart of Accounts'!$B$4:$B$200,"@"),0)),"⚠ Not Found"))</f>
        <v/>
      </c>
      <c r="G153" s="49"/>
      <c r="H153" s="50"/>
      <c r="I153" s="50"/>
      <c r="J153" s="47"/>
    </row>
    <row r="154" customFormat="false" ht="16.5" hidden="false" customHeight="true" outlineLevel="0" collapsed="false">
      <c r="B154" s="37" t="str">
        <f aca="false">IF(C154="","",ROW()-9)</f>
        <v/>
      </c>
      <c r="C154" s="38"/>
      <c r="D154" s="39" t="str">
        <f aca="false">IF(C154="","",IFERROR(TEXT(C154,"MMMM"),""))</f>
        <v/>
      </c>
      <c r="E154" s="40"/>
      <c r="F154" s="41" t="str">
        <f aca="false">IF(E154="","",IFERROR(INDEX('Chart of Accounts'!$C$4:$C$200,MATCH(TEXT(E154,"@"),TEXT('Chart of Accounts'!$B$4:$B$200,"@"),0)),"⚠ Not Found"))</f>
        <v/>
      </c>
      <c r="G154" s="42"/>
      <c r="H154" s="43"/>
      <c r="I154" s="43"/>
      <c r="J154" s="40"/>
    </row>
    <row r="155" customFormat="false" ht="16.5" hidden="false" customHeight="true" outlineLevel="0" collapsed="false">
      <c r="B155" s="44" t="str">
        <f aca="false">IF(C155="","",ROW()-9)</f>
        <v/>
      </c>
      <c r="C155" s="45"/>
      <c r="D155" s="46" t="str">
        <f aca="false">IF(C155="","",IFERROR(TEXT(C155,"MMMM"),""))</f>
        <v/>
      </c>
      <c r="E155" s="47"/>
      <c r="F155" s="48" t="str">
        <f aca="false">IF(E155="","",IFERROR(INDEX('Chart of Accounts'!$C$4:$C$200,MATCH(TEXT(E155,"@"),TEXT('Chart of Accounts'!$B$4:$B$200,"@"),0)),"⚠ Not Found"))</f>
        <v/>
      </c>
      <c r="G155" s="49"/>
      <c r="H155" s="50"/>
      <c r="I155" s="50"/>
      <c r="J155" s="47"/>
    </row>
    <row r="156" customFormat="false" ht="16.5" hidden="false" customHeight="true" outlineLevel="0" collapsed="false">
      <c r="B156" s="37" t="str">
        <f aca="false">IF(C156="","",ROW()-9)</f>
        <v/>
      </c>
      <c r="C156" s="38"/>
      <c r="D156" s="39" t="str">
        <f aca="false">IF(C156="","",IFERROR(TEXT(C156,"MMMM"),""))</f>
        <v/>
      </c>
      <c r="E156" s="40"/>
      <c r="F156" s="41" t="str">
        <f aca="false">IF(E156="","",IFERROR(INDEX('Chart of Accounts'!$C$4:$C$200,MATCH(TEXT(E156,"@"),TEXT('Chart of Accounts'!$B$4:$B$200,"@"),0)),"⚠ Not Found"))</f>
        <v/>
      </c>
      <c r="G156" s="42"/>
      <c r="H156" s="43"/>
      <c r="I156" s="43"/>
      <c r="J156" s="40"/>
    </row>
    <row r="157" customFormat="false" ht="16.5" hidden="false" customHeight="true" outlineLevel="0" collapsed="false">
      <c r="B157" s="44" t="str">
        <f aca="false">IF(C157="","",ROW()-9)</f>
        <v/>
      </c>
      <c r="C157" s="45"/>
      <c r="D157" s="46" t="str">
        <f aca="false">IF(C157="","",IFERROR(TEXT(C157,"MMMM"),""))</f>
        <v/>
      </c>
      <c r="E157" s="47"/>
      <c r="F157" s="48" t="str">
        <f aca="false">IF(E157="","",IFERROR(INDEX('Chart of Accounts'!$C$4:$C$200,MATCH(TEXT(E157,"@"),TEXT('Chart of Accounts'!$B$4:$B$200,"@"),0)),"⚠ Not Found"))</f>
        <v/>
      </c>
      <c r="G157" s="49"/>
      <c r="H157" s="50"/>
      <c r="I157" s="50"/>
      <c r="J157" s="47"/>
    </row>
    <row r="158" customFormat="false" ht="16.5" hidden="false" customHeight="true" outlineLevel="0" collapsed="false">
      <c r="B158" s="37" t="str">
        <f aca="false">IF(C158="","",ROW()-9)</f>
        <v/>
      </c>
      <c r="C158" s="38"/>
      <c r="D158" s="39" t="str">
        <f aca="false">IF(C158="","",IFERROR(TEXT(C158,"MMMM"),""))</f>
        <v/>
      </c>
      <c r="E158" s="40"/>
      <c r="F158" s="41" t="str">
        <f aca="false">IF(E158="","",IFERROR(INDEX('Chart of Accounts'!$C$4:$C$200,MATCH(TEXT(E158,"@"),TEXT('Chart of Accounts'!$B$4:$B$200,"@"),0)),"⚠ Not Found"))</f>
        <v/>
      </c>
      <c r="G158" s="42"/>
      <c r="H158" s="43"/>
      <c r="I158" s="43"/>
      <c r="J158" s="40"/>
    </row>
    <row r="159" customFormat="false" ht="16.5" hidden="false" customHeight="true" outlineLevel="0" collapsed="false">
      <c r="B159" s="44" t="str">
        <f aca="false">IF(C159="","",ROW()-9)</f>
        <v/>
      </c>
      <c r="C159" s="45"/>
      <c r="D159" s="46" t="str">
        <f aca="false">IF(C159="","",IFERROR(TEXT(C159,"MMMM"),""))</f>
        <v/>
      </c>
      <c r="E159" s="47"/>
      <c r="F159" s="48" t="str">
        <f aca="false">IF(E159="","",IFERROR(INDEX('Chart of Accounts'!$C$4:$C$200,MATCH(TEXT(E159,"@"),TEXT('Chart of Accounts'!$B$4:$B$200,"@"),0)),"⚠ Not Found"))</f>
        <v/>
      </c>
      <c r="G159" s="49"/>
      <c r="H159" s="50"/>
      <c r="I159" s="50"/>
      <c r="J159" s="47"/>
    </row>
    <row r="160" customFormat="false" ht="16.5" hidden="false" customHeight="true" outlineLevel="0" collapsed="false">
      <c r="B160" s="37" t="str">
        <f aca="false">IF(C160="","",ROW()-9)</f>
        <v/>
      </c>
      <c r="C160" s="38"/>
      <c r="D160" s="39" t="str">
        <f aca="false">IF(C160="","",IFERROR(TEXT(C160,"MMMM"),""))</f>
        <v/>
      </c>
      <c r="E160" s="40"/>
      <c r="F160" s="41" t="str">
        <f aca="false">IF(E160="","",IFERROR(INDEX('Chart of Accounts'!$C$4:$C$200,MATCH(TEXT(E160,"@"),TEXT('Chart of Accounts'!$B$4:$B$200,"@"),0)),"⚠ Not Found"))</f>
        <v/>
      </c>
      <c r="G160" s="42"/>
      <c r="H160" s="43"/>
      <c r="I160" s="43"/>
      <c r="J160" s="40"/>
    </row>
    <row r="161" customFormat="false" ht="16.5" hidden="false" customHeight="true" outlineLevel="0" collapsed="false">
      <c r="B161" s="44" t="str">
        <f aca="false">IF(C161="","",ROW()-9)</f>
        <v/>
      </c>
      <c r="C161" s="45"/>
      <c r="D161" s="46" t="str">
        <f aca="false">IF(C161="","",IFERROR(TEXT(C161,"MMMM"),""))</f>
        <v/>
      </c>
      <c r="E161" s="47"/>
      <c r="F161" s="48" t="str">
        <f aca="false">IF(E161="","",IFERROR(INDEX('Chart of Accounts'!$C$4:$C$200,MATCH(TEXT(E161,"@"),TEXT('Chart of Accounts'!$B$4:$B$200,"@"),0)),"⚠ Not Found"))</f>
        <v/>
      </c>
      <c r="G161" s="49"/>
      <c r="H161" s="50"/>
      <c r="I161" s="50"/>
      <c r="J161" s="47"/>
    </row>
    <row r="162" customFormat="false" ht="16.5" hidden="false" customHeight="true" outlineLevel="0" collapsed="false">
      <c r="B162" s="37" t="str">
        <f aca="false">IF(C162="","",ROW()-9)</f>
        <v/>
      </c>
      <c r="C162" s="38"/>
      <c r="D162" s="39" t="str">
        <f aca="false">IF(C162="","",IFERROR(TEXT(C162,"MMMM"),""))</f>
        <v/>
      </c>
      <c r="E162" s="40"/>
      <c r="F162" s="41" t="str">
        <f aca="false">IF(E162="","",IFERROR(INDEX('Chart of Accounts'!$C$4:$C$200,MATCH(TEXT(E162,"@"),TEXT('Chart of Accounts'!$B$4:$B$200,"@"),0)),"⚠ Not Found"))</f>
        <v/>
      </c>
      <c r="G162" s="42"/>
      <c r="H162" s="43"/>
      <c r="I162" s="43"/>
      <c r="J162" s="40"/>
    </row>
    <row r="163" customFormat="false" ht="16.5" hidden="false" customHeight="true" outlineLevel="0" collapsed="false">
      <c r="B163" s="44" t="str">
        <f aca="false">IF(C163="","",ROW()-9)</f>
        <v/>
      </c>
      <c r="C163" s="45"/>
      <c r="D163" s="46" t="str">
        <f aca="false">IF(C163="","",IFERROR(TEXT(C163,"MMMM"),""))</f>
        <v/>
      </c>
      <c r="E163" s="47"/>
      <c r="F163" s="48" t="str">
        <f aca="false">IF(E163="","",IFERROR(INDEX('Chart of Accounts'!$C$4:$C$200,MATCH(TEXT(E163,"@"),TEXT('Chart of Accounts'!$B$4:$B$200,"@"),0)),"⚠ Not Found"))</f>
        <v/>
      </c>
      <c r="G163" s="49"/>
      <c r="H163" s="50"/>
      <c r="I163" s="50"/>
      <c r="J163" s="47"/>
    </row>
    <row r="164" customFormat="false" ht="16.5" hidden="false" customHeight="true" outlineLevel="0" collapsed="false">
      <c r="B164" s="37" t="str">
        <f aca="false">IF(C164="","",ROW()-9)</f>
        <v/>
      </c>
      <c r="C164" s="38"/>
      <c r="D164" s="39" t="str">
        <f aca="false">IF(C164="","",IFERROR(TEXT(C164,"MMMM"),""))</f>
        <v/>
      </c>
      <c r="E164" s="40"/>
      <c r="F164" s="41" t="str">
        <f aca="false">IF(E164="","",IFERROR(INDEX('Chart of Accounts'!$C$4:$C$200,MATCH(TEXT(E164,"@"),TEXT('Chart of Accounts'!$B$4:$B$200,"@"),0)),"⚠ Not Found"))</f>
        <v/>
      </c>
      <c r="G164" s="42"/>
      <c r="H164" s="43"/>
      <c r="I164" s="43"/>
      <c r="J164" s="40"/>
    </row>
    <row r="165" customFormat="false" ht="16.5" hidden="false" customHeight="true" outlineLevel="0" collapsed="false">
      <c r="B165" s="44" t="str">
        <f aca="false">IF(C165="","",ROW()-9)</f>
        <v/>
      </c>
      <c r="C165" s="45"/>
      <c r="D165" s="46" t="str">
        <f aca="false">IF(C165="","",IFERROR(TEXT(C165,"MMMM"),""))</f>
        <v/>
      </c>
      <c r="E165" s="47"/>
      <c r="F165" s="48" t="str">
        <f aca="false">IF(E165="","",IFERROR(INDEX('Chart of Accounts'!$C$4:$C$200,MATCH(TEXT(E165,"@"),TEXT('Chart of Accounts'!$B$4:$B$200,"@"),0)),"⚠ Not Found"))</f>
        <v/>
      </c>
      <c r="G165" s="49"/>
      <c r="H165" s="50"/>
      <c r="I165" s="50"/>
      <c r="J165" s="47"/>
    </row>
    <row r="166" customFormat="false" ht="16.5" hidden="false" customHeight="true" outlineLevel="0" collapsed="false">
      <c r="B166" s="37" t="str">
        <f aca="false">IF(C166="","",ROW()-9)</f>
        <v/>
      </c>
      <c r="C166" s="38"/>
      <c r="D166" s="39" t="str">
        <f aca="false">IF(C166="","",IFERROR(TEXT(C166,"MMMM"),""))</f>
        <v/>
      </c>
      <c r="E166" s="40"/>
      <c r="F166" s="41" t="str">
        <f aca="false">IF(E166="","",IFERROR(INDEX('Chart of Accounts'!$C$4:$C$200,MATCH(TEXT(E166,"@"),TEXT('Chart of Accounts'!$B$4:$B$200,"@"),0)),"⚠ Not Found"))</f>
        <v/>
      </c>
      <c r="G166" s="42"/>
      <c r="H166" s="43"/>
      <c r="I166" s="43"/>
      <c r="J166" s="40"/>
    </row>
    <row r="167" customFormat="false" ht="16.5" hidden="false" customHeight="true" outlineLevel="0" collapsed="false">
      <c r="B167" s="44" t="str">
        <f aca="false">IF(C167="","",ROW()-9)</f>
        <v/>
      </c>
      <c r="C167" s="45"/>
      <c r="D167" s="46" t="str">
        <f aca="false">IF(C167="","",IFERROR(TEXT(C167,"MMMM"),""))</f>
        <v/>
      </c>
      <c r="E167" s="47"/>
      <c r="F167" s="48" t="str">
        <f aca="false">IF(E167="","",IFERROR(INDEX('Chart of Accounts'!$C$4:$C$200,MATCH(TEXT(E167,"@"),TEXT('Chart of Accounts'!$B$4:$B$200,"@"),0)),"⚠ Not Found"))</f>
        <v/>
      </c>
      <c r="G167" s="49"/>
      <c r="H167" s="50"/>
      <c r="I167" s="50"/>
      <c r="J167" s="47"/>
    </row>
    <row r="168" customFormat="false" ht="16.5" hidden="false" customHeight="true" outlineLevel="0" collapsed="false">
      <c r="B168" s="37" t="str">
        <f aca="false">IF(C168="","",ROW()-9)</f>
        <v/>
      </c>
      <c r="C168" s="38"/>
      <c r="D168" s="39" t="str">
        <f aca="false">IF(C168="","",IFERROR(TEXT(C168,"MMMM"),""))</f>
        <v/>
      </c>
      <c r="E168" s="40"/>
      <c r="F168" s="41" t="str">
        <f aca="false">IF(E168="","",IFERROR(INDEX('Chart of Accounts'!$C$4:$C$200,MATCH(TEXT(E168,"@"),TEXT('Chart of Accounts'!$B$4:$B$200,"@"),0)),"⚠ Not Found"))</f>
        <v/>
      </c>
      <c r="G168" s="42"/>
      <c r="H168" s="43"/>
      <c r="I168" s="43"/>
      <c r="J168" s="40"/>
    </row>
    <row r="169" customFormat="false" ht="16.5" hidden="false" customHeight="true" outlineLevel="0" collapsed="false">
      <c r="B169" s="44" t="str">
        <f aca="false">IF(C169="","",ROW()-9)</f>
        <v/>
      </c>
      <c r="C169" s="45"/>
      <c r="D169" s="46" t="str">
        <f aca="false">IF(C169="","",IFERROR(TEXT(C169,"MMMM"),""))</f>
        <v/>
      </c>
      <c r="E169" s="47"/>
      <c r="F169" s="48" t="str">
        <f aca="false">IF(E169="","",IFERROR(INDEX('Chart of Accounts'!$C$4:$C$200,MATCH(TEXT(E169,"@"),TEXT('Chart of Accounts'!$B$4:$B$200,"@"),0)),"⚠ Not Found"))</f>
        <v/>
      </c>
      <c r="G169" s="49"/>
      <c r="H169" s="50"/>
      <c r="I169" s="50"/>
      <c r="J169" s="47"/>
    </row>
    <row r="170" customFormat="false" ht="16.5" hidden="false" customHeight="true" outlineLevel="0" collapsed="false">
      <c r="B170" s="37" t="str">
        <f aca="false">IF(C170="","",ROW()-9)</f>
        <v/>
      </c>
      <c r="C170" s="38"/>
      <c r="D170" s="39" t="str">
        <f aca="false">IF(C170="","",IFERROR(TEXT(C170,"MMMM"),""))</f>
        <v/>
      </c>
      <c r="E170" s="40"/>
      <c r="F170" s="41" t="str">
        <f aca="false">IF(E170="","",IFERROR(INDEX('Chart of Accounts'!$C$4:$C$200,MATCH(TEXT(E170,"@"),TEXT('Chart of Accounts'!$B$4:$B$200,"@"),0)),"⚠ Not Found"))</f>
        <v/>
      </c>
      <c r="G170" s="42"/>
      <c r="H170" s="43"/>
      <c r="I170" s="43"/>
      <c r="J170" s="40"/>
    </row>
    <row r="171" customFormat="false" ht="16.5" hidden="false" customHeight="true" outlineLevel="0" collapsed="false">
      <c r="B171" s="44" t="str">
        <f aca="false">IF(C171="","",ROW()-9)</f>
        <v/>
      </c>
      <c r="C171" s="45"/>
      <c r="D171" s="46" t="str">
        <f aca="false">IF(C171="","",IFERROR(TEXT(C171,"MMMM"),""))</f>
        <v/>
      </c>
      <c r="E171" s="47"/>
      <c r="F171" s="48" t="str">
        <f aca="false">IF(E171="","",IFERROR(INDEX('Chart of Accounts'!$C$4:$C$200,MATCH(TEXT(E171,"@"),TEXT('Chart of Accounts'!$B$4:$B$200,"@"),0)),"⚠ Not Found"))</f>
        <v/>
      </c>
      <c r="G171" s="49"/>
      <c r="H171" s="50"/>
      <c r="I171" s="50"/>
      <c r="J171" s="47"/>
    </row>
    <row r="172" customFormat="false" ht="16.5" hidden="false" customHeight="true" outlineLevel="0" collapsed="false">
      <c r="B172" s="37" t="str">
        <f aca="false">IF(C172="","",ROW()-9)</f>
        <v/>
      </c>
      <c r="C172" s="38"/>
      <c r="D172" s="39" t="str">
        <f aca="false">IF(C172="","",IFERROR(TEXT(C172,"MMMM"),""))</f>
        <v/>
      </c>
      <c r="E172" s="40"/>
      <c r="F172" s="41" t="str">
        <f aca="false">IF(E172="","",IFERROR(INDEX('Chart of Accounts'!$C$4:$C$200,MATCH(TEXT(E172,"@"),TEXT('Chart of Accounts'!$B$4:$B$200,"@"),0)),"⚠ Not Found"))</f>
        <v/>
      </c>
      <c r="G172" s="42"/>
      <c r="H172" s="43"/>
      <c r="I172" s="43"/>
      <c r="J172" s="40"/>
    </row>
    <row r="173" customFormat="false" ht="16.5" hidden="false" customHeight="true" outlineLevel="0" collapsed="false">
      <c r="B173" s="44" t="str">
        <f aca="false">IF(C173="","",ROW()-9)</f>
        <v/>
      </c>
      <c r="C173" s="45"/>
      <c r="D173" s="46" t="str">
        <f aca="false">IF(C173="","",IFERROR(TEXT(C173,"MMMM"),""))</f>
        <v/>
      </c>
      <c r="E173" s="47"/>
      <c r="F173" s="48" t="str">
        <f aca="false">IF(E173="","",IFERROR(INDEX('Chart of Accounts'!$C$4:$C$200,MATCH(TEXT(E173,"@"),TEXT('Chart of Accounts'!$B$4:$B$200,"@"),0)),"⚠ Not Found"))</f>
        <v/>
      </c>
      <c r="G173" s="49"/>
      <c r="H173" s="50"/>
      <c r="I173" s="50"/>
      <c r="J173" s="47"/>
    </row>
    <row r="174" customFormat="false" ht="16.5" hidden="false" customHeight="true" outlineLevel="0" collapsed="false">
      <c r="B174" s="37" t="str">
        <f aca="false">IF(C174="","",ROW()-9)</f>
        <v/>
      </c>
      <c r="C174" s="38"/>
      <c r="D174" s="39" t="str">
        <f aca="false">IF(C174="","",IFERROR(TEXT(C174,"MMMM"),""))</f>
        <v/>
      </c>
      <c r="E174" s="40"/>
      <c r="F174" s="41" t="str">
        <f aca="false">IF(E174="","",IFERROR(INDEX('Chart of Accounts'!$C$4:$C$200,MATCH(TEXT(E174,"@"),TEXT('Chart of Accounts'!$B$4:$B$200,"@"),0)),"⚠ Not Found"))</f>
        <v/>
      </c>
      <c r="G174" s="42"/>
      <c r="H174" s="43"/>
      <c r="I174" s="43"/>
      <c r="J174" s="40"/>
    </row>
    <row r="175" customFormat="false" ht="16.5" hidden="false" customHeight="true" outlineLevel="0" collapsed="false">
      <c r="B175" s="44" t="str">
        <f aca="false">IF(C175="","",ROW()-9)</f>
        <v/>
      </c>
      <c r="C175" s="45"/>
      <c r="D175" s="46" t="str">
        <f aca="false">IF(C175="","",IFERROR(TEXT(C175,"MMMM"),""))</f>
        <v/>
      </c>
      <c r="E175" s="47"/>
      <c r="F175" s="48" t="str">
        <f aca="false">IF(E175="","",IFERROR(INDEX('Chart of Accounts'!$C$4:$C$200,MATCH(TEXT(E175,"@"),TEXT('Chart of Accounts'!$B$4:$B$200,"@"),0)),"⚠ Not Found"))</f>
        <v/>
      </c>
      <c r="G175" s="49"/>
      <c r="H175" s="50"/>
      <c r="I175" s="50"/>
      <c r="J175" s="47"/>
    </row>
    <row r="176" customFormat="false" ht="16.5" hidden="false" customHeight="true" outlineLevel="0" collapsed="false">
      <c r="B176" s="37" t="str">
        <f aca="false">IF(C176="","",ROW()-9)</f>
        <v/>
      </c>
      <c r="C176" s="38"/>
      <c r="D176" s="39" t="str">
        <f aca="false">IF(C176="","",IFERROR(TEXT(C176,"MMMM"),""))</f>
        <v/>
      </c>
      <c r="E176" s="40"/>
      <c r="F176" s="41" t="str">
        <f aca="false">IF(E176="","",IFERROR(INDEX('Chart of Accounts'!$C$4:$C$200,MATCH(TEXT(E176,"@"),TEXT('Chart of Accounts'!$B$4:$B$200,"@"),0)),"⚠ Not Found"))</f>
        <v/>
      </c>
      <c r="G176" s="42"/>
      <c r="H176" s="43"/>
      <c r="I176" s="43"/>
      <c r="J176" s="40"/>
    </row>
    <row r="177" customFormat="false" ht="16.5" hidden="false" customHeight="true" outlineLevel="0" collapsed="false">
      <c r="B177" s="44" t="str">
        <f aca="false">IF(C177="","",ROW()-9)</f>
        <v/>
      </c>
      <c r="C177" s="45"/>
      <c r="D177" s="46" t="str">
        <f aca="false">IF(C177="","",IFERROR(TEXT(C177,"MMMM"),""))</f>
        <v/>
      </c>
      <c r="E177" s="47"/>
      <c r="F177" s="48" t="str">
        <f aca="false">IF(E177="","",IFERROR(INDEX('Chart of Accounts'!$C$4:$C$200,MATCH(TEXT(E177,"@"),TEXT('Chart of Accounts'!$B$4:$B$200,"@"),0)),"⚠ Not Found"))</f>
        <v/>
      </c>
      <c r="G177" s="49"/>
      <c r="H177" s="50"/>
      <c r="I177" s="50"/>
      <c r="J177" s="47"/>
    </row>
    <row r="178" customFormat="false" ht="16.5" hidden="false" customHeight="true" outlineLevel="0" collapsed="false">
      <c r="B178" s="37" t="str">
        <f aca="false">IF(C178="","",ROW()-9)</f>
        <v/>
      </c>
      <c r="C178" s="38"/>
      <c r="D178" s="39" t="str">
        <f aca="false">IF(C178="","",IFERROR(TEXT(C178,"MMMM"),""))</f>
        <v/>
      </c>
      <c r="E178" s="40"/>
      <c r="F178" s="41" t="str">
        <f aca="false">IF(E178="","",IFERROR(INDEX('Chart of Accounts'!$C$4:$C$200,MATCH(TEXT(E178,"@"),TEXT('Chart of Accounts'!$B$4:$B$200,"@"),0)),"⚠ Not Found"))</f>
        <v/>
      </c>
      <c r="G178" s="42"/>
      <c r="H178" s="43"/>
      <c r="I178" s="43"/>
      <c r="J178" s="40"/>
    </row>
    <row r="179" customFormat="false" ht="16.5" hidden="false" customHeight="true" outlineLevel="0" collapsed="false">
      <c r="B179" s="44" t="str">
        <f aca="false">IF(C179="","",ROW()-9)</f>
        <v/>
      </c>
      <c r="C179" s="45"/>
      <c r="D179" s="46" t="str">
        <f aca="false">IF(C179="","",IFERROR(TEXT(C179,"MMMM"),""))</f>
        <v/>
      </c>
      <c r="E179" s="47"/>
      <c r="F179" s="48" t="str">
        <f aca="false">IF(E179="","",IFERROR(INDEX('Chart of Accounts'!$C$4:$C$200,MATCH(TEXT(E179,"@"),TEXT('Chart of Accounts'!$B$4:$B$200,"@"),0)),"⚠ Not Found"))</f>
        <v/>
      </c>
      <c r="G179" s="49"/>
      <c r="H179" s="50"/>
      <c r="I179" s="50"/>
      <c r="J179" s="47"/>
    </row>
    <row r="180" customFormat="false" ht="16.5" hidden="false" customHeight="true" outlineLevel="0" collapsed="false">
      <c r="B180" s="37" t="str">
        <f aca="false">IF(C180="","",ROW()-9)</f>
        <v/>
      </c>
      <c r="C180" s="38"/>
      <c r="D180" s="39" t="str">
        <f aca="false">IF(C180="","",IFERROR(TEXT(C180,"MMMM"),""))</f>
        <v/>
      </c>
      <c r="E180" s="40"/>
      <c r="F180" s="41" t="str">
        <f aca="false">IF(E180="","",IFERROR(INDEX('Chart of Accounts'!$C$4:$C$200,MATCH(TEXT(E180,"@"),TEXT('Chart of Accounts'!$B$4:$B$200,"@"),0)),"⚠ Not Found"))</f>
        <v/>
      </c>
      <c r="G180" s="42"/>
      <c r="H180" s="43"/>
      <c r="I180" s="43"/>
      <c r="J180" s="40"/>
    </row>
    <row r="181" customFormat="false" ht="16.5" hidden="false" customHeight="true" outlineLevel="0" collapsed="false">
      <c r="B181" s="44" t="str">
        <f aca="false">IF(C181="","",ROW()-9)</f>
        <v/>
      </c>
      <c r="C181" s="45"/>
      <c r="D181" s="46" t="str">
        <f aca="false">IF(C181="","",IFERROR(TEXT(C181,"MMMM"),""))</f>
        <v/>
      </c>
      <c r="E181" s="47"/>
      <c r="F181" s="48" t="str">
        <f aca="false">IF(E181="","",IFERROR(INDEX('Chart of Accounts'!$C$4:$C$200,MATCH(TEXT(E181,"@"),TEXT('Chart of Accounts'!$B$4:$B$200,"@"),0)),"⚠ Not Found"))</f>
        <v/>
      </c>
      <c r="G181" s="49"/>
      <c r="H181" s="50"/>
      <c r="I181" s="50"/>
      <c r="J181" s="47"/>
    </row>
    <row r="182" customFormat="false" ht="16.5" hidden="false" customHeight="true" outlineLevel="0" collapsed="false">
      <c r="B182" s="37" t="str">
        <f aca="false">IF(C182="","",ROW()-9)</f>
        <v/>
      </c>
      <c r="C182" s="38"/>
      <c r="D182" s="39" t="str">
        <f aca="false">IF(C182="","",IFERROR(TEXT(C182,"MMMM"),""))</f>
        <v/>
      </c>
      <c r="E182" s="40"/>
      <c r="F182" s="41" t="str">
        <f aca="false">IF(E182="","",IFERROR(INDEX('Chart of Accounts'!$C$4:$C$200,MATCH(TEXT(E182,"@"),TEXT('Chart of Accounts'!$B$4:$B$200,"@"),0)),"⚠ Not Found"))</f>
        <v/>
      </c>
      <c r="G182" s="42"/>
      <c r="H182" s="43"/>
      <c r="I182" s="43"/>
      <c r="J182" s="40"/>
    </row>
    <row r="183" customFormat="false" ht="16.5" hidden="false" customHeight="true" outlineLevel="0" collapsed="false">
      <c r="B183" s="44" t="str">
        <f aca="false">IF(C183="","",ROW()-9)</f>
        <v/>
      </c>
      <c r="C183" s="45"/>
      <c r="D183" s="46" t="str">
        <f aca="false">IF(C183="","",IFERROR(TEXT(C183,"MMMM"),""))</f>
        <v/>
      </c>
      <c r="E183" s="47"/>
      <c r="F183" s="48" t="str">
        <f aca="false">IF(E183="","",IFERROR(INDEX('Chart of Accounts'!$C$4:$C$200,MATCH(TEXT(E183,"@"),TEXT('Chart of Accounts'!$B$4:$B$200,"@"),0)),"⚠ Not Found"))</f>
        <v/>
      </c>
      <c r="G183" s="49"/>
      <c r="H183" s="50"/>
      <c r="I183" s="50"/>
      <c r="J183" s="47"/>
    </row>
    <row r="184" customFormat="false" ht="16.5" hidden="false" customHeight="true" outlineLevel="0" collapsed="false">
      <c r="B184" s="37" t="str">
        <f aca="false">IF(C184="","",ROW()-9)</f>
        <v/>
      </c>
      <c r="C184" s="38"/>
      <c r="D184" s="39" t="str">
        <f aca="false">IF(C184="","",IFERROR(TEXT(C184,"MMMM"),""))</f>
        <v/>
      </c>
      <c r="E184" s="40"/>
      <c r="F184" s="41" t="str">
        <f aca="false">IF(E184="","",IFERROR(INDEX('Chart of Accounts'!$C$4:$C$200,MATCH(TEXT(E184,"@"),TEXT('Chart of Accounts'!$B$4:$B$200,"@"),0)),"⚠ Not Found"))</f>
        <v/>
      </c>
      <c r="G184" s="42"/>
      <c r="H184" s="43"/>
      <c r="I184" s="43"/>
      <c r="J184" s="40"/>
    </row>
    <row r="185" customFormat="false" ht="16.5" hidden="false" customHeight="true" outlineLevel="0" collapsed="false">
      <c r="B185" s="44" t="str">
        <f aca="false">IF(C185="","",ROW()-9)</f>
        <v/>
      </c>
      <c r="C185" s="45"/>
      <c r="D185" s="46" t="str">
        <f aca="false">IF(C185="","",IFERROR(TEXT(C185,"MMMM"),""))</f>
        <v/>
      </c>
      <c r="E185" s="47"/>
      <c r="F185" s="48" t="str">
        <f aca="false">IF(E185="","",IFERROR(INDEX('Chart of Accounts'!$C$4:$C$200,MATCH(TEXT(E185,"@"),TEXT('Chart of Accounts'!$B$4:$B$200,"@"),0)),"⚠ Not Found"))</f>
        <v/>
      </c>
      <c r="G185" s="49"/>
      <c r="H185" s="50"/>
      <c r="I185" s="50"/>
      <c r="J185" s="47"/>
    </row>
    <row r="186" customFormat="false" ht="16.5" hidden="false" customHeight="true" outlineLevel="0" collapsed="false">
      <c r="B186" s="37" t="str">
        <f aca="false">IF(C186="","",ROW()-9)</f>
        <v/>
      </c>
      <c r="C186" s="38"/>
      <c r="D186" s="39" t="str">
        <f aca="false">IF(C186="","",IFERROR(TEXT(C186,"MMMM"),""))</f>
        <v/>
      </c>
      <c r="E186" s="40"/>
      <c r="F186" s="41" t="str">
        <f aca="false">IF(E186="","",IFERROR(INDEX('Chart of Accounts'!$C$4:$C$200,MATCH(TEXT(E186,"@"),TEXT('Chart of Accounts'!$B$4:$B$200,"@"),0)),"⚠ Not Found"))</f>
        <v/>
      </c>
      <c r="G186" s="42"/>
      <c r="H186" s="43"/>
      <c r="I186" s="43"/>
      <c r="J186" s="40"/>
    </row>
    <row r="187" customFormat="false" ht="16.5" hidden="false" customHeight="true" outlineLevel="0" collapsed="false">
      <c r="B187" s="44" t="str">
        <f aca="false">IF(C187="","",ROW()-9)</f>
        <v/>
      </c>
      <c r="C187" s="45"/>
      <c r="D187" s="46" t="str">
        <f aca="false">IF(C187="","",IFERROR(TEXT(C187,"MMMM"),""))</f>
        <v/>
      </c>
      <c r="E187" s="47"/>
      <c r="F187" s="48" t="str">
        <f aca="false">IF(E187="","",IFERROR(INDEX('Chart of Accounts'!$C$4:$C$200,MATCH(TEXT(E187,"@"),TEXT('Chart of Accounts'!$B$4:$B$200,"@"),0)),"⚠ Not Found"))</f>
        <v/>
      </c>
      <c r="G187" s="49"/>
      <c r="H187" s="50"/>
      <c r="I187" s="50"/>
      <c r="J187" s="47"/>
    </row>
    <row r="188" customFormat="false" ht="16.5" hidden="false" customHeight="true" outlineLevel="0" collapsed="false">
      <c r="B188" s="37" t="str">
        <f aca="false">IF(C188="","",ROW()-9)</f>
        <v/>
      </c>
      <c r="C188" s="38"/>
      <c r="D188" s="39" t="str">
        <f aca="false">IF(C188="","",IFERROR(TEXT(C188,"MMMM"),""))</f>
        <v/>
      </c>
      <c r="E188" s="40"/>
      <c r="F188" s="41" t="str">
        <f aca="false">IF(E188="","",IFERROR(INDEX('Chart of Accounts'!$C$4:$C$200,MATCH(TEXT(E188,"@"),TEXT('Chart of Accounts'!$B$4:$B$200,"@"),0)),"⚠ Not Found"))</f>
        <v/>
      </c>
      <c r="G188" s="42"/>
      <c r="H188" s="43"/>
      <c r="I188" s="43"/>
      <c r="J188" s="40"/>
    </row>
    <row r="189" customFormat="false" ht="16.5" hidden="false" customHeight="true" outlineLevel="0" collapsed="false">
      <c r="B189" s="44" t="str">
        <f aca="false">IF(C189="","",ROW()-9)</f>
        <v/>
      </c>
      <c r="C189" s="45"/>
      <c r="D189" s="46" t="str">
        <f aca="false">IF(C189="","",IFERROR(TEXT(C189,"MMMM"),""))</f>
        <v/>
      </c>
      <c r="E189" s="47"/>
      <c r="F189" s="48" t="str">
        <f aca="false">IF(E189="","",IFERROR(INDEX('Chart of Accounts'!$C$4:$C$200,MATCH(TEXT(E189,"@"),TEXT('Chart of Accounts'!$B$4:$B$200,"@"),0)),"⚠ Not Found"))</f>
        <v/>
      </c>
      <c r="G189" s="49"/>
      <c r="H189" s="50"/>
      <c r="I189" s="50"/>
      <c r="J189" s="47"/>
    </row>
    <row r="190" customFormat="false" ht="16.5" hidden="false" customHeight="true" outlineLevel="0" collapsed="false">
      <c r="B190" s="37" t="str">
        <f aca="false">IF(C190="","",ROW()-9)</f>
        <v/>
      </c>
      <c r="C190" s="38"/>
      <c r="D190" s="39" t="str">
        <f aca="false">IF(C190="","",IFERROR(TEXT(C190,"MMMM"),""))</f>
        <v/>
      </c>
      <c r="E190" s="40"/>
      <c r="F190" s="41" t="str">
        <f aca="false">IF(E190="","",IFERROR(INDEX('Chart of Accounts'!$C$4:$C$200,MATCH(TEXT(E190,"@"),TEXT('Chart of Accounts'!$B$4:$B$200,"@"),0)),"⚠ Not Found"))</f>
        <v/>
      </c>
      <c r="G190" s="42"/>
      <c r="H190" s="43"/>
      <c r="I190" s="43"/>
      <c r="J190" s="40"/>
    </row>
    <row r="191" customFormat="false" ht="16.5" hidden="false" customHeight="true" outlineLevel="0" collapsed="false">
      <c r="B191" s="44" t="str">
        <f aca="false">IF(C191="","",ROW()-9)</f>
        <v/>
      </c>
      <c r="C191" s="45"/>
      <c r="D191" s="46" t="str">
        <f aca="false">IF(C191="","",IFERROR(TEXT(C191,"MMMM"),""))</f>
        <v/>
      </c>
      <c r="E191" s="47"/>
      <c r="F191" s="48" t="str">
        <f aca="false">IF(E191="","",IFERROR(INDEX('Chart of Accounts'!$C$4:$C$200,MATCH(TEXT(E191,"@"),TEXT('Chart of Accounts'!$B$4:$B$200,"@"),0)),"⚠ Not Found"))</f>
        <v/>
      </c>
      <c r="G191" s="49"/>
      <c r="H191" s="50"/>
      <c r="I191" s="50"/>
      <c r="J191" s="47"/>
    </row>
    <row r="192" customFormat="false" ht="16.5" hidden="false" customHeight="true" outlineLevel="0" collapsed="false">
      <c r="B192" s="37" t="str">
        <f aca="false">IF(C192="","",ROW()-9)</f>
        <v/>
      </c>
      <c r="C192" s="38"/>
      <c r="D192" s="39" t="str">
        <f aca="false">IF(C192="","",IFERROR(TEXT(C192,"MMMM"),""))</f>
        <v/>
      </c>
      <c r="E192" s="40"/>
      <c r="F192" s="41" t="str">
        <f aca="false">IF(E192="","",IFERROR(INDEX('Chart of Accounts'!$C$4:$C$200,MATCH(TEXT(E192,"@"),TEXT('Chart of Accounts'!$B$4:$B$200,"@"),0)),"⚠ Not Found"))</f>
        <v/>
      </c>
      <c r="G192" s="42"/>
      <c r="H192" s="43"/>
      <c r="I192" s="43"/>
      <c r="J192" s="40"/>
    </row>
    <row r="193" customFormat="false" ht="16.5" hidden="false" customHeight="true" outlineLevel="0" collapsed="false">
      <c r="B193" s="44" t="str">
        <f aca="false">IF(C193="","",ROW()-9)</f>
        <v/>
      </c>
      <c r="C193" s="45"/>
      <c r="D193" s="46" t="str">
        <f aca="false">IF(C193="","",IFERROR(TEXT(C193,"MMMM"),""))</f>
        <v/>
      </c>
      <c r="E193" s="47"/>
      <c r="F193" s="48" t="str">
        <f aca="false">IF(E193="","",IFERROR(INDEX('Chart of Accounts'!$C$4:$C$200,MATCH(TEXT(E193,"@"),TEXT('Chart of Accounts'!$B$4:$B$200,"@"),0)),"⚠ Not Found"))</f>
        <v/>
      </c>
      <c r="G193" s="49"/>
      <c r="H193" s="50"/>
      <c r="I193" s="50"/>
      <c r="J193" s="47"/>
    </row>
    <row r="194" customFormat="false" ht="16.5" hidden="false" customHeight="true" outlineLevel="0" collapsed="false">
      <c r="B194" s="37" t="str">
        <f aca="false">IF(C194="","",ROW()-9)</f>
        <v/>
      </c>
      <c r="C194" s="38"/>
      <c r="D194" s="39" t="str">
        <f aca="false">IF(C194="","",IFERROR(TEXT(C194,"MMMM"),""))</f>
        <v/>
      </c>
      <c r="E194" s="40"/>
      <c r="F194" s="41" t="str">
        <f aca="false">IF(E194="","",IFERROR(INDEX('Chart of Accounts'!$C$4:$C$200,MATCH(TEXT(E194,"@"),TEXT('Chart of Accounts'!$B$4:$B$200,"@"),0)),"⚠ Not Found"))</f>
        <v/>
      </c>
      <c r="G194" s="42"/>
      <c r="H194" s="43"/>
      <c r="I194" s="43"/>
      <c r="J194" s="40"/>
    </row>
    <row r="195" customFormat="false" ht="16.5" hidden="false" customHeight="true" outlineLevel="0" collapsed="false">
      <c r="B195" s="44" t="str">
        <f aca="false">IF(C195="","",ROW()-9)</f>
        <v/>
      </c>
      <c r="C195" s="45"/>
      <c r="D195" s="46" t="str">
        <f aca="false">IF(C195="","",IFERROR(TEXT(C195,"MMMM"),""))</f>
        <v/>
      </c>
      <c r="E195" s="47"/>
      <c r="F195" s="48" t="str">
        <f aca="false">IF(E195="","",IFERROR(INDEX('Chart of Accounts'!$C$4:$C$200,MATCH(TEXT(E195,"@"),TEXT('Chart of Accounts'!$B$4:$B$200,"@"),0)),"⚠ Not Found"))</f>
        <v/>
      </c>
      <c r="G195" s="49"/>
      <c r="H195" s="50"/>
      <c r="I195" s="50"/>
      <c r="J195" s="47"/>
    </row>
    <row r="196" customFormat="false" ht="16.5" hidden="false" customHeight="true" outlineLevel="0" collapsed="false">
      <c r="B196" s="37" t="str">
        <f aca="false">IF(C196="","",ROW()-9)</f>
        <v/>
      </c>
      <c r="C196" s="38"/>
      <c r="D196" s="39" t="str">
        <f aca="false">IF(C196="","",IFERROR(TEXT(C196,"MMMM"),""))</f>
        <v/>
      </c>
      <c r="E196" s="40"/>
      <c r="F196" s="41" t="str">
        <f aca="false">IF(E196="","",IFERROR(INDEX('Chart of Accounts'!$C$4:$C$200,MATCH(TEXT(E196,"@"),TEXT('Chart of Accounts'!$B$4:$B$200,"@"),0)),"⚠ Not Found"))</f>
        <v/>
      </c>
      <c r="G196" s="42"/>
      <c r="H196" s="43"/>
      <c r="I196" s="43"/>
      <c r="J196" s="40"/>
    </row>
    <row r="197" customFormat="false" ht="16.5" hidden="false" customHeight="true" outlineLevel="0" collapsed="false">
      <c r="B197" s="44" t="str">
        <f aca="false">IF(C197="","",ROW()-9)</f>
        <v/>
      </c>
      <c r="C197" s="45"/>
      <c r="D197" s="46" t="str">
        <f aca="false">IF(C197="","",IFERROR(TEXT(C197,"MMMM"),""))</f>
        <v/>
      </c>
      <c r="E197" s="47"/>
      <c r="F197" s="48" t="str">
        <f aca="false">IF(E197="","",IFERROR(INDEX('Chart of Accounts'!$C$4:$C$200,MATCH(TEXT(E197,"@"),TEXT('Chart of Accounts'!$B$4:$B$200,"@"),0)),"⚠ Not Found"))</f>
        <v/>
      </c>
      <c r="G197" s="49"/>
      <c r="H197" s="50"/>
      <c r="I197" s="50"/>
      <c r="J197" s="47"/>
    </row>
    <row r="198" customFormat="false" ht="16.5" hidden="false" customHeight="true" outlineLevel="0" collapsed="false">
      <c r="B198" s="37" t="str">
        <f aca="false">IF(C198="","",ROW()-9)</f>
        <v/>
      </c>
      <c r="C198" s="38"/>
      <c r="D198" s="39" t="str">
        <f aca="false">IF(C198="","",IFERROR(TEXT(C198,"MMMM"),""))</f>
        <v/>
      </c>
      <c r="E198" s="40"/>
      <c r="F198" s="41" t="str">
        <f aca="false">IF(E198="","",IFERROR(INDEX('Chart of Accounts'!$C$4:$C$200,MATCH(TEXT(E198,"@"),TEXT('Chart of Accounts'!$B$4:$B$200,"@"),0)),"⚠ Not Found"))</f>
        <v/>
      </c>
      <c r="G198" s="42"/>
      <c r="H198" s="43"/>
      <c r="I198" s="43"/>
      <c r="J198" s="40"/>
    </row>
    <row r="199" customFormat="false" ht="16.5" hidden="false" customHeight="true" outlineLevel="0" collapsed="false">
      <c r="B199" s="44" t="str">
        <f aca="false">IF(C199="","",ROW()-9)</f>
        <v/>
      </c>
      <c r="C199" s="45"/>
      <c r="D199" s="46" t="str">
        <f aca="false">IF(C199="","",IFERROR(TEXT(C199,"MMMM"),""))</f>
        <v/>
      </c>
      <c r="E199" s="47"/>
      <c r="F199" s="48" t="str">
        <f aca="false">IF(E199="","",IFERROR(INDEX('Chart of Accounts'!$C$4:$C$200,MATCH(TEXT(E199,"@"),TEXT('Chart of Accounts'!$B$4:$B$200,"@"),0)),"⚠ Not Found"))</f>
        <v/>
      </c>
      <c r="G199" s="49"/>
      <c r="H199" s="50"/>
      <c r="I199" s="50"/>
      <c r="J199" s="47"/>
    </row>
    <row r="200" customFormat="false" ht="16.5" hidden="false" customHeight="true" outlineLevel="0" collapsed="false">
      <c r="B200" s="37" t="str">
        <f aca="false">IF(C200="","",ROW()-9)</f>
        <v/>
      </c>
      <c r="C200" s="38"/>
      <c r="D200" s="39" t="str">
        <f aca="false">IF(C200="","",IFERROR(TEXT(C200,"MMMM"),""))</f>
        <v/>
      </c>
      <c r="E200" s="40"/>
      <c r="F200" s="41" t="str">
        <f aca="false">IF(E200="","",IFERROR(INDEX('Chart of Accounts'!$C$4:$C$200,MATCH(TEXT(E200,"@"),TEXT('Chart of Accounts'!$B$4:$B$200,"@"),0)),"⚠ Not Found"))</f>
        <v/>
      </c>
      <c r="G200" s="42"/>
      <c r="H200" s="43"/>
      <c r="I200" s="43"/>
      <c r="J200" s="40"/>
    </row>
    <row r="201" customFormat="false" ht="16.5" hidden="false" customHeight="true" outlineLevel="0" collapsed="false">
      <c r="B201" s="44" t="str">
        <f aca="false">IF(C201="","",ROW()-9)</f>
        <v/>
      </c>
      <c r="C201" s="45"/>
      <c r="D201" s="46" t="str">
        <f aca="false">IF(C201="","",IFERROR(TEXT(C201,"MMMM"),""))</f>
        <v/>
      </c>
      <c r="E201" s="47"/>
      <c r="F201" s="48" t="str">
        <f aca="false">IF(E201="","",IFERROR(INDEX('Chart of Accounts'!$C$4:$C$200,MATCH(TEXT(E201,"@"),TEXT('Chart of Accounts'!$B$4:$B$200,"@"),0)),"⚠ Not Found"))</f>
        <v/>
      </c>
      <c r="G201" s="49"/>
      <c r="H201" s="50"/>
      <c r="I201" s="50"/>
      <c r="J201" s="47"/>
    </row>
    <row r="202" customFormat="false" ht="16.5" hidden="false" customHeight="true" outlineLevel="0" collapsed="false">
      <c r="B202" s="37" t="str">
        <f aca="false">IF(C202="","",ROW()-9)</f>
        <v/>
      </c>
      <c r="C202" s="38"/>
      <c r="D202" s="39" t="str">
        <f aca="false">IF(C202="","",IFERROR(TEXT(C202,"MMMM"),""))</f>
        <v/>
      </c>
      <c r="E202" s="40"/>
      <c r="F202" s="41" t="str">
        <f aca="false">IF(E202="","",IFERROR(INDEX('Chart of Accounts'!$C$4:$C$200,MATCH(TEXT(E202,"@"),TEXT('Chart of Accounts'!$B$4:$B$200,"@"),0)),"⚠ Not Found"))</f>
        <v/>
      </c>
      <c r="G202" s="42"/>
      <c r="H202" s="43"/>
      <c r="I202" s="43"/>
      <c r="J202" s="40"/>
    </row>
    <row r="203" customFormat="false" ht="16.5" hidden="false" customHeight="true" outlineLevel="0" collapsed="false">
      <c r="B203" s="44" t="str">
        <f aca="false">IF(C203="","",ROW()-9)</f>
        <v/>
      </c>
      <c r="C203" s="45"/>
      <c r="D203" s="46" t="str">
        <f aca="false">IF(C203="","",IFERROR(TEXT(C203,"MMMM"),""))</f>
        <v/>
      </c>
      <c r="E203" s="47"/>
      <c r="F203" s="48" t="str">
        <f aca="false">IF(E203="","",IFERROR(INDEX('Chart of Accounts'!$C$4:$C$200,MATCH(TEXT(E203,"@"),TEXT('Chart of Accounts'!$B$4:$B$200,"@"),0)),"⚠ Not Found"))</f>
        <v/>
      </c>
      <c r="G203" s="49"/>
      <c r="H203" s="50"/>
      <c r="I203" s="50"/>
      <c r="J203" s="47"/>
    </row>
    <row r="204" customFormat="false" ht="16.5" hidden="false" customHeight="true" outlineLevel="0" collapsed="false">
      <c r="B204" s="37" t="str">
        <f aca="false">IF(C204="","",ROW()-9)</f>
        <v/>
      </c>
      <c r="C204" s="38"/>
      <c r="D204" s="39" t="str">
        <f aca="false">IF(C204="","",IFERROR(TEXT(C204,"MMMM"),""))</f>
        <v/>
      </c>
      <c r="E204" s="40"/>
      <c r="F204" s="41" t="str">
        <f aca="false">IF(E204="","",IFERROR(INDEX('Chart of Accounts'!$C$4:$C$200,MATCH(TEXT(E204,"@"),TEXT('Chart of Accounts'!$B$4:$B$200,"@"),0)),"⚠ Not Found"))</f>
        <v/>
      </c>
      <c r="G204" s="42"/>
      <c r="H204" s="43"/>
      <c r="I204" s="43"/>
      <c r="J204" s="40"/>
    </row>
    <row r="205" customFormat="false" ht="16.5" hidden="false" customHeight="true" outlineLevel="0" collapsed="false">
      <c r="B205" s="44" t="str">
        <f aca="false">IF(C205="","",ROW()-9)</f>
        <v/>
      </c>
      <c r="C205" s="45"/>
      <c r="D205" s="46" t="str">
        <f aca="false">IF(C205="","",IFERROR(TEXT(C205,"MMMM"),""))</f>
        <v/>
      </c>
      <c r="E205" s="47"/>
      <c r="F205" s="48" t="str">
        <f aca="false">IF(E205="","",IFERROR(INDEX('Chart of Accounts'!$C$4:$C$200,MATCH(TEXT(E205,"@"),TEXT('Chart of Accounts'!$B$4:$B$200,"@"),0)),"⚠ Not Found"))</f>
        <v/>
      </c>
      <c r="G205" s="49"/>
      <c r="H205" s="50"/>
      <c r="I205" s="50"/>
      <c r="J205" s="47"/>
    </row>
    <row r="206" customFormat="false" ht="16.5" hidden="false" customHeight="true" outlineLevel="0" collapsed="false">
      <c r="B206" s="37" t="str">
        <f aca="false">IF(C206="","",ROW()-9)</f>
        <v/>
      </c>
      <c r="C206" s="38"/>
      <c r="D206" s="39" t="str">
        <f aca="false">IF(C206="","",IFERROR(TEXT(C206,"MMMM"),""))</f>
        <v/>
      </c>
      <c r="E206" s="40"/>
      <c r="F206" s="41" t="str">
        <f aca="false">IF(E206="","",IFERROR(INDEX('Chart of Accounts'!$C$4:$C$200,MATCH(TEXT(E206,"@"),TEXT('Chart of Accounts'!$B$4:$B$200,"@"),0)),"⚠ Not Found"))</f>
        <v/>
      </c>
      <c r="G206" s="42"/>
      <c r="H206" s="43"/>
      <c r="I206" s="43"/>
      <c r="J206" s="40"/>
    </row>
    <row r="207" customFormat="false" ht="16.5" hidden="false" customHeight="true" outlineLevel="0" collapsed="false">
      <c r="B207" s="44" t="str">
        <f aca="false">IF(C207="","",ROW()-9)</f>
        <v/>
      </c>
      <c r="C207" s="45"/>
      <c r="D207" s="46" t="str">
        <f aca="false">IF(C207="","",IFERROR(TEXT(C207,"MMMM"),""))</f>
        <v/>
      </c>
      <c r="E207" s="47"/>
      <c r="F207" s="48" t="str">
        <f aca="false">IF(E207="","",IFERROR(INDEX('Chart of Accounts'!$C$4:$C$200,MATCH(TEXT(E207,"@"),TEXT('Chart of Accounts'!$B$4:$B$200,"@"),0)),"⚠ Not Found"))</f>
        <v/>
      </c>
      <c r="G207" s="49"/>
      <c r="H207" s="50"/>
      <c r="I207" s="50"/>
      <c r="J207" s="47"/>
    </row>
    <row r="208" customFormat="false" ht="16.5" hidden="false" customHeight="true" outlineLevel="0" collapsed="false">
      <c r="B208" s="37" t="str">
        <f aca="false">IF(C208="","",ROW()-9)</f>
        <v/>
      </c>
      <c r="C208" s="38"/>
      <c r="D208" s="39" t="str">
        <f aca="false">IF(C208="","",IFERROR(TEXT(C208,"MMMM"),""))</f>
        <v/>
      </c>
      <c r="E208" s="40"/>
      <c r="F208" s="41" t="str">
        <f aca="false">IF(E208="","",IFERROR(INDEX('Chart of Accounts'!$C$4:$C$200,MATCH(TEXT(E208,"@"),TEXT('Chart of Accounts'!$B$4:$B$200,"@"),0)),"⚠ Not Found"))</f>
        <v/>
      </c>
      <c r="G208" s="42"/>
      <c r="H208" s="43"/>
      <c r="I208" s="43"/>
      <c r="J208" s="40"/>
    </row>
    <row r="209" customFormat="false" ht="16.5" hidden="false" customHeight="true" outlineLevel="0" collapsed="false">
      <c r="B209" s="44" t="str">
        <f aca="false">IF(C209="","",ROW()-9)</f>
        <v/>
      </c>
      <c r="C209" s="45"/>
      <c r="D209" s="46" t="str">
        <f aca="false">IF(C209="","",IFERROR(TEXT(C209,"MMMM"),""))</f>
        <v/>
      </c>
      <c r="E209" s="47"/>
      <c r="F209" s="48" t="str">
        <f aca="false">IF(E209="","",IFERROR(INDEX('Chart of Accounts'!$C$4:$C$200,MATCH(TEXT(E209,"@"),TEXT('Chart of Accounts'!$B$4:$B$200,"@"),0)),"⚠ Not Found"))</f>
        <v/>
      </c>
      <c r="G209" s="49"/>
      <c r="H209" s="50"/>
      <c r="I209" s="50"/>
      <c r="J209" s="47"/>
    </row>
    <row r="210" customFormat="false" ht="16.5" hidden="false" customHeight="true" outlineLevel="0" collapsed="false">
      <c r="B210" s="37" t="str">
        <f aca="false">IF(C210="","",ROW()-9)</f>
        <v/>
      </c>
      <c r="C210" s="38"/>
      <c r="D210" s="39" t="str">
        <f aca="false">IF(C210="","",IFERROR(TEXT(C210,"MMMM"),""))</f>
        <v/>
      </c>
      <c r="E210" s="40"/>
      <c r="F210" s="41" t="str">
        <f aca="false">IF(E210="","",IFERROR(INDEX('Chart of Accounts'!$C$4:$C$200,MATCH(TEXT(E210,"@"),TEXT('Chart of Accounts'!$B$4:$B$200,"@"),0)),"⚠ Not Found"))</f>
        <v/>
      </c>
      <c r="G210" s="42"/>
      <c r="H210" s="43"/>
      <c r="I210" s="43"/>
      <c r="J210" s="40"/>
    </row>
    <row r="211" customFormat="false" ht="16.5" hidden="false" customHeight="true" outlineLevel="0" collapsed="false">
      <c r="B211" s="44" t="str">
        <f aca="false">IF(C211="","",ROW()-9)</f>
        <v/>
      </c>
      <c r="C211" s="45"/>
      <c r="D211" s="46" t="str">
        <f aca="false">IF(C211="","",IFERROR(TEXT(C211,"MMMM"),""))</f>
        <v/>
      </c>
      <c r="E211" s="47"/>
      <c r="F211" s="48" t="str">
        <f aca="false">IF(E211="","",IFERROR(INDEX('Chart of Accounts'!$C$4:$C$200,MATCH(TEXT(E211,"@"),TEXT('Chart of Accounts'!$B$4:$B$200,"@"),0)),"⚠ Not Found"))</f>
        <v/>
      </c>
      <c r="G211" s="49"/>
      <c r="H211" s="50"/>
      <c r="I211" s="50"/>
      <c r="J211" s="47"/>
    </row>
    <row r="212" customFormat="false" ht="16.5" hidden="false" customHeight="true" outlineLevel="0" collapsed="false">
      <c r="B212" s="37" t="str">
        <f aca="false">IF(C212="","",ROW()-9)</f>
        <v/>
      </c>
      <c r="C212" s="38"/>
      <c r="D212" s="39" t="str">
        <f aca="false">IF(C212="","",IFERROR(TEXT(C212,"MMMM"),""))</f>
        <v/>
      </c>
      <c r="E212" s="40"/>
      <c r="F212" s="41" t="str">
        <f aca="false">IF(E212="","",IFERROR(INDEX('Chart of Accounts'!$C$4:$C$200,MATCH(TEXT(E212,"@"),TEXT('Chart of Accounts'!$B$4:$B$200,"@"),0)),"⚠ Not Found"))</f>
        <v/>
      </c>
      <c r="G212" s="42"/>
      <c r="H212" s="43"/>
      <c r="I212" s="43"/>
      <c r="J212" s="40"/>
    </row>
    <row r="213" customFormat="false" ht="16.5" hidden="false" customHeight="true" outlineLevel="0" collapsed="false">
      <c r="B213" s="44" t="str">
        <f aca="false">IF(C213="","",ROW()-9)</f>
        <v/>
      </c>
      <c r="C213" s="45"/>
      <c r="D213" s="46" t="str">
        <f aca="false">IF(C213="","",IFERROR(TEXT(C213,"MMMM"),""))</f>
        <v/>
      </c>
      <c r="E213" s="47"/>
      <c r="F213" s="48" t="str">
        <f aca="false">IF(E213="","",IFERROR(INDEX('Chart of Accounts'!$C$4:$C$200,MATCH(TEXT(E213,"@"),TEXT('Chart of Accounts'!$B$4:$B$200,"@"),0)),"⚠ Not Found"))</f>
        <v/>
      </c>
      <c r="G213" s="49"/>
      <c r="H213" s="50"/>
      <c r="I213" s="50"/>
      <c r="J213" s="47"/>
    </row>
    <row r="214" customFormat="false" ht="16.5" hidden="false" customHeight="true" outlineLevel="0" collapsed="false">
      <c r="B214" s="37" t="str">
        <f aca="false">IF(C214="","",ROW()-9)</f>
        <v/>
      </c>
      <c r="C214" s="38"/>
      <c r="D214" s="39" t="str">
        <f aca="false">IF(C214="","",IFERROR(TEXT(C214,"MMMM"),""))</f>
        <v/>
      </c>
      <c r="E214" s="40"/>
      <c r="F214" s="41" t="str">
        <f aca="false">IF(E214="","",IFERROR(INDEX('Chart of Accounts'!$C$4:$C$200,MATCH(TEXT(E214,"@"),TEXT('Chart of Accounts'!$B$4:$B$200,"@"),0)),"⚠ Not Found"))</f>
        <v/>
      </c>
      <c r="G214" s="42"/>
      <c r="H214" s="43"/>
      <c r="I214" s="43"/>
      <c r="J214" s="40"/>
    </row>
    <row r="215" customFormat="false" ht="16.5" hidden="false" customHeight="true" outlineLevel="0" collapsed="false">
      <c r="B215" s="44" t="str">
        <f aca="false">IF(C215="","",ROW()-9)</f>
        <v/>
      </c>
      <c r="C215" s="45"/>
      <c r="D215" s="46" t="str">
        <f aca="false">IF(C215="","",IFERROR(TEXT(C215,"MMMM"),""))</f>
        <v/>
      </c>
      <c r="E215" s="47"/>
      <c r="F215" s="48" t="str">
        <f aca="false">IF(E215="","",IFERROR(INDEX('Chart of Accounts'!$C$4:$C$200,MATCH(TEXT(E215,"@"),TEXT('Chart of Accounts'!$B$4:$B$200,"@"),0)),"⚠ Not Found"))</f>
        <v/>
      </c>
      <c r="G215" s="49"/>
      <c r="H215" s="50"/>
      <c r="I215" s="50"/>
      <c r="J215" s="47"/>
    </row>
    <row r="216" customFormat="false" ht="16.5" hidden="false" customHeight="true" outlineLevel="0" collapsed="false">
      <c r="B216" s="37" t="str">
        <f aca="false">IF(C216="","",ROW()-9)</f>
        <v/>
      </c>
      <c r="C216" s="38"/>
      <c r="D216" s="39" t="str">
        <f aca="false">IF(C216="","",IFERROR(TEXT(C216,"MMMM"),""))</f>
        <v/>
      </c>
      <c r="E216" s="40"/>
      <c r="F216" s="41" t="str">
        <f aca="false">IF(E216="","",IFERROR(INDEX('Chart of Accounts'!$C$4:$C$200,MATCH(TEXT(E216,"@"),TEXT('Chart of Accounts'!$B$4:$B$200,"@"),0)),"⚠ Not Found"))</f>
        <v/>
      </c>
      <c r="G216" s="42"/>
      <c r="H216" s="43"/>
      <c r="I216" s="43"/>
      <c r="J216" s="40"/>
    </row>
    <row r="217" customFormat="false" ht="16.5" hidden="false" customHeight="true" outlineLevel="0" collapsed="false">
      <c r="B217" s="44" t="str">
        <f aca="false">IF(C217="","",ROW()-9)</f>
        <v/>
      </c>
      <c r="C217" s="45"/>
      <c r="D217" s="46" t="str">
        <f aca="false">IF(C217="","",IFERROR(TEXT(C217,"MMMM"),""))</f>
        <v/>
      </c>
      <c r="E217" s="47"/>
      <c r="F217" s="48" t="str">
        <f aca="false">IF(E217="","",IFERROR(INDEX('Chart of Accounts'!$C$4:$C$200,MATCH(TEXT(E217,"@"),TEXT('Chart of Accounts'!$B$4:$B$200,"@"),0)),"⚠ Not Found"))</f>
        <v/>
      </c>
      <c r="G217" s="49"/>
      <c r="H217" s="50"/>
      <c r="I217" s="50"/>
      <c r="J217" s="47"/>
    </row>
    <row r="218" customFormat="false" ht="16.5" hidden="false" customHeight="true" outlineLevel="0" collapsed="false">
      <c r="B218" s="37" t="str">
        <f aca="false">IF(C218="","",ROW()-9)</f>
        <v/>
      </c>
      <c r="C218" s="38"/>
      <c r="D218" s="39" t="str">
        <f aca="false">IF(C218="","",IFERROR(TEXT(C218,"MMMM"),""))</f>
        <v/>
      </c>
      <c r="E218" s="40"/>
      <c r="F218" s="41" t="str">
        <f aca="false">IF(E218="","",IFERROR(INDEX('Chart of Accounts'!$C$4:$C$200,MATCH(TEXT(E218,"@"),TEXT('Chart of Accounts'!$B$4:$B$200,"@"),0)),"⚠ Not Found"))</f>
        <v/>
      </c>
      <c r="G218" s="42"/>
      <c r="H218" s="43"/>
      <c r="I218" s="43"/>
      <c r="J218" s="40"/>
    </row>
    <row r="219" customFormat="false" ht="16.5" hidden="false" customHeight="true" outlineLevel="0" collapsed="false">
      <c r="B219" s="44" t="str">
        <f aca="false">IF(C219="","",ROW()-9)</f>
        <v/>
      </c>
      <c r="C219" s="45"/>
      <c r="D219" s="46" t="str">
        <f aca="false">IF(C219="","",IFERROR(TEXT(C219,"MMMM"),""))</f>
        <v/>
      </c>
      <c r="E219" s="47"/>
      <c r="F219" s="48" t="str">
        <f aca="false">IF(E219="","",IFERROR(INDEX('Chart of Accounts'!$C$4:$C$200,MATCH(TEXT(E219,"@"),TEXT('Chart of Accounts'!$B$4:$B$200,"@"),0)),"⚠ Not Found"))</f>
        <v/>
      </c>
      <c r="G219" s="49"/>
      <c r="H219" s="50"/>
      <c r="I219" s="50"/>
      <c r="J219" s="47"/>
    </row>
    <row r="220" customFormat="false" ht="16.5" hidden="false" customHeight="true" outlineLevel="0" collapsed="false">
      <c r="B220" s="37" t="str">
        <f aca="false">IF(C220="","",ROW()-9)</f>
        <v/>
      </c>
      <c r="C220" s="38"/>
      <c r="D220" s="39" t="str">
        <f aca="false">IF(C220="","",IFERROR(TEXT(C220,"MMMM"),""))</f>
        <v/>
      </c>
      <c r="E220" s="40"/>
      <c r="F220" s="41" t="str">
        <f aca="false">IF(E220="","",IFERROR(INDEX('Chart of Accounts'!$C$4:$C$200,MATCH(TEXT(E220,"@"),TEXT('Chart of Accounts'!$B$4:$B$200,"@"),0)),"⚠ Not Found"))</f>
        <v/>
      </c>
      <c r="G220" s="42"/>
      <c r="H220" s="43"/>
      <c r="I220" s="43"/>
      <c r="J220" s="40"/>
    </row>
    <row r="221" customFormat="false" ht="16.5" hidden="false" customHeight="true" outlineLevel="0" collapsed="false">
      <c r="B221" s="44" t="str">
        <f aca="false">IF(C221="","",ROW()-9)</f>
        <v/>
      </c>
      <c r="C221" s="45"/>
      <c r="D221" s="46" t="str">
        <f aca="false">IF(C221="","",IFERROR(TEXT(C221,"MMMM"),""))</f>
        <v/>
      </c>
      <c r="E221" s="47"/>
      <c r="F221" s="48" t="str">
        <f aca="false">IF(E221="","",IFERROR(INDEX('Chart of Accounts'!$C$4:$C$200,MATCH(TEXT(E221,"@"),TEXT('Chart of Accounts'!$B$4:$B$200,"@"),0)),"⚠ Not Found"))</f>
        <v/>
      </c>
      <c r="G221" s="49"/>
      <c r="H221" s="50"/>
      <c r="I221" s="50"/>
      <c r="J221" s="47"/>
    </row>
    <row r="222" customFormat="false" ht="16.5" hidden="false" customHeight="true" outlineLevel="0" collapsed="false">
      <c r="B222" s="37" t="str">
        <f aca="false">IF(C222="","",ROW()-9)</f>
        <v/>
      </c>
      <c r="C222" s="38"/>
      <c r="D222" s="39" t="str">
        <f aca="false">IF(C222="","",IFERROR(TEXT(C222,"MMMM"),""))</f>
        <v/>
      </c>
      <c r="E222" s="40"/>
      <c r="F222" s="41" t="str">
        <f aca="false">IF(E222="","",IFERROR(INDEX('Chart of Accounts'!$C$4:$C$200,MATCH(TEXT(E222,"@"),TEXT('Chart of Accounts'!$B$4:$B$200,"@"),0)),"⚠ Not Found"))</f>
        <v/>
      </c>
      <c r="G222" s="42"/>
      <c r="H222" s="43"/>
      <c r="I222" s="43"/>
      <c r="J222" s="40"/>
    </row>
    <row r="223" customFormat="false" ht="16.5" hidden="false" customHeight="true" outlineLevel="0" collapsed="false">
      <c r="B223" s="44" t="str">
        <f aca="false">IF(C223="","",ROW()-9)</f>
        <v/>
      </c>
      <c r="C223" s="45"/>
      <c r="D223" s="46" t="str">
        <f aca="false">IF(C223="","",IFERROR(TEXT(C223,"MMMM"),""))</f>
        <v/>
      </c>
      <c r="E223" s="47"/>
      <c r="F223" s="48" t="str">
        <f aca="false">IF(E223="","",IFERROR(INDEX('Chart of Accounts'!$C$4:$C$200,MATCH(TEXT(E223,"@"),TEXT('Chart of Accounts'!$B$4:$B$200,"@"),0)),"⚠ Not Found"))</f>
        <v/>
      </c>
      <c r="G223" s="49"/>
      <c r="H223" s="50"/>
      <c r="I223" s="50"/>
      <c r="J223" s="47"/>
    </row>
    <row r="224" customFormat="false" ht="16.5" hidden="false" customHeight="true" outlineLevel="0" collapsed="false">
      <c r="B224" s="37" t="str">
        <f aca="false">IF(C224="","",ROW()-9)</f>
        <v/>
      </c>
      <c r="C224" s="38"/>
      <c r="D224" s="39" t="str">
        <f aca="false">IF(C224="","",IFERROR(TEXT(C224,"MMMM"),""))</f>
        <v/>
      </c>
      <c r="E224" s="40"/>
      <c r="F224" s="41" t="str">
        <f aca="false">IF(E224="","",IFERROR(INDEX('Chart of Accounts'!$C$4:$C$200,MATCH(TEXT(E224,"@"),TEXT('Chart of Accounts'!$B$4:$B$200,"@"),0)),"⚠ Not Found"))</f>
        <v/>
      </c>
      <c r="G224" s="42"/>
      <c r="H224" s="43"/>
      <c r="I224" s="43"/>
      <c r="J224" s="40"/>
    </row>
    <row r="225" customFormat="false" ht="16.5" hidden="false" customHeight="true" outlineLevel="0" collapsed="false">
      <c r="B225" s="44" t="str">
        <f aca="false">IF(C225="","",ROW()-9)</f>
        <v/>
      </c>
      <c r="C225" s="45"/>
      <c r="D225" s="46" t="str">
        <f aca="false">IF(C225="","",IFERROR(TEXT(C225,"MMMM"),""))</f>
        <v/>
      </c>
      <c r="E225" s="47"/>
      <c r="F225" s="48" t="str">
        <f aca="false">IF(E225="","",IFERROR(INDEX('Chart of Accounts'!$C$4:$C$200,MATCH(TEXT(E225,"@"),TEXT('Chart of Accounts'!$B$4:$B$200,"@"),0)),"⚠ Not Found"))</f>
        <v/>
      </c>
      <c r="G225" s="49"/>
      <c r="H225" s="50"/>
      <c r="I225" s="50"/>
      <c r="J225" s="47"/>
    </row>
    <row r="226" customFormat="false" ht="16.5" hidden="false" customHeight="true" outlineLevel="0" collapsed="false">
      <c r="B226" s="37" t="str">
        <f aca="false">IF(C226="","",ROW()-9)</f>
        <v/>
      </c>
      <c r="C226" s="38"/>
      <c r="D226" s="39" t="str">
        <f aca="false">IF(C226="","",IFERROR(TEXT(C226,"MMMM"),""))</f>
        <v/>
      </c>
      <c r="E226" s="40"/>
      <c r="F226" s="41" t="str">
        <f aca="false">IF(E226="","",IFERROR(INDEX('Chart of Accounts'!$C$4:$C$200,MATCH(TEXT(E226,"@"),TEXT('Chart of Accounts'!$B$4:$B$200,"@"),0)),"⚠ Not Found"))</f>
        <v/>
      </c>
      <c r="G226" s="42"/>
      <c r="H226" s="43"/>
      <c r="I226" s="43"/>
      <c r="J226" s="40"/>
    </row>
    <row r="227" customFormat="false" ht="16.5" hidden="false" customHeight="true" outlineLevel="0" collapsed="false">
      <c r="B227" s="44" t="str">
        <f aca="false">IF(C227="","",ROW()-9)</f>
        <v/>
      </c>
      <c r="C227" s="45"/>
      <c r="D227" s="46" t="str">
        <f aca="false">IF(C227="","",IFERROR(TEXT(C227,"MMMM"),""))</f>
        <v/>
      </c>
      <c r="E227" s="47"/>
      <c r="F227" s="48" t="str">
        <f aca="false">IF(E227="","",IFERROR(INDEX('Chart of Accounts'!$C$4:$C$200,MATCH(TEXT(E227,"@"),TEXT('Chart of Accounts'!$B$4:$B$200,"@"),0)),"⚠ Not Found"))</f>
        <v/>
      </c>
      <c r="G227" s="49"/>
      <c r="H227" s="50"/>
      <c r="I227" s="50"/>
      <c r="J227" s="47"/>
    </row>
    <row r="228" customFormat="false" ht="16.5" hidden="false" customHeight="true" outlineLevel="0" collapsed="false">
      <c r="B228" s="37" t="str">
        <f aca="false">IF(C228="","",ROW()-9)</f>
        <v/>
      </c>
      <c r="C228" s="38"/>
      <c r="D228" s="39" t="str">
        <f aca="false">IF(C228="","",IFERROR(TEXT(C228,"MMMM"),""))</f>
        <v/>
      </c>
      <c r="E228" s="40"/>
      <c r="F228" s="41" t="str">
        <f aca="false">IF(E228="","",IFERROR(INDEX('Chart of Accounts'!$C$4:$C$200,MATCH(TEXT(E228,"@"),TEXT('Chart of Accounts'!$B$4:$B$200,"@"),0)),"⚠ Not Found"))</f>
        <v/>
      </c>
      <c r="G228" s="42"/>
      <c r="H228" s="43"/>
      <c r="I228" s="43"/>
      <c r="J228" s="40"/>
    </row>
    <row r="229" customFormat="false" ht="16.5" hidden="false" customHeight="true" outlineLevel="0" collapsed="false">
      <c r="B229" s="44" t="str">
        <f aca="false">IF(C229="","",ROW()-9)</f>
        <v/>
      </c>
      <c r="C229" s="45"/>
      <c r="D229" s="46" t="str">
        <f aca="false">IF(C229="","",IFERROR(TEXT(C229,"MMMM"),""))</f>
        <v/>
      </c>
      <c r="E229" s="47"/>
      <c r="F229" s="48" t="str">
        <f aca="false">IF(E229="","",IFERROR(INDEX('Chart of Accounts'!$C$4:$C$200,MATCH(TEXT(E229,"@"),TEXT('Chart of Accounts'!$B$4:$B$200,"@"),0)),"⚠ Not Found"))</f>
        <v/>
      </c>
      <c r="G229" s="49"/>
      <c r="H229" s="50"/>
      <c r="I229" s="50"/>
      <c r="J229" s="47"/>
    </row>
    <row r="230" customFormat="false" ht="16.5" hidden="false" customHeight="true" outlineLevel="0" collapsed="false">
      <c r="B230" s="37" t="str">
        <f aca="false">IF(C230="","",ROW()-9)</f>
        <v/>
      </c>
      <c r="C230" s="38"/>
      <c r="D230" s="39" t="str">
        <f aca="false">IF(C230="","",IFERROR(TEXT(C230,"MMMM"),""))</f>
        <v/>
      </c>
      <c r="E230" s="40"/>
      <c r="F230" s="41" t="str">
        <f aca="false">IF(E230="","",IFERROR(INDEX('Chart of Accounts'!$C$4:$C$200,MATCH(TEXT(E230,"@"),TEXT('Chart of Accounts'!$B$4:$B$200,"@"),0)),"⚠ Not Found"))</f>
        <v/>
      </c>
      <c r="G230" s="42"/>
      <c r="H230" s="43"/>
      <c r="I230" s="43"/>
      <c r="J230" s="40"/>
    </row>
    <row r="231" customFormat="false" ht="16.5" hidden="false" customHeight="true" outlineLevel="0" collapsed="false">
      <c r="B231" s="44" t="str">
        <f aca="false">IF(C231="","",ROW()-9)</f>
        <v/>
      </c>
      <c r="C231" s="45"/>
      <c r="D231" s="46" t="str">
        <f aca="false">IF(C231="","",IFERROR(TEXT(C231,"MMMM"),""))</f>
        <v/>
      </c>
      <c r="E231" s="47"/>
      <c r="F231" s="48" t="str">
        <f aca="false">IF(E231="","",IFERROR(INDEX('Chart of Accounts'!$C$4:$C$200,MATCH(TEXT(E231,"@"),TEXT('Chart of Accounts'!$B$4:$B$200,"@"),0)),"⚠ Not Found"))</f>
        <v/>
      </c>
      <c r="G231" s="49"/>
      <c r="H231" s="50"/>
      <c r="I231" s="50"/>
      <c r="J231" s="47"/>
    </row>
    <row r="232" customFormat="false" ht="16.5" hidden="false" customHeight="true" outlineLevel="0" collapsed="false">
      <c r="B232" s="37" t="str">
        <f aca="false">IF(C232="","",ROW()-9)</f>
        <v/>
      </c>
      <c r="C232" s="38"/>
      <c r="D232" s="39" t="str">
        <f aca="false">IF(C232="","",IFERROR(TEXT(C232,"MMMM"),""))</f>
        <v/>
      </c>
      <c r="E232" s="40"/>
      <c r="F232" s="41" t="str">
        <f aca="false">IF(E232="","",IFERROR(INDEX('Chart of Accounts'!$C$4:$C$200,MATCH(TEXT(E232,"@"),TEXT('Chart of Accounts'!$B$4:$B$200,"@"),0)),"⚠ Not Found"))</f>
        <v/>
      </c>
      <c r="G232" s="42"/>
      <c r="H232" s="43"/>
      <c r="I232" s="43"/>
      <c r="J232" s="40"/>
    </row>
    <row r="233" customFormat="false" ht="16.5" hidden="false" customHeight="true" outlineLevel="0" collapsed="false">
      <c r="B233" s="44" t="str">
        <f aca="false">IF(C233="","",ROW()-9)</f>
        <v/>
      </c>
      <c r="C233" s="45"/>
      <c r="D233" s="46" t="str">
        <f aca="false">IF(C233="","",IFERROR(TEXT(C233,"MMMM"),""))</f>
        <v/>
      </c>
      <c r="E233" s="47"/>
      <c r="F233" s="48" t="str">
        <f aca="false">IF(E233="","",IFERROR(INDEX('Chart of Accounts'!$C$4:$C$200,MATCH(TEXT(E233,"@"),TEXT('Chart of Accounts'!$B$4:$B$200,"@"),0)),"⚠ Not Found"))</f>
        <v/>
      </c>
      <c r="G233" s="49"/>
      <c r="H233" s="50"/>
      <c r="I233" s="50"/>
      <c r="J233" s="47"/>
    </row>
    <row r="234" customFormat="false" ht="16.5" hidden="false" customHeight="true" outlineLevel="0" collapsed="false">
      <c r="B234" s="37" t="str">
        <f aca="false">IF(C234="","",ROW()-9)</f>
        <v/>
      </c>
      <c r="C234" s="38"/>
      <c r="D234" s="39" t="str">
        <f aca="false">IF(C234="","",IFERROR(TEXT(C234,"MMMM"),""))</f>
        <v/>
      </c>
      <c r="E234" s="40"/>
      <c r="F234" s="41" t="str">
        <f aca="false">IF(E234="","",IFERROR(INDEX('Chart of Accounts'!$C$4:$C$200,MATCH(TEXT(E234,"@"),TEXT('Chart of Accounts'!$B$4:$B$200,"@"),0)),"⚠ Not Found"))</f>
        <v/>
      </c>
      <c r="G234" s="42"/>
      <c r="H234" s="43"/>
      <c r="I234" s="43"/>
      <c r="J234" s="40"/>
    </row>
    <row r="235" customFormat="false" ht="16.5" hidden="false" customHeight="true" outlineLevel="0" collapsed="false">
      <c r="B235" s="44" t="str">
        <f aca="false">IF(C235="","",ROW()-9)</f>
        <v/>
      </c>
      <c r="C235" s="45"/>
      <c r="D235" s="46" t="str">
        <f aca="false">IF(C235="","",IFERROR(TEXT(C235,"MMMM"),""))</f>
        <v/>
      </c>
      <c r="E235" s="47"/>
      <c r="F235" s="48" t="str">
        <f aca="false">IF(E235="","",IFERROR(INDEX('Chart of Accounts'!$C$4:$C$200,MATCH(TEXT(E235,"@"),TEXT('Chart of Accounts'!$B$4:$B$200,"@"),0)),"⚠ Not Found"))</f>
        <v/>
      </c>
      <c r="G235" s="49"/>
      <c r="H235" s="50"/>
      <c r="I235" s="50"/>
      <c r="J235" s="47"/>
    </row>
    <row r="236" customFormat="false" ht="16.5" hidden="false" customHeight="true" outlineLevel="0" collapsed="false">
      <c r="B236" s="37" t="str">
        <f aca="false">IF(C236="","",ROW()-9)</f>
        <v/>
      </c>
      <c r="C236" s="38"/>
      <c r="D236" s="39" t="str">
        <f aca="false">IF(C236="","",IFERROR(TEXT(C236,"MMMM"),""))</f>
        <v/>
      </c>
      <c r="E236" s="40"/>
      <c r="F236" s="41" t="str">
        <f aca="false">IF(E236="","",IFERROR(INDEX('Chart of Accounts'!$C$4:$C$200,MATCH(TEXT(E236,"@"),TEXT('Chart of Accounts'!$B$4:$B$200,"@"),0)),"⚠ Not Found"))</f>
        <v/>
      </c>
      <c r="G236" s="42"/>
      <c r="H236" s="43"/>
      <c r="I236" s="43"/>
      <c r="J236" s="40"/>
    </row>
    <row r="237" customFormat="false" ht="16.5" hidden="false" customHeight="true" outlineLevel="0" collapsed="false">
      <c r="B237" s="44" t="str">
        <f aca="false">IF(C237="","",ROW()-9)</f>
        <v/>
      </c>
      <c r="C237" s="45"/>
      <c r="D237" s="46" t="str">
        <f aca="false">IF(C237="","",IFERROR(TEXT(C237,"MMMM"),""))</f>
        <v/>
      </c>
      <c r="E237" s="47"/>
      <c r="F237" s="48" t="str">
        <f aca="false">IF(E237="","",IFERROR(INDEX('Chart of Accounts'!$C$4:$C$200,MATCH(TEXT(E237,"@"),TEXT('Chart of Accounts'!$B$4:$B$200,"@"),0)),"⚠ Not Found"))</f>
        <v/>
      </c>
      <c r="G237" s="49"/>
      <c r="H237" s="50"/>
      <c r="I237" s="50"/>
      <c r="J237" s="47"/>
    </row>
    <row r="238" customFormat="false" ht="16.5" hidden="false" customHeight="true" outlineLevel="0" collapsed="false">
      <c r="B238" s="37" t="str">
        <f aca="false">IF(C238="","",ROW()-9)</f>
        <v/>
      </c>
      <c r="C238" s="38"/>
      <c r="D238" s="39" t="str">
        <f aca="false">IF(C238="","",IFERROR(TEXT(C238,"MMMM"),""))</f>
        <v/>
      </c>
      <c r="E238" s="40"/>
      <c r="F238" s="41" t="str">
        <f aca="false">IF(E238="","",IFERROR(INDEX('Chart of Accounts'!$C$4:$C$200,MATCH(TEXT(E238,"@"),TEXT('Chart of Accounts'!$B$4:$B$200,"@"),0)),"⚠ Not Found"))</f>
        <v/>
      </c>
      <c r="G238" s="42"/>
      <c r="H238" s="43"/>
      <c r="I238" s="43"/>
      <c r="J238" s="40"/>
    </row>
    <row r="239" customFormat="false" ht="16.5" hidden="false" customHeight="true" outlineLevel="0" collapsed="false">
      <c r="B239" s="44" t="str">
        <f aca="false">IF(C239="","",ROW()-9)</f>
        <v/>
      </c>
      <c r="C239" s="45"/>
      <c r="D239" s="46" t="str">
        <f aca="false">IF(C239="","",IFERROR(TEXT(C239,"MMMM"),""))</f>
        <v/>
      </c>
      <c r="E239" s="47"/>
      <c r="F239" s="48" t="str">
        <f aca="false">IF(E239="","",IFERROR(INDEX('Chart of Accounts'!$C$4:$C$200,MATCH(TEXT(E239,"@"),TEXT('Chart of Accounts'!$B$4:$B$200,"@"),0)),"⚠ Not Found"))</f>
        <v/>
      </c>
      <c r="G239" s="49"/>
      <c r="H239" s="50"/>
      <c r="I239" s="50"/>
      <c r="J239" s="47"/>
    </row>
    <row r="240" customFormat="false" ht="16.5" hidden="false" customHeight="true" outlineLevel="0" collapsed="false">
      <c r="B240" s="37" t="str">
        <f aca="false">IF(C240="","",ROW()-9)</f>
        <v/>
      </c>
      <c r="C240" s="38"/>
      <c r="D240" s="39" t="str">
        <f aca="false">IF(C240="","",IFERROR(TEXT(C240,"MMMM"),""))</f>
        <v/>
      </c>
      <c r="E240" s="40"/>
      <c r="F240" s="41" t="str">
        <f aca="false">IF(E240="","",IFERROR(INDEX('Chart of Accounts'!$C$4:$C$200,MATCH(TEXT(E240,"@"),TEXT('Chart of Accounts'!$B$4:$B$200,"@"),0)),"⚠ Not Found"))</f>
        <v/>
      </c>
      <c r="G240" s="42"/>
      <c r="H240" s="43"/>
      <c r="I240" s="43"/>
      <c r="J240" s="40"/>
    </row>
    <row r="241" customFormat="false" ht="16.5" hidden="false" customHeight="true" outlineLevel="0" collapsed="false">
      <c r="B241" s="44" t="str">
        <f aca="false">IF(C241="","",ROW()-9)</f>
        <v/>
      </c>
      <c r="C241" s="45"/>
      <c r="D241" s="46" t="str">
        <f aca="false">IF(C241="","",IFERROR(TEXT(C241,"MMMM"),""))</f>
        <v/>
      </c>
      <c r="E241" s="47"/>
      <c r="F241" s="48" t="str">
        <f aca="false">IF(E241="","",IFERROR(INDEX('Chart of Accounts'!$C$4:$C$200,MATCH(TEXT(E241,"@"),TEXT('Chart of Accounts'!$B$4:$B$200,"@"),0)),"⚠ Not Found"))</f>
        <v/>
      </c>
      <c r="G241" s="49"/>
      <c r="H241" s="50"/>
      <c r="I241" s="50"/>
      <c r="J241" s="47"/>
    </row>
    <row r="242" customFormat="false" ht="16.5" hidden="false" customHeight="true" outlineLevel="0" collapsed="false">
      <c r="B242" s="37" t="str">
        <f aca="false">IF(C242="","",ROW()-9)</f>
        <v/>
      </c>
      <c r="C242" s="38"/>
      <c r="D242" s="39" t="str">
        <f aca="false">IF(C242="","",IFERROR(TEXT(C242,"MMMM"),""))</f>
        <v/>
      </c>
      <c r="E242" s="40"/>
      <c r="F242" s="41" t="str">
        <f aca="false">IF(E242="","",IFERROR(INDEX('Chart of Accounts'!$C$4:$C$200,MATCH(TEXT(E242,"@"),TEXT('Chart of Accounts'!$B$4:$B$200,"@"),0)),"⚠ Not Found"))</f>
        <v/>
      </c>
      <c r="G242" s="42"/>
      <c r="H242" s="43"/>
      <c r="I242" s="43"/>
      <c r="J242" s="40"/>
    </row>
    <row r="243" customFormat="false" ht="16.5" hidden="false" customHeight="true" outlineLevel="0" collapsed="false">
      <c r="B243" s="44" t="str">
        <f aca="false">IF(C243="","",ROW()-9)</f>
        <v/>
      </c>
      <c r="C243" s="45"/>
      <c r="D243" s="46" t="str">
        <f aca="false">IF(C243="","",IFERROR(TEXT(C243,"MMMM"),""))</f>
        <v/>
      </c>
      <c r="E243" s="47"/>
      <c r="F243" s="48" t="str">
        <f aca="false">IF(E243="","",IFERROR(INDEX('Chart of Accounts'!$C$4:$C$200,MATCH(TEXT(E243,"@"),TEXT('Chart of Accounts'!$B$4:$B$200,"@"),0)),"⚠ Not Found"))</f>
        <v/>
      </c>
      <c r="G243" s="49"/>
      <c r="H243" s="50"/>
      <c r="I243" s="50"/>
      <c r="J243" s="47"/>
    </row>
    <row r="244" customFormat="false" ht="16.5" hidden="false" customHeight="true" outlineLevel="0" collapsed="false">
      <c r="B244" s="37" t="str">
        <f aca="false">IF(C244="","",ROW()-9)</f>
        <v/>
      </c>
      <c r="C244" s="38"/>
      <c r="D244" s="39" t="str">
        <f aca="false">IF(C244="","",IFERROR(TEXT(C244,"MMMM"),""))</f>
        <v/>
      </c>
      <c r="E244" s="40"/>
      <c r="F244" s="41" t="str">
        <f aca="false">IF(E244="","",IFERROR(INDEX('Chart of Accounts'!$C$4:$C$200,MATCH(TEXT(E244,"@"),TEXT('Chart of Accounts'!$B$4:$B$200,"@"),0)),"⚠ Not Found"))</f>
        <v/>
      </c>
      <c r="G244" s="42"/>
      <c r="H244" s="43"/>
      <c r="I244" s="43"/>
      <c r="J244" s="40"/>
    </row>
    <row r="245" customFormat="false" ht="16.5" hidden="false" customHeight="true" outlineLevel="0" collapsed="false">
      <c r="B245" s="44" t="str">
        <f aca="false">IF(C245="","",ROW()-9)</f>
        <v/>
      </c>
      <c r="C245" s="45"/>
      <c r="D245" s="46" t="str">
        <f aca="false">IF(C245="","",IFERROR(TEXT(C245,"MMMM"),""))</f>
        <v/>
      </c>
      <c r="E245" s="47"/>
      <c r="F245" s="48" t="str">
        <f aca="false">IF(E245="","",IFERROR(INDEX('Chart of Accounts'!$C$4:$C$200,MATCH(TEXT(E245,"@"),TEXT('Chart of Accounts'!$B$4:$B$200,"@"),0)),"⚠ Not Found"))</f>
        <v/>
      </c>
      <c r="G245" s="49"/>
      <c r="H245" s="50"/>
      <c r="I245" s="50"/>
      <c r="J245" s="47"/>
    </row>
    <row r="246" customFormat="false" ht="16.5" hidden="false" customHeight="true" outlineLevel="0" collapsed="false">
      <c r="B246" s="37" t="str">
        <f aca="false">IF(C246="","",ROW()-9)</f>
        <v/>
      </c>
      <c r="C246" s="38"/>
      <c r="D246" s="39" t="str">
        <f aca="false">IF(C246="","",IFERROR(TEXT(C246,"MMMM"),""))</f>
        <v/>
      </c>
      <c r="E246" s="40"/>
      <c r="F246" s="41" t="str">
        <f aca="false">IF(E246="","",IFERROR(INDEX('Chart of Accounts'!$C$4:$C$200,MATCH(TEXT(E246,"@"),TEXT('Chart of Accounts'!$B$4:$B$200,"@"),0)),"⚠ Not Found"))</f>
        <v/>
      </c>
      <c r="G246" s="42"/>
      <c r="H246" s="43"/>
      <c r="I246" s="43"/>
      <c r="J246" s="40"/>
    </row>
    <row r="247" customFormat="false" ht="16.5" hidden="false" customHeight="true" outlineLevel="0" collapsed="false">
      <c r="B247" s="44" t="str">
        <f aca="false">IF(C247="","",ROW()-9)</f>
        <v/>
      </c>
      <c r="C247" s="45"/>
      <c r="D247" s="46" t="str">
        <f aca="false">IF(C247="","",IFERROR(TEXT(C247,"MMMM"),""))</f>
        <v/>
      </c>
      <c r="E247" s="47"/>
      <c r="F247" s="48" t="str">
        <f aca="false">IF(E247="","",IFERROR(INDEX('Chart of Accounts'!$C$4:$C$200,MATCH(TEXT(E247,"@"),TEXT('Chart of Accounts'!$B$4:$B$200,"@"),0)),"⚠ Not Found"))</f>
        <v/>
      </c>
      <c r="G247" s="49"/>
      <c r="H247" s="50"/>
      <c r="I247" s="50"/>
      <c r="J247" s="47"/>
    </row>
    <row r="248" customFormat="false" ht="16.5" hidden="false" customHeight="true" outlineLevel="0" collapsed="false">
      <c r="B248" s="37" t="str">
        <f aca="false">IF(C248="","",ROW()-9)</f>
        <v/>
      </c>
      <c r="C248" s="38"/>
      <c r="D248" s="39" t="str">
        <f aca="false">IF(C248="","",IFERROR(TEXT(C248,"MMMM"),""))</f>
        <v/>
      </c>
      <c r="E248" s="40"/>
      <c r="F248" s="41" t="str">
        <f aca="false">IF(E248="","",IFERROR(INDEX('Chart of Accounts'!$C$4:$C$200,MATCH(TEXT(E248,"@"),TEXT('Chart of Accounts'!$B$4:$B$200,"@"),0)),"⚠ Not Found"))</f>
        <v/>
      </c>
      <c r="G248" s="42"/>
      <c r="H248" s="43"/>
      <c r="I248" s="43"/>
      <c r="J248" s="40"/>
    </row>
    <row r="249" customFormat="false" ht="16.5" hidden="false" customHeight="true" outlineLevel="0" collapsed="false">
      <c r="B249" s="44" t="str">
        <f aca="false">IF(C249="","",ROW()-9)</f>
        <v/>
      </c>
      <c r="C249" s="45"/>
      <c r="D249" s="46" t="str">
        <f aca="false">IF(C249="","",IFERROR(TEXT(C249,"MMMM"),""))</f>
        <v/>
      </c>
      <c r="E249" s="47"/>
      <c r="F249" s="48" t="str">
        <f aca="false">IF(E249="","",IFERROR(INDEX('Chart of Accounts'!$C$4:$C$200,MATCH(TEXT(E249,"@"),TEXT('Chart of Accounts'!$B$4:$B$200,"@"),0)),"⚠ Not Found"))</f>
        <v/>
      </c>
      <c r="G249" s="49"/>
      <c r="H249" s="50"/>
      <c r="I249" s="50"/>
      <c r="J249" s="47"/>
    </row>
    <row r="250" customFormat="false" ht="16.5" hidden="false" customHeight="true" outlineLevel="0" collapsed="false">
      <c r="B250" s="37" t="str">
        <f aca="false">IF(C250="","",ROW()-9)</f>
        <v/>
      </c>
      <c r="C250" s="38"/>
      <c r="D250" s="39" t="str">
        <f aca="false">IF(C250="","",IFERROR(TEXT(C250,"MMMM"),""))</f>
        <v/>
      </c>
      <c r="E250" s="40"/>
      <c r="F250" s="41" t="str">
        <f aca="false">IF(E250="","",IFERROR(INDEX('Chart of Accounts'!$C$4:$C$200,MATCH(TEXT(E250,"@"),TEXT('Chart of Accounts'!$B$4:$B$200,"@"),0)),"⚠ Not Found"))</f>
        <v/>
      </c>
      <c r="G250" s="42"/>
      <c r="H250" s="43"/>
      <c r="I250" s="43"/>
      <c r="J250" s="40"/>
    </row>
    <row r="251" customFormat="false" ht="16.5" hidden="false" customHeight="true" outlineLevel="0" collapsed="false">
      <c r="B251" s="44" t="str">
        <f aca="false">IF(C251="","",ROW()-9)</f>
        <v/>
      </c>
      <c r="C251" s="45"/>
      <c r="D251" s="46" t="str">
        <f aca="false">IF(C251="","",IFERROR(TEXT(C251,"MMMM"),""))</f>
        <v/>
      </c>
      <c r="E251" s="47"/>
      <c r="F251" s="48" t="str">
        <f aca="false">IF(E251="","",IFERROR(INDEX('Chart of Accounts'!$C$4:$C$200,MATCH(TEXT(E251,"@"),TEXT('Chart of Accounts'!$B$4:$B$200,"@"),0)),"⚠ Not Found"))</f>
        <v/>
      </c>
      <c r="G251" s="49"/>
      <c r="H251" s="50"/>
      <c r="I251" s="50"/>
      <c r="J251" s="47"/>
    </row>
    <row r="252" customFormat="false" ht="16.5" hidden="false" customHeight="true" outlineLevel="0" collapsed="false">
      <c r="B252" s="37" t="str">
        <f aca="false">IF(C252="","",ROW()-9)</f>
        <v/>
      </c>
      <c r="C252" s="38"/>
      <c r="D252" s="39" t="str">
        <f aca="false">IF(C252="","",IFERROR(TEXT(C252,"MMMM"),""))</f>
        <v/>
      </c>
      <c r="E252" s="40"/>
      <c r="F252" s="41" t="str">
        <f aca="false">IF(E252="","",IFERROR(INDEX('Chart of Accounts'!$C$4:$C$200,MATCH(TEXT(E252,"@"),TEXT('Chart of Accounts'!$B$4:$B$200,"@"),0)),"⚠ Not Found"))</f>
        <v/>
      </c>
      <c r="G252" s="42"/>
      <c r="H252" s="43"/>
      <c r="I252" s="43"/>
      <c r="J252" s="40"/>
    </row>
    <row r="253" customFormat="false" ht="16.5" hidden="false" customHeight="true" outlineLevel="0" collapsed="false">
      <c r="B253" s="44" t="str">
        <f aca="false">IF(C253="","",ROW()-9)</f>
        <v/>
      </c>
      <c r="C253" s="45"/>
      <c r="D253" s="46" t="str">
        <f aca="false">IF(C253="","",IFERROR(TEXT(C253,"MMMM"),""))</f>
        <v/>
      </c>
      <c r="E253" s="47"/>
      <c r="F253" s="48" t="str">
        <f aca="false">IF(E253="","",IFERROR(INDEX('Chart of Accounts'!$C$4:$C$200,MATCH(TEXT(E253,"@"),TEXT('Chart of Accounts'!$B$4:$B$200,"@"),0)),"⚠ Not Found"))</f>
        <v/>
      </c>
      <c r="G253" s="49"/>
      <c r="H253" s="50"/>
      <c r="I253" s="50"/>
      <c r="J253" s="47"/>
    </row>
    <row r="254" customFormat="false" ht="16.5" hidden="false" customHeight="true" outlineLevel="0" collapsed="false">
      <c r="B254" s="37" t="str">
        <f aca="false">IF(C254="","",ROW()-9)</f>
        <v/>
      </c>
      <c r="C254" s="38"/>
      <c r="D254" s="39" t="str">
        <f aca="false">IF(C254="","",IFERROR(TEXT(C254,"MMMM"),""))</f>
        <v/>
      </c>
      <c r="E254" s="40"/>
      <c r="F254" s="41" t="str">
        <f aca="false">IF(E254="","",IFERROR(INDEX('Chart of Accounts'!$C$4:$C$200,MATCH(TEXT(E254,"@"),TEXT('Chart of Accounts'!$B$4:$B$200,"@"),0)),"⚠ Not Found"))</f>
        <v/>
      </c>
      <c r="G254" s="42"/>
      <c r="H254" s="43"/>
      <c r="I254" s="43"/>
      <c r="J254" s="40"/>
    </row>
    <row r="255" customFormat="false" ht="16.5" hidden="false" customHeight="true" outlineLevel="0" collapsed="false">
      <c r="B255" s="44" t="str">
        <f aca="false">IF(C255="","",ROW()-9)</f>
        <v/>
      </c>
      <c r="C255" s="45"/>
      <c r="D255" s="46" t="str">
        <f aca="false">IF(C255="","",IFERROR(TEXT(C255,"MMMM"),""))</f>
        <v/>
      </c>
      <c r="E255" s="47"/>
      <c r="F255" s="48" t="str">
        <f aca="false">IF(E255="","",IFERROR(INDEX('Chart of Accounts'!$C$4:$C$200,MATCH(TEXT(E255,"@"),TEXT('Chart of Accounts'!$B$4:$B$200,"@"),0)),"⚠ Not Found"))</f>
        <v/>
      </c>
      <c r="G255" s="49"/>
      <c r="H255" s="50"/>
      <c r="I255" s="50"/>
      <c r="J255" s="47"/>
    </row>
    <row r="256" customFormat="false" ht="16.5" hidden="false" customHeight="true" outlineLevel="0" collapsed="false">
      <c r="B256" s="37" t="str">
        <f aca="false">IF(C256="","",ROW()-9)</f>
        <v/>
      </c>
      <c r="C256" s="38"/>
      <c r="D256" s="39" t="str">
        <f aca="false">IF(C256="","",IFERROR(TEXT(C256,"MMMM"),""))</f>
        <v/>
      </c>
      <c r="E256" s="40"/>
      <c r="F256" s="41" t="str">
        <f aca="false">IF(E256="","",IFERROR(INDEX('Chart of Accounts'!$C$4:$C$200,MATCH(TEXT(E256,"@"),TEXT('Chart of Accounts'!$B$4:$B$200,"@"),0)),"⚠ Not Found"))</f>
        <v/>
      </c>
      <c r="G256" s="42"/>
      <c r="H256" s="43"/>
      <c r="I256" s="43"/>
      <c r="J256" s="40"/>
    </row>
    <row r="257" customFormat="false" ht="16.5" hidden="false" customHeight="true" outlineLevel="0" collapsed="false">
      <c r="B257" s="44" t="str">
        <f aca="false">IF(C257="","",ROW()-9)</f>
        <v/>
      </c>
      <c r="C257" s="45"/>
      <c r="D257" s="46" t="str">
        <f aca="false">IF(C257="","",IFERROR(TEXT(C257,"MMMM"),""))</f>
        <v/>
      </c>
      <c r="E257" s="47"/>
      <c r="F257" s="48" t="str">
        <f aca="false">IF(E257="","",IFERROR(INDEX('Chart of Accounts'!$C$4:$C$200,MATCH(TEXT(E257,"@"),TEXT('Chart of Accounts'!$B$4:$B$200,"@"),0)),"⚠ Not Found"))</f>
        <v/>
      </c>
      <c r="G257" s="49"/>
      <c r="H257" s="50"/>
      <c r="I257" s="50"/>
      <c r="J257" s="47"/>
    </row>
    <row r="258" customFormat="false" ht="16.5" hidden="false" customHeight="true" outlineLevel="0" collapsed="false">
      <c r="B258" s="37" t="str">
        <f aca="false">IF(C258="","",ROW()-9)</f>
        <v/>
      </c>
      <c r="C258" s="38"/>
      <c r="D258" s="39" t="str">
        <f aca="false">IF(C258="","",IFERROR(TEXT(C258,"MMMM"),""))</f>
        <v/>
      </c>
      <c r="E258" s="40"/>
      <c r="F258" s="41" t="str">
        <f aca="false">IF(E258="","",IFERROR(INDEX('Chart of Accounts'!$C$4:$C$200,MATCH(TEXT(E258,"@"),TEXT('Chart of Accounts'!$B$4:$B$200,"@"),0)),"⚠ Not Found"))</f>
        <v/>
      </c>
      <c r="G258" s="42"/>
      <c r="H258" s="43"/>
      <c r="I258" s="43"/>
      <c r="J258" s="40"/>
    </row>
    <row r="259" customFormat="false" ht="16.5" hidden="false" customHeight="true" outlineLevel="0" collapsed="false">
      <c r="B259" s="44" t="str">
        <f aca="false">IF(C259="","",ROW()-9)</f>
        <v/>
      </c>
      <c r="C259" s="45"/>
      <c r="D259" s="46" t="str">
        <f aca="false">IF(C259="","",IFERROR(TEXT(C259,"MMMM"),""))</f>
        <v/>
      </c>
      <c r="E259" s="47"/>
      <c r="F259" s="48" t="str">
        <f aca="false">IF(E259="","",IFERROR(INDEX('Chart of Accounts'!$C$4:$C$200,MATCH(TEXT(E259,"@"),TEXT('Chart of Accounts'!$B$4:$B$200,"@"),0)),"⚠ Not Found"))</f>
        <v/>
      </c>
      <c r="G259" s="49"/>
      <c r="H259" s="50"/>
      <c r="I259" s="50"/>
      <c r="J259" s="47"/>
    </row>
    <row r="260" customFormat="false" ht="16.5" hidden="false" customHeight="true" outlineLevel="0" collapsed="false">
      <c r="B260" s="37" t="str">
        <f aca="false">IF(C260="","",ROW()-9)</f>
        <v/>
      </c>
      <c r="C260" s="38"/>
      <c r="D260" s="39" t="str">
        <f aca="false">IF(C260="","",IFERROR(TEXT(C260,"MMMM"),""))</f>
        <v/>
      </c>
      <c r="E260" s="40"/>
      <c r="F260" s="41" t="str">
        <f aca="false">IF(E260="","",IFERROR(INDEX('Chart of Accounts'!$C$4:$C$200,MATCH(TEXT(E260,"@"),TEXT('Chart of Accounts'!$B$4:$B$200,"@"),0)),"⚠ Not Found"))</f>
        <v/>
      </c>
      <c r="G260" s="42"/>
      <c r="H260" s="43"/>
      <c r="I260" s="43"/>
      <c r="J260" s="40"/>
    </row>
    <row r="261" customFormat="false" ht="16.5" hidden="false" customHeight="true" outlineLevel="0" collapsed="false">
      <c r="B261" s="44" t="str">
        <f aca="false">IF(C261="","",ROW()-9)</f>
        <v/>
      </c>
      <c r="C261" s="45"/>
      <c r="D261" s="46" t="str">
        <f aca="false">IF(C261="","",IFERROR(TEXT(C261,"MMMM"),""))</f>
        <v/>
      </c>
      <c r="E261" s="47"/>
      <c r="F261" s="48" t="str">
        <f aca="false">IF(E261="","",IFERROR(INDEX('Chart of Accounts'!$C$4:$C$200,MATCH(TEXT(E261,"@"),TEXT('Chart of Accounts'!$B$4:$B$200,"@"),0)),"⚠ Not Found"))</f>
        <v/>
      </c>
      <c r="G261" s="49"/>
      <c r="H261" s="50"/>
      <c r="I261" s="50"/>
      <c r="J261" s="47"/>
    </row>
    <row r="262" customFormat="false" ht="16.5" hidden="false" customHeight="true" outlineLevel="0" collapsed="false">
      <c r="B262" s="37" t="str">
        <f aca="false">IF(C262="","",ROW()-9)</f>
        <v/>
      </c>
      <c r="C262" s="38"/>
      <c r="D262" s="39" t="str">
        <f aca="false">IF(C262="","",IFERROR(TEXT(C262,"MMMM"),""))</f>
        <v/>
      </c>
      <c r="E262" s="40"/>
      <c r="F262" s="41" t="str">
        <f aca="false">IF(E262="","",IFERROR(INDEX('Chart of Accounts'!$C$4:$C$200,MATCH(TEXT(E262,"@"),TEXT('Chart of Accounts'!$B$4:$B$200,"@"),0)),"⚠ Not Found"))</f>
        <v/>
      </c>
      <c r="G262" s="42"/>
      <c r="H262" s="43"/>
      <c r="I262" s="43"/>
      <c r="J262" s="40"/>
    </row>
    <row r="263" customFormat="false" ht="16.5" hidden="false" customHeight="true" outlineLevel="0" collapsed="false">
      <c r="B263" s="44" t="str">
        <f aca="false">IF(C263="","",ROW()-9)</f>
        <v/>
      </c>
      <c r="C263" s="45"/>
      <c r="D263" s="46" t="str">
        <f aca="false">IF(C263="","",IFERROR(TEXT(C263,"MMMM"),""))</f>
        <v/>
      </c>
      <c r="E263" s="47"/>
      <c r="F263" s="48" t="str">
        <f aca="false">IF(E263="","",IFERROR(INDEX('Chart of Accounts'!$C$4:$C$200,MATCH(TEXT(E263,"@"),TEXT('Chart of Accounts'!$B$4:$B$200,"@"),0)),"⚠ Not Found"))</f>
        <v/>
      </c>
      <c r="G263" s="49"/>
      <c r="H263" s="50"/>
      <c r="I263" s="50"/>
      <c r="J263" s="47"/>
    </row>
    <row r="264" customFormat="false" ht="16.5" hidden="false" customHeight="true" outlineLevel="0" collapsed="false">
      <c r="B264" s="37" t="str">
        <f aca="false">IF(C264="","",ROW()-9)</f>
        <v/>
      </c>
      <c r="C264" s="38"/>
      <c r="D264" s="39" t="str">
        <f aca="false">IF(C264="","",IFERROR(TEXT(C264,"MMMM"),""))</f>
        <v/>
      </c>
      <c r="E264" s="40"/>
      <c r="F264" s="41" t="str">
        <f aca="false">IF(E264="","",IFERROR(INDEX('Chart of Accounts'!$C$4:$C$200,MATCH(TEXT(E264,"@"),TEXT('Chart of Accounts'!$B$4:$B$200,"@"),0)),"⚠ Not Found"))</f>
        <v/>
      </c>
      <c r="G264" s="42"/>
      <c r="H264" s="43"/>
      <c r="I264" s="43"/>
      <c r="J264" s="40"/>
    </row>
    <row r="265" customFormat="false" ht="16.5" hidden="false" customHeight="true" outlineLevel="0" collapsed="false">
      <c r="B265" s="44" t="str">
        <f aca="false">IF(C265="","",ROW()-9)</f>
        <v/>
      </c>
      <c r="C265" s="45"/>
      <c r="D265" s="46" t="str">
        <f aca="false">IF(C265="","",IFERROR(TEXT(C265,"MMMM"),""))</f>
        <v/>
      </c>
      <c r="E265" s="47"/>
      <c r="F265" s="48" t="str">
        <f aca="false">IF(E265="","",IFERROR(INDEX('Chart of Accounts'!$C$4:$C$200,MATCH(TEXT(E265,"@"),TEXT('Chart of Accounts'!$B$4:$B$200,"@"),0)),"⚠ Not Found"))</f>
        <v/>
      </c>
      <c r="G265" s="49"/>
      <c r="H265" s="50"/>
      <c r="I265" s="50"/>
      <c r="J265" s="47"/>
    </row>
    <row r="266" customFormat="false" ht="16.5" hidden="false" customHeight="true" outlineLevel="0" collapsed="false">
      <c r="B266" s="37" t="str">
        <f aca="false">IF(C266="","",ROW()-9)</f>
        <v/>
      </c>
      <c r="C266" s="38"/>
      <c r="D266" s="39" t="str">
        <f aca="false">IF(C266="","",IFERROR(TEXT(C266,"MMMM"),""))</f>
        <v/>
      </c>
      <c r="E266" s="40"/>
      <c r="F266" s="41" t="str">
        <f aca="false">IF(E266="","",IFERROR(INDEX('Chart of Accounts'!$C$4:$C$200,MATCH(TEXT(E266,"@"),TEXT('Chart of Accounts'!$B$4:$B$200,"@"),0)),"⚠ Not Found"))</f>
        <v/>
      </c>
      <c r="G266" s="42"/>
      <c r="H266" s="43"/>
      <c r="I266" s="43"/>
      <c r="J266" s="40"/>
    </row>
    <row r="267" customFormat="false" ht="16.5" hidden="false" customHeight="true" outlineLevel="0" collapsed="false">
      <c r="B267" s="44" t="str">
        <f aca="false">IF(C267="","",ROW()-9)</f>
        <v/>
      </c>
      <c r="C267" s="45"/>
      <c r="D267" s="46" t="str">
        <f aca="false">IF(C267="","",IFERROR(TEXT(C267,"MMMM"),""))</f>
        <v/>
      </c>
      <c r="E267" s="47"/>
      <c r="F267" s="48" t="str">
        <f aca="false">IF(E267="","",IFERROR(INDEX('Chart of Accounts'!$C$4:$C$200,MATCH(TEXT(E267,"@"),TEXT('Chart of Accounts'!$B$4:$B$200,"@"),0)),"⚠ Not Found"))</f>
        <v/>
      </c>
      <c r="G267" s="49"/>
      <c r="H267" s="50"/>
      <c r="I267" s="50"/>
      <c r="J267" s="47"/>
    </row>
    <row r="268" customFormat="false" ht="16.5" hidden="false" customHeight="true" outlineLevel="0" collapsed="false">
      <c r="B268" s="37" t="str">
        <f aca="false">IF(C268="","",ROW()-9)</f>
        <v/>
      </c>
      <c r="C268" s="38"/>
      <c r="D268" s="39" t="str">
        <f aca="false">IF(C268="","",IFERROR(TEXT(C268,"MMMM"),""))</f>
        <v/>
      </c>
      <c r="E268" s="40"/>
      <c r="F268" s="41" t="str">
        <f aca="false">IF(E268="","",IFERROR(INDEX('Chart of Accounts'!$C$4:$C$200,MATCH(TEXT(E268,"@"),TEXT('Chart of Accounts'!$B$4:$B$200,"@"),0)),"⚠ Not Found"))</f>
        <v/>
      </c>
      <c r="G268" s="42"/>
      <c r="H268" s="43"/>
      <c r="I268" s="43"/>
      <c r="J268" s="40"/>
    </row>
    <row r="269" customFormat="false" ht="16.5" hidden="false" customHeight="true" outlineLevel="0" collapsed="false">
      <c r="B269" s="44" t="str">
        <f aca="false">IF(C269="","",ROW()-9)</f>
        <v/>
      </c>
      <c r="C269" s="45"/>
      <c r="D269" s="46" t="str">
        <f aca="false">IF(C269="","",IFERROR(TEXT(C269,"MMMM"),""))</f>
        <v/>
      </c>
      <c r="E269" s="47"/>
      <c r="F269" s="48" t="str">
        <f aca="false">IF(E269="","",IFERROR(INDEX('Chart of Accounts'!$C$4:$C$200,MATCH(TEXT(E269,"@"),TEXT('Chart of Accounts'!$B$4:$B$200,"@"),0)),"⚠ Not Found"))</f>
        <v/>
      </c>
      <c r="G269" s="49"/>
      <c r="H269" s="50"/>
      <c r="I269" s="50"/>
      <c r="J269" s="47"/>
    </row>
    <row r="270" customFormat="false" ht="16.5" hidden="false" customHeight="true" outlineLevel="0" collapsed="false">
      <c r="B270" s="37" t="str">
        <f aca="false">IF(C270="","",ROW()-9)</f>
        <v/>
      </c>
      <c r="C270" s="38"/>
      <c r="D270" s="39" t="str">
        <f aca="false">IF(C270="","",IFERROR(TEXT(C270,"MMMM"),""))</f>
        <v/>
      </c>
      <c r="E270" s="40"/>
      <c r="F270" s="41" t="str">
        <f aca="false">IF(E270="","",IFERROR(INDEX('Chart of Accounts'!$C$4:$C$200,MATCH(TEXT(E270,"@"),TEXT('Chart of Accounts'!$B$4:$B$200,"@"),0)),"⚠ Not Found"))</f>
        <v/>
      </c>
      <c r="G270" s="42"/>
      <c r="H270" s="43"/>
      <c r="I270" s="43"/>
      <c r="J270" s="40"/>
    </row>
    <row r="271" customFormat="false" ht="16.5" hidden="false" customHeight="true" outlineLevel="0" collapsed="false">
      <c r="B271" s="44" t="str">
        <f aca="false">IF(C271="","",ROW()-9)</f>
        <v/>
      </c>
      <c r="C271" s="45"/>
      <c r="D271" s="46" t="str">
        <f aca="false">IF(C271="","",IFERROR(TEXT(C271,"MMMM"),""))</f>
        <v/>
      </c>
      <c r="E271" s="47"/>
      <c r="F271" s="48" t="str">
        <f aca="false">IF(E271="","",IFERROR(INDEX('Chart of Accounts'!$C$4:$C$200,MATCH(TEXT(E271,"@"),TEXT('Chart of Accounts'!$B$4:$B$200,"@"),0)),"⚠ Not Found"))</f>
        <v/>
      </c>
      <c r="G271" s="49"/>
      <c r="H271" s="50"/>
      <c r="I271" s="50"/>
      <c r="J271" s="47"/>
    </row>
    <row r="272" customFormat="false" ht="16.5" hidden="false" customHeight="true" outlineLevel="0" collapsed="false">
      <c r="B272" s="37" t="str">
        <f aca="false">IF(C272="","",ROW()-9)</f>
        <v/>
      </c>
      <c r="C272" s="38"/>
      <c r="D272" s="39" t="str">
        <f aca="false">IF(C272="","",IFERROR(TEXT(C272,"MMMM"),""))</f>
        <v/>
      </c>
      <c r="E272" s="40"/>
      <c r="F272" s="41" t="str">
        <f aca="false">IF(E272="","",IFERROR(INDEX('Chart of Accounts'!$C$4:$C$200,MATCH(TEXT(E272,"@"),TEXT('Chart of Accounts'!$B$4:$B$200,"@"),0)),"⚠ Not Found"))</f>
        <v/>
      </c>
      <c r="G272" s="42"/>
      <c r="H272" s="43"/>
      <c r="I272" s="43"/>
      <c r="J272" s="40"/>
    </row>
    <row r="273" customFormat="false" ht="16.5" hidden="false" customHeight="true" outlineLevel="0" collapsed="false">
      <c r="B273" s="44" t="str">
        <f aca="false">IF(C273="","",ROW()-9)</f>
        <v/>
      </c>
      <c r="C273" s="45"/>
      <c r="D273" s="46" t="str">
        <f aca="false">IF(C273="","",IFERROR(TEXT(C273,"MMMM"),""))</f>
        <v/>
      </c>
      <c r="E273" s="47"/>
      <c r="F273" s="48" t="str">
        <f aca="false">IF(E273="","",IFERROR(INDEX('Chart of Accounts'!$C$4:$C$200,MATCH(TEXT(E273,"@"),TEXT('Chart of Accounts'!$B$4:$B$200,"@"),0)),"⚠ Not Found"))</f>
        <v/>
      </c>
      <c r="G273" s="49"/>
      <c r="H273" s="50"/>
      <c r="I273" s="50"/>
      <c r="J273" s="47"/>
    </row>
    <row r="274" customFormat="false" ht="16.5" hidden="false" customHeight="true" outlineLevel="0" collapsed="false">
      <c r="B274" s="37" t="str">
        <f aca="false">IF(C274="","",ROW()-9)</f>
        <v/>
      </c>
      <c r="C274" s="38"/>
      <c r="D274" s="39" t="str">
        <f aca="false">IF(C274="","",IFERROR(TEXT(C274,"MMMM"),""))</f>
        <v/>
      </c>
      <c r="E274" s="40"/>
      <c r="F274" s="41" t="str">
        <f aca="false">IF(E274="","",IFERROR(INDEX('Chart of Accounts'!$C$4:$C$200,MATCH(TEXT(E274,"@"),TEXT('Chart of Accounts'!$B$4:$B$200,"@"),0)),"⚠ Not Found"))</f>
        <v/>
      </c>
      <c r="G274" s="42"/>
      <c r="H274" s="43"/>
      <c r="I274" s="43"/>
      <c r="J274" s="40"/>
    </row>
    <row r="275" customFormat="false" ht="16.5" hidden="false" customHeight="true" outlineLevel="0" collapsed="false">
      <c r="B275" s="44" t="str">
        <f aca="false">IF(C275="","",ROW()-9)</f>
        <v/>
      </c>
      <c r="C275" s="45"/>
      <c r="D275" s="46" t="str">
        <f aca="false">IF(C275="","",IFERROR(TEXT(C275,"MMMM"),""))</f>
        <v/>
      </c>
      <c r="E275" s="47"/>
      <c r="F275" s="48" t="str">
        <f aca="false">IF(E275="","",IFERROR(INDEX('Chart of Accounts'!$C$4:$C$200,MATCH(TEXT(E275,"@"),TEXT('Chart of Accounts'!$B$4:$B$200,"@"),0)),"⚠ Not Found"))</f>
        <v/>
      </c>
      <c r="G275" s="49"/>
      <c r="H275" s="50"/>
      <c r="I275" s="50"/>
      <c r="J275" s="47"/>
    </row>
    <row r="276" customFormat="false" ht="16.5" hidden="false" customHeight="true" outlineLevel="0" collapsed="false">
      <c r="B276" s="37" t="str">
        <f aca="false">IF(C276="","",ROW()-9)</f>
        <v/>
      </c>
      <c r="C276" s="38"/>
      <c r="D276" s="39" t="str">
        <f aca="false">IF(C276="","",IFERROR(TEXT(C276,"MMMM"),""))</f>
        <v/>
      </c>
      <c r="E276" s="40"/>
      <c r="F276" s="41" t="str">
        <f aca="false">IF(E276="","",IFERROR(INDEX('Chart of Accounts'!$C$4:$C$200,MATCH(TEXT(E276,"@"),TEXT('Chart of Accounts'!$B$4:$B$200,"@"),0)),"⚠ Not Found"))</f>
        <v/>
      </c>
      <c r="G276" s="42"/>
      <c r="H276" s="43"/>
      <c r="I276" s="43"/>
      <c r="J276" s="40"/>
    </row>
    <row r="277" customFormat="false" ht="16.5" hidden="false" customHeight="true" outlineLevel="0" collapsed="false">
      <c r="B277" s="44" t="str">
        <f aca="false">IF(C277="","",ROW()-9)</f>
        <v/>
      </c>
      <c r="C277" s="45"/>
      <c r="D277" s="46" t="str">
        <f aca="false">IF(C277="","",IFERROR(TEXT(C277,"MMMM"),""))</f>
        <v/>
      </c>
      <c r="E277" s="47"/>
      <c r="F277" s="48" t="str">
        <f aca="false">IF(E277="","",IFERROR(INDEX('Chart of Accounts'!$C$4:$C$200,MATCH(TEXT(E277,"@"),TEXT('Chart of Accounts'!$B$4:$B$200,"@"),0)),"⚠ Not Found"))</f>
        <v/>
      </c>
      <c r="G277" s="49"/>
      <c r="H277" s="50"/>
      <c r="I277" s="50"/>
      <c r="J277" s="47"/>
    </row>
    <row r="278" customFormat="false" ht="16.5" hidden="false" customHeight="true" outlineLevel="0" collapsed="false">
      <c r="B278" s="37" t="str">
        <f aca="false">IF(C278="","",ROW()-9)</f>
        <v/>
      </c>
      <c r="C278" s="38"/>
      <c r="D278" s="39" t="str">
        <f aca="false">IF(C278="","",IFERROR(TEXT(C278,"MMMM"),""))</f>
        <v/>
      </c>
      <c r="E278" s="40"/>
      <c r="F278" s="41" t="str">
        <f aca="false">IF(E278="","",IFERROR(INDEX('Chart of Accounts'!$C$4:$C$200,MATCH(TEXT(E278,"@"),TEXT('Chart of Accounts'!$B$4:$B$200,"@"),0)),"⚠ Not Found"))</f>
        <v/>
      </c>
      <c r="G278" s="42"/>
      <c r="H278" s="43"/>
      <c r="I278" s="43"/>
      <c r="J278" s="40"/>
    </row>
    <row r="279" customFormat="false" ht="16.5" hidden="false" customHeight="true" outlineLevel="0" collapsed="false">
      <c r="B279" s="44" t="str">
        <f aca="false">IF(C279="","",ROW()-9)</f>
        <v/>
      </c>
      <c r="C279" s="45"/>
      <c r="D279" s="46" t="str">
        <f aca="false">IF(C279="","",IFERROR(TEXT(C279,"MMMM"),""))</f>
        <v/>
      </c>
      <c r="E279" s="47"/>
      <c r="F279" s="48" t="str">
        <f aca="false">IF(E279="","",IFERROR(INDEX('Chart of Accounts'!$C$4:$C$200,MATCH(TEXT(E279,"@"),TEXT('Chart of Accounts'!$B$4:$B$200,"@"),0)),"⚠ Not Found"))</f>
        <v/>
      </c>
      <c r="G279" s="49"/>
      <c r="H279" s="50"/>
      <c r="I279" s="50"/>
      <c r="J279" s="47"/>
    </row>
    <row r="280" customFormat="false" ht="16.5" hidden="false" customHeight="true" outlineLevel="0" collapsed="false">
      <c r="B280" s="37" t="str">
        <f aca="false">IF(C280="","",ROW()-9)</f>
        <v/>
      </c>
      <c r="C280" s="38"/>
      <c r="D280" s="39" t="str">
        <f aca="false">IF(C280="","",IFERROR(TEXT(C280,"MMMM"),""))</f>
        <v/>
      </c>
      <c r="E280" s="40"/>
      <c r="F280" s="41" t="str">
        <f aca="false">IF(E280="","",IFERROR(INDEX('Chart of Accounts'!$C$4:$C$200,MATCH(TEXT(E280,"@"),TEXT('Chart of Accounts'!$B$4:$B$200,"@"),0)),"⚠ Not Found"))</f>
        <v/>
      </c>
      <c r="G280" s="42"/>
      <c r="H280" s="43"/>
      <c r="I280" s="43"/>
      <c r="J280" s="40"/>
    </row>
    <row r="281" customFormat="false" ht="16.5" hidden="false" customHeight="true" outlineLevel="0" collapsed="false">
      <c r="B281" s="44" t="str">
        <f aca="false">IF(C281="","",ROW()-9)</f>
        <v/>
      </c>
      <c r="C281" s="45"/>
      <c r="D281" s="46" t="str">
        <f aca="false">IF(C281="","",IFERROR(TEXT(C281,"MMMM"),""))</f>
        <v/>
      </c>
      <c r="E281" s="47"/>
      <c r="F281" s="48" t="str">
        <f aca="false">IF(E281="","",IFERROR(INDEX('Chart of Accounts'!$C$4:$C$200,MATCH(TEXT(E281,"@"),TEXT('Chart of Accounts'!$B$4:$B$200,"@"),0)),"⚠ Not Found"))</f>
        <v/>
      </c>
      <c r="G281" s="49"/>
      <c r="H281" s="50"/>
      <c r="I281" s="50"/>
      <c r="J281" s="47"/>
    </row>
    <row r="282" customFormat="false" ht="16.5" hidden="false" customHeight="true" outlineLevel="0" collapsed="false">
      <c r="B282" s="37" t="str">
        <f aca="false">IF(C282="","",ROW()-9)</f>
        <v/>
      </c>
      <c r="C282" s="38"/>
      <c r="D282" s="39" t="str">
        <f aca="false">IF(C282="","",IFERROR(TEXT(C282,"MMMM"),""))</f>
        <v/>
      </c>
      <c r="E282" s="40"/>
      <c r="F282" s="41" t="str">
        <f aca="false">IF(E282="","",IFERROR(INDEX('Chart of Accounts'!$C$4:$C$200,MATCH(TEXT(E282,"@"),TEXT('Chart of Accounts'!$B$4:$B$200,"@"),0)),"⚠ Not Found"))</f>
        <v/>
      </c>
      <c r="G282" s="42"/>
      <c r="H282" s="43"/>
      <c r="I282" s="43"/>
      <c r="J282" s="40"/>
    </row>
    <row r="283" customFormat="false" ht="16.5" hidden="false" customHeight="true" outlineLevel="0" collapsed="false">
      <c r="B283" s="44" t="str">
        <f aca="false">IF(C283="","",ROW()-9)</f>
        <v/>
      </c>
      <c r="C283" s="45"/>
      <c r="D283" s="46" t="str">
        <f aca="false">IF(C283="","",IFERROR(TEXT(C283,"MMMM"),""))</f>
        <v/>
      </c>
      <c r="E283" s="47"/>
      <c r="F283" s="48" t="str">
        <f aca="false">IF(E283="","",IFERROR(INDEX('Chart of Accounts'!$C$4:$C$200,MATCH(TEXT(E283,"@"),TEXT('Chart of Accounts'!$B$4:$B$200,"@"),0)),"⚠ Not Found"))</f>
        <v/>
      </c>
      <c r="G283" s="49"/>
      <c r="H283" s="50"/>
      <c r="I283" s="50"/>
      <c r="J283" s="47"/>
    </row>
    <row r="284" customFormat="false" ht="16.5" hidden="false" customHeight="true" outlineLevel="0" collapsed="false">
      <c r="B284" s="37" t="str">
        <f aca="false">IF(C284="","",ROW()-9)</f>
        <v/>
      </c>
      <c r="C284" s="38"/>
      <c r="D284" s="39" t="str">
        <f aca="false">IF(C284="","",IFERROR(TEXT(C284,"MMMM"),""))</f>
        <v/>
      </c>
      <c r="E284" s="40"/>
      <c r="F284" s="41" t="str">
        <f aca="false">IF(E284="","",IFERROR(INDEX('Chart of Accounts'!$C$4:$C$200,MATCH(TEXT(E284,"@"),TEXT('Chart of Accounts'!$B$4:$B$200,"@"),0)),"⚠ Not Found"))</f>
        <v/>
      </c>
      <c r="G284" s="42"/>
      <c r="H284" s="43"/>
      <c r="I284" s="43"/>
      <c r="J284" s="40"/>
    </row>
    <row r="285" customFormat="false" ht="16.5" hidden="false" customHeight="true" outlineLevel="0" collapsed="false">
      <c r="B285" s="44" t="str">
        <f aca="false">IF(C285="","",ROW()-9)</f>
        <v/>
      </c>
      <c r="C285" s="45"/>
      <c r="D285" s="46" t="str">
        <f aca="false">IF(C285="","",IFERROR(TEXT(C285,"MMMM"),""))</f>
        <v/>
      </c>
      <c r="E285" s="47"/>
      <c r="F285" s="48" t="str">
        <f aca="false">IF(E285="","",IFERROR(INDEX('Chart of Accounts'!$C$4:$C$200,MATCH(TEXT(E285,"@"),TEXT('Chart of Accounts'!$B$4:$B$200,"@"),0)),"⚠ Not Found"))</f>
        <v/>
      </c>
      <c r="G285" s="49"/>
      <c r="H285" s="50"/>
      <c r="I285" s="50"/>
      <c r="J285" s="47"/>
    </row>
    <row r="286" customFormat="false" ht="16.5" hidden="false" customHeight="true" outlineLevel="0" collapsed="false">
      <c r="B286" s="37" t="str">
        <f aca="false">IF(C286="","",ROW()-9)</f>
        <v/>
      </c>
      <c r="C286" s="38"/>
      <c r="D286" s="39" t="str">
        <f aca="false">IF(C286="","",IFERROR(TEXT(C286,"MMMM"),""))</f>
        <v/>
      </c>
      <c r="E286" s="40"/>
      <c r="F286" s="41" t="str">
        <f aca="false">IF(E286="","",IFERROR(INDEX('Chart of Accounts'!$C$4:$C$200,MATCH(TEXT(E286,"@"),TEXT('Chart of Accounts'!$B$4:$B$200,"@"),0)),"⚠ Not Found"))</f>
        <v/>
      </c>
      <c r="G286" s="42"/>
      <c r="H286" s="43"/>
      <c r="I286" s="43"/>
      <c r="J286" s="40"/>
    </row>
    <row r="287" customFormat="false" ht="16.5" hidden="false" customHeight="true" outlineLevel="0" collapsed="false">
      <c r="B287" s="44" t="str">
        <f aca="false">IF(C287="","",ROW()-9)</f>
        <v/>
      </c>
      <c r="C287" s="45"/>
      <c r="D287" s="46" t="str">
        <f aca="false">IF(C287="","",IFERROR(TEXT(C287,"MMMM"),""))</f>
        <v/>
      </c>
      <c r="E287" s="47"/>
      <c r="F287" s="48" t="str">
        <f aca="false">IF(E287="","",IFERROR(INDEX('Chart of Accounts'!$C$4:$C$200,MATCH(TEXT(E287,"@"),TEXT('Chart of Accounts'!$B$4:$B$200,"@"),0)),"⚠ Not Found"))</f>
        <v/>
      </c>
      <c r="G287" s="49"/>
      <c r="H287" s="50"/>
      <c r="I287" s="50"/>
      <c r="J287" s="47"/>
    </row>
    <row r="288" customFormat="false" ht="16.5" hidden="false" customHeight="true" outlineLevel="0" collapsed="false">
      <c r="B288" s="37" t="str">
        <f aca="false">IF(C288="","",ROW()-9)</f>
        <v/>
      </c>
      <c r="C288" s="38"/>
      <c r="D288" s="39" t="str">
        <f aca="false">IF(C288="","",IFERROR(TEXT(C288,"MMMM"),""))</f>
        <v/>
      </c>
      <c r="E288" s="40"/>
      <c r="F288" s="41" t="str">
        <f aca="false">IF(E288="","",IFERROR(INDEX('Chart of Accounts'!$C$4:$C$200,MATCH(TEXT(E288,"@"),TEXT('Chart of Accounts'!$B$4:$B$200,"@"),0)),"⚠ Not Found"))</f>
        <v/>
      </c>
      <c r="G288" s="42"/>
      <c r="H288" s="43"/>
      <c r="I288" s="43"/>
      <c r="J288" s="40"/>
    </row>
    <row r="289" customFormat="false" ht="16.5" hidden="false" customHeight="true" outlineLevel="0" collapsed="false">
      <c r="B289" s="44" t="str">
        <f aca="false">IF(C289="","",ROW()-9)</f>
        <v/>
      </c>
      <c r="C289" s="45"/>
      <c r="D289" s="46" t="str">
        <f aca="false">IF(C289="","",IFERROR(TEXT(C289,"MMMM"),""))</f>
        <v/>
      </c>
      <c r="E289" s="47"/>
      <c r="F289" s="48" t="str">
        <f aca="false">IF(E289="","",IFERROR(INDEX('Chart of Accounts'!$C$4:$C$200,MATCH(TEXT(E289,"@"),TEXT('Chart of Accounts'!$B$4:$B$200,"@"),0)),"⚠ Not Found"))</f>
        <v/>
      </c>
      <c r="G289" s="49"/>
      <c r="H289" s="50"/>
      <c r="I289" s="50"/>
      <c r="J289" s="47"/>
    </row>
    <row r="290" customFormat="false" ht="16.5" hidden="false" customHeight="true" outlineLevel="0" collapsed="false">
      <c r="B290" s="37" t="str">
        <f aca="false">IF(C290="","",ROW()-9)</f>
        <v/>
      </c>
      <c r="C290" s="38"/>
      <c r="D290" s="39" t="str">
        <f aca="false">IF(C290="","",IFERROR(TEXT(C290,"MMMM"),""))</f>
        <v/>
      </c>
      <c r="E290" s="40"/>
      <c r="F290" s="41" t="str">
        <f aca="false">IF(E290="","",IFERROR(INDEX('Chart of Accounts'!$C$4:$C$200,MATCH(TEXT(E290,"@"),TEXT('Chart of Accounts'!$B$4:$B$200,"@"),0)),"⚠ Not Found"))</f>
        <v/>
      </c>
      <c r="G290" s="42"/>
      <c r="H290" s="43"/>
      <c r="I290" s="43"/>
      <c r="J290" s="40"/>
    </row>
    <row r="291" customFormat="false" ht="16.5" hidden="false" customHeight="true" outlineLevel="0" collapsed="false">
      <c r="B291" s="44" t="str">
        <f aca="false">IF(C291="","",ROW()-9)</f>
        <v/>
      </c>
      <c r="C291" s="45"/>
      <c r="D291" s="46" t="str">
        <f aca="false">IF(C291="","",IFERROR(TEXT(C291,"MMMM"),""))</f>
        <v/>
      </c>
      <c r="E291" s="47"/>
      <c r="F291" s="48" t="str">
        <f aca="false">IF(E291="","",IFERROR(INDEX('Chart of Accounts'!$C$4:$C$200,MATCH(TEXT(E291,"@"),TEXT('Chart of Accounts'!$B$4:$B$200,"@"),0)),"⚠ Not Found"))</f>
        <v/>
      </c>
      <c r="G291" s="49"/>
      <c r="H291" s="50"/>
      <c r="I291" s="50"/>
      <c r="J291" s="47"/>
    </row>
    <row r="292" customFormat="false" ht="16.5" hidden="false" customHeight="true" outlineLevel="0" collapsed="false">
      <c r="B292" s="37" t="str">
        <f aca="false">IF(C292="","",ROW()-9)</f>
        <v/>
      </c>
      <c r="C292" s="38"/>
      <c r="D292" s="39" t="str">
        <f aca="false">IF(C292="","",IFERROR(TEXT(C292,"MMMM"),""))</f>
        <v/>
      </c>
      <c r="E292" s="40"/>
      <c r="F292" s="41" t="str">
        <f aca="false">IF(E292="","",IFERROR(INDEX('Chart of Accounts'!$C$4:$C$200,MATCH(TEXT(E292,"@"),TEXT('Chart of Accounts'!$B$4:$B$200,"@"),0)),"⚠ Not Found"))</f>
        <v/>
      </c>
      <c r="G292" s="42"/>
      <c r="H292" s="43"/>
      <c r="I292" s="43"/>
      <c r="J292" s="40"/>
    </row>
    <row r="293" customFormat="false" ht="16.5" hidden="false" customHeight="true" outlineLevel="0" collapsed="false">
      <c r="B293" s="44" t="str">
        <f aca="false">IF(C293="","",ROW()-9)</f>
        <v/>
      </c>
      <c r="C293" s="45"/>
      <c r="D293" s="46" t="str">
        <f aca="false">IF(C293="","",IFERROR(TEXT(C293,"MMMM"),""))</f>
        <v/>
      </c>
      <c r="E293" s="47"/>
      <c r="F293" s="48" t="str">
        <f aca="false">IF(E293="","",IFERROR(INDEX('Chart of Accounts'!$C$4:$C$200,MATCH(TEXT(E293,"@"),TEXT('Chart of Accounts'!$B$4:$B$200,"@"),0)),"⚠ Not Found"))</f>
        <v/>
      </c>
      <c r="G293" s="49"/>
      <c r="H293" s="50"/>
      <c r="I293" s="50"/>
      <c r="J293" s="47"/>
    </row>
    <row r="294" customFormat="false" ht="16.5" hidden="false" customHeight="true" outlineLevel="0" collapsed="false">
      <c r="B294" s="37" t="str">
        <f aca="false">IF(C294="","",ROW()-9)</f>
        <v/>
      </c>
      <c r="C294" s="38"/>
      <c r="D294" s="39" t="str">
        <f aca="false">IF(C294="","",IFERROR(TEXT(C294,"MMMM"),""))</f>
        <v/>
      </c>
      <c r="E294" s="40"/>
      <c r="F294" s="41" t="str">
        <f aca="false">IF(E294="","",IFERROR(INDEX('Chart of Accounts'!$C$4:$C$200,MATCH(TEXT(E294,"@"),TEXT('Chart of Accounts'!$B$4:$B$200,"@"),0)),"⚠ Not Found"))</f>
        <v/>
      </c>
      <c r="G294" s="42"/>
      <c r="H294" s="43"/>
      <c r="I294" s="43"/>
      <c r="J294" s="40"/>
    </row>
    <row r="295" customFormat="false" ht="16.5" hidden="false" customHeight="true" outlineLevel="0" collapsed="false">
      <c r="B295" s="44" t="str">
        <f aca="false">IF(C295="","",ROW()-9)</f>
        <v/>
      </c>
      <c r="C295" s="45"/>
      <c r="D295" s="46" t="str">
        <f aca="false">IF(C295="","",IFERROR(TEXT(C295,"MMMM"),""))</f>
        <v/>
      </c>
      <c r="E295" s="47"/>
      <c r="F295" s="48" t="str">
        <f aca="false">IF(E295="","",IFERROR(INDEX('Chart of Accounts'!$C$4:$C$200,MATCH(TEXT(E295,"@"),TEXT('Chart of Accounts'!$B$4:$B$200,"@"),0)),"⚠ Not Found"))</f>
        <v/>
      </c>
      <c r="G295" s="49"/>
      <c r="H295" s="50"/>
      <c r="I295" s="50"/>
      <c r="J295" s="47"/>
    </row>
    <row r="296" customFormat="false" ht="16.5" hidden="false" customHeight="true" outlineLevel="0" collapsed="false">
      <c r="B296" s="37" t="str">
        <f aca="false">IF(C296="","",ROW()-9)</f>
        <v/>
      </c>
      <c r="C296" s="38"/>
      <c r="D296" s="39" t="str">
        <f aca="false">IF(C296="","",IFERROR(TEXT(C296,"MMMM"),""))</f>
        <v/>
      </c>
      <c r="E296" s="40"/>
      <c r="F296" s="41" t="str">
        <f aca="false">IF(E296="","",IFERROR(INDEX('Chart of Accounts'!$C$4:$C$200,MATCH(TEXT(E296,"@"),TEXT('Chart of Accounts'!$B$4:$B$200,"@"),0)),"⚠ Not Found"))</f>
        <v/>
      </c>
      <c r="G296" s="42"/>
      <c r="H296" s="43"/>
      <c r="I296" s="43"/>
      <c r="J296" s="40"/>
    </row>
    <row r="297" customFormat="false" ht="16.5" hidden="false" customHeight="true" outlineLevel="0" collapsed="false">
      <c r="B297" s="44" t="str">
        <f aca="false">IF(C297="","",ROW()-9)</f>
        <v/>
      </c>
      <c r="C297" s="45"/>
      <c r="D297" s="46" t="str">
        <f aca="false">IF(C297="","",IFERROR(TEXT(C297,"MMMM"),""))</f>
        <v/>
      </c>
      <c r="E297" s="47"/>
      <c r="F297" s="48" t="str">
        <f aca="false">IF(E297="","",IFERROR(INDEX('Chart of Accounts'!$C$4:$C$200,MATCH(TEXT(E297,"@"),TEXT('Chart of Accounts'!$B$4:$B$200,"@"),0)),"⚠ Not Found"))</f>
        <v/>
      </c>
      <c r="G297" s="49"/>
      <c r="H297" s="50"/>
      <c r="I297" s="50"/>
      <c r="J297" s="47"/>
    </row>
    <row r="298" customFormat="false" ht="16.5" hidden="false" customHeight="true" outlineLevel="0" collapsed="false">
      <c r="B298" s="37" t="str">
        <f aca="false">IF(C298="","",ROW()-9)</f>
        <v/>
      </c>
      <c r="C298" s="38"/>
      <c r="D298" s="39" t="str">
        <f aca="false">IF(C298="","",IFERROR(TEXT(C298,"MMMM"),""))</f>
        <v/>
      </c>
      <c r="E298" s="40"/>
      <c r="F298" s="41" t="str">
        <f aca="false">IF(E298="","",IFERROR(INDEX('Chart of Accounts'!$C$4:$C$200,MATCH(TEXT(E298,"@"),TEXT('Chart of Accounts'!$B$4:$B$200,"@"),0)),"⚠ Not Found"))</f>
        <v/>
      </c>
      <c r="G298" s="42"/>
      <c r="H298" s="43"/>
      <c r="I298" s="43"/>
      <c r="J298" s="40"/>
    </row>
    <row r="299" customFormat="false" ht="16.5" hidden="false" customHeight="true" outlineLevel="0" collapsed="false">
      <c r="B299" s="44" t="str">
        <f aca="false">IF(C299="","",ROW()-9)</f>
        <v/>
      </c>
      <c r="C299" s="45"/>
      <c r="D299" s="46" t="str">
        <f aca="false">IF(C299="","",IFERROR(TEXT(C299,"MMMM"),""))</f>
        <v/>
      </c>
      <c r="E299" s="47"/>
      <c r="F299" s="48" t="str">
        <f aca="false">IF(E299="","",IFERROR(INDEX('Chart of Accounts'!$C$4:$C$200,MATCH(TEXT(E299,"@"),TEXT('Chart of Accounts'!$B$4:$B$200,"@"),0)),"⚠ Not Found"))</f>
        <v/>
      </c>
      <c r="G299" s="49"/>
      <c r="H299" s="50"/>
      <c r="I299" s="50"/>
      <c r="J299" s="47"/>
    </row>
    <row r="300" customFormat="false" ht="16.5" hidden="false" customHeight="true" outlineLevel="0" collapsed="false">
      <c r="B300" s="37" t="str">
        <f aca="false">IF(C300="","",ROW()-9)</f>
        <v/>
      </c>
      <c r="C300" s="38"/>
      <c r="D300" s="39" t="str">
        <f aca="false">IF(C300="","",IFERROR(TEXT(C300,"MMMM"),""))</f>
        <v/>
      </c>
      <c r="E300" s="40"/>
      <c r="F300" s="41" t="str">
        <f aca="false">IF(E300="","",IFERROR(INDEX('Chart of Accounts'!$C$4:$C$200,MATCH(TEXT(E300,"@"),TEXT('Chart of Accounts'!$B$4:$B$200,"@"),0)),"⚠ Not Found"))</f>
        <v/>
      </c>
      <c r="G300" s="42"/>
      <c r="H300" s="43"/>
      <c r="I300" s="43"/>
      <c r="J300" s="40"/>
    </row>
    <row r="301" customFormat="false" ht="16.5" hidden="false" customHeight="true" outlineLevel="0" collapsed="false">
      <c r="B301" s="44" t="str">
        <f aca="false">IF(C301="","",ROW()-9)</f>
        <v/>
      </c>
      <c r="C301" s="45"/>
      <c r="D301" s="46" t="str">
        <f aca="false">IF(C301="","",IFERROR(TEXT(C301,"MMMM"),""))</f>
        <v/>
      </c>
      <c r="E301" s="47"/>
      <c r="F301" s="48" t="str">
        <f aca="false">IF(E301="","",IFERROR(INDEX('Chart of Accounts'!$C$4:$C$200,MATCH(TEXT(E301,"@"),TEXT('Chart of Accounts'!$B$4:$B$200,"@"),0)),"⚠ Not Found"))</f>
        <v/>
      </c>
      <c r="G301" s="49"/>
      <c r="H301" s="50"/>
      <c r="I301" s="50"/>
      <c r="J301" s="47"/>
    </row>
    <row r="302" customFormat="false" ht="16.5" hidden="false" customHeight="true" outlineLevel="0" collapsed="false">
      <c r="B302" s="37" t="str">
        <f aca="false">IF(C302="","",ROW()-9)</f>
        <v/>
      </c>
      <c r="C302" s="38"/>
      <c r="D302" s="39" t="str">
        <f aca="false">IF(C302="","",IFERROR(TEXT(C302,"MMMM"),""))</f>
        <v/>
      </c>
      <c r="E302" s="40"/>
      <c r="F302" s="41" t="str">
        <f aca="false">IF(E302="","",IFERROR(INDEX('Chart of Accounts'!$C$4:$C$200,MATCH(TEXT(E302,"@"),TEXT('Chart of Accounts'!$B$4:$B$200,"@"),0)),"⚠ Not Found"))</f>
        <v/>
      </c>
      <c r="G302" s="42"/>
      <c r="H302" s="43"/>
      <c r="I302" s="43"/>
      <c r="J302" s="40"/>
    </row>
    <row r="303" customFormat="false" ht="16.5" hidden="false" customHeight="true" outlineLevel="0" collapsed="false">
      <c r="B303" s="44" t="str">
        <f aca="false">IF(C303="","",ROW()-9)</f>
        <v/>
      </c>
      <c r="C303" s="45"/>
      <c r="D303" s="46" t="str">
        <f aca="false">IF(C303="","",IFERROR(TEXT(C303,"MMMM"),""))</f>
        <v/>
      </c>
      <c r="E303" s="47"/>
      <c r="F303" s="48" t="str">
        <f aca="false">IF(E303="","",IFERROR(INDEX('Chart of Accounts'!$C$4:$C$200,MATCH(TEXT(E303,"@"),TEXT('Chart of Accounts'!$B$4:$B$200,"@"),0)),"⚠ Not Found"))</f>
        <v/>
      </c>
      <c r="G303" s="49"/>
      <c r="H303" s="50"/>
      <c r="I303" s="50"/>
      <c r="J303" s="47"/>
    </row>
    <row r="304" customFormat="false" ht="16.5" hidden="false" customHeight="true" outlineLevel="0" collapsed="false">
      <c r="B304" s="37" t="str">
        <f aca="false">IF(C304="","",ROW()-9)</f>
        <v/>
      </c>
      <c r="C304" s="38"/>
      <c r="D304" s="39" t="str">
        <f aca="false">IF(C304="","",IFERROR(TEXT(C304,"MMMM"),""))</f>
        <v/>
      </c>
      <c r="E304" s="40"/>
      <c r="F304" s="41" t="str">
        <f aca="false">IF(E304="","",IFERROR(INDEX('Chart of Accounts'!$C$4:$C$200,MATCH(TEXT(E304,"@"),TEXT('Chart of Accounts'!$B$4:$B$200,"@"),0)),"⚠ Not Found"))</f>
        <v/>
      </c>
      <c r="G304" s="42"/>
      <c r="H304" s="43"/>
      <c r="I304" s="43"/>
      <c r="J304" s="40"/>
    </row>
    <row r="305" customFormat="false" ht="16.5" hidden="false" customHeight="true" outlineLevel="0" collapsed="false">
      <c r="B305" s="44" t="str">
        <f aca="false">IF(C305="","",ROW()-9)</f>
        <v/>
      </c>
      <c r="C305" s="45"/>
      <c r="D305" s="46" t="str">
        <f aca="false">IF(C305="","",IFERROR(TEXT(C305,"MMMM"),""))</f>
        <v/>
      </c>
      <c r="E305" s="47"/>
      <c r="F305" s="48" t="str">
        <f aca="false">IF(E305="","",IFERROR(INDEX('Chart of Accounts'!$C$4:$C$200,MATCH(TEXT(E305,"@"),TEXT('Chart of Accounts'!$B$4:$B$200,"@"),0)),"⚠ Not Found"))</f>
        <v/>
      </c>
      <c r="G305" s="49"/>
      <c r="H305" s="50"/>
      <c r="I305" s="50"/>
      <c r="J305" s="47"/>
    </row>
    <row r="306" customFormat="false" ht="16.5" hidden="false" customHeight="true" outlineLevel="0" collapsed="false">
      <c r="B306" s="37" t="str">
        <f aca="false">IF(C306="","",ROW()-9)</f>
        <v/>
      </c>
      <c r="C306" s="38"/>
      <c r="D306" s="39" t="str">
        <f aca="false">IF(C306="","",IFERROR(TEXT(C306,"MMMM"),""))</f>
        <v/>
      </c>
      <c r="E306" s="40"/>
      <c r="F306" s="41" t="str">
        <f aca="false">IF(E306="","",IFERROR(INDEX('Chart of Accounts'!$C$4:$C$200,MATCH(TEXT(E306,"@"),TEXT('Chart of Accounts'!$B$4:$B$200,"@"),0)),"⚠ Not Found"))</f>
        <v/>
      </c>
      <c r="G306" s="42"/>
      <c r="H306" s="43"/>
      <c r="I306" s="43"/>
      <c r="J306" s="40"/>
    </row>
    <row r="307" customFormat="false" ht="16.5" hidden="false" customHeight="true" outlineLevel="0" collapsed="false">
      <c r="B307" s="44" t="str">
        <f aca="false">IF(C307="","",ROW()-9)</f>
        <v/>
      </c>
      <c r="C307" s="45"/>
      <c r="D307" s="46" t="str">
        <f aca="false">IF(C307="","",IFERROR(TEXT(C307,"MMMM"),""))</f>
        <v/>
      </c>
      <c r="E307" s="47"/>
      <c r="F307" s="48" t="str">
        <f aca="false">IF(E307="","",IFERROR(INDEX('Chart of Accounts'!$C$4:$C$200,MATCH(TEXT(E307,"@"),TEXT('Chart of Accounts'!$B$4:$B$200,"@"),0)),"⚠ Not Found"))</f>
        <v/>
      </c>
      <c r="G307" s="49"/>
      <c r="H307" s="50"/>
      <c r="I307" s="50"/>
      <c r="J307" s="47"/>
    </row>
    <row r="308" customFormat="false" ht="16.5" hidden="false" customHeight="true" outlineLevel="0" collapsed="false">
      <c r="B308" s="37" t="str">
        <f aca="false">IF(C308="","",ROW()-9)</f>
        <v/>
      </c>
      <c r="C308" s="38"/>
      <c r="D308" s="39" t="str">
        <f aca="false">IF(C308="","",IFERROR(TEXT(C308,"MMMM"),""))</f>
        <v/>
      </c>
      <c r="E308" s="40"/>
      <c r="F308" s="41" t="str">
        <f aca="false">IF(E308="","",IFERROR(INDEX('Chart of Accounts'!$C$4:$C$200,MATCH(TEXT(E308,"@"),TEXT('Chart of Accounts'!$B$4:$B$200,"@"),0)),"⚠ Not Found"))</f>
        <v/>
      </c>
      <c r="G308" s="42"/>
      <c r="H308" s="43"/>
      <c r="I308" s="43"/>
      <c r="J308" s="40"/>
    </row>
    <row r="309" customFormat="false" ht="16.5" hidden="false" customHeight="true" outlineLevel="0" collapsed="false">
      <c r="B309" s="44" t="str">
        <f aca="false">IF(C309="","",ROW()-9)</f>
        <v/>
      </c>
      <c r="C309" s="45"/>
      <c r="D309" s="46" t="str">
        <f aca="false">IF(C309="","",IFERROR(TEXT(C309,"MMMM"),""))</f>
        <v/>
      </c>
      <c r="E309" s="47"/>
      <c r="F309" s="48" t="str">
        <f aca="false">IF(E309="","",IFERROR(INDEX('Chart of Accounts'!$C$4:$C$200,MATCH(TEXT(E309,"@"),TEXT('Chart of Accounts'!$B$4:$B$200,"@"),0)),"⚠ Not Found"))</f>
        <v/>
      </c>
      <c r="G309" s="49"/>
      <c r="H309" s="50"/>
      <c r="I309" s="50"/>
      <c r="J309" s="47"/>
    </row>
    <row r="310" customFormat="false" ht="16.5" hidden="false" customHeight="true" outlineLevel="0" collapsed="false">
      <c r="B310" s="37" t="str">
        <f aca="false">IF(C310="","",ROW()-9)</f>
        <v/>
      </c>
      <c r="C310" s="38"/>
      <c r="D310" s="39" t="str">
        <f aca="false">IF(C310="","",IFERROR(TEXT(C310,"MMMM"),""))</f>
        <v/>
      </c>
      <c r="E310" s="40"/>
      <c r="F310" s="41" t="str">
        <f aca="false">IF(E310="","",IFERROR(INDEX('Chart of Accounts'!$C$4:$C$200,MATCH(TEXT(E310,"@"),TEXT('Chart of Accounts'!$B$4:$B$200,"@"),0)),"⚠ Not Found"))</f>
        <v/>
      </c>
      <c r="G310" s="42"/>
      <c r="H310" s="43"/>
      <c r="I310" s="43"/>
      <c r="J310" s="40"/>
    </row>
    <row r="311" customFormat="false" ht="16.5" hidden="false" customHeight="true" outlineLevel="0" collapsed="false">
      <c r="B311" s="44" t="str">
        <f aca="false">IF(C311="","",ROW()-9)</f>
        <v/>
      </c>
      <c r="C311" s="45"/>
      <c r="D311" s="46" t="str">
        <f aca="false">IF(C311="","",IFERROR(TEXT(C311,"MMMM"),""))</f>
        <v/>
      </c>
      <c r="E311" s="47"/>
      <c r="F311" s="48" t="str">
        <f aca="false">IF(E311="","",IFERROR(INDEX('Chart of Accounts'!$C$4:$C$200,MATCH(TEXT(E311,"@"),TEXT('Chart of Accounts'!$B$4:$B$200,"@"),0)),"⚠ Not Found"))</f>
        <v/>
      </c>
      <c r="G311" s="49"/>
      <c r="H311" s="50"/>
      <c r="I311" s="50"/>
      <c r="J311" s="47"/>
    </row>
    <row r="312" customFormat="false" ht="16.5" hidden="false" customHeight="true" outlineLevel="0" collapsed="false">
      <c r="B312" s="37" t="str">
        <f aca="false">IF(C312="","",ROW()-9)</f>
        <v/>
      </c>
      <c r="C312" s="38"/>
      <c r="D312" s="39" t="str">
        <f aca="false">IF(C312="","",IFERROR(TEXT(C312,"MMMM"),""))</f>
        <v/>
      </c>
      <c r="E312" s="40"/>
      <c r="F312" s="41" t="str">
        <f aca="false">IF(E312="","",IFERROR(INDEX('Chart of Accounts'!$C$4:$C$200,MATCH(TEXT(E312,"@"),TEXT('Chart of Accounts'!$B$4:$B$200,"@"),0)),"⚠ Not Found"))</f>
        <v/>
      </c>
      <c r="G312" s="42"/>
      <c r="H312" s="43"/>
      <c r="I312" s="43"/>
      <c r="J312" s="40"/>
    </row>
    <row r="313" customFormat="false" ht="16.5" hidden="false" customHeight="true" outlineLevel="0" collapsed="false">
      <c r="B313" s="44" t="str">
        <f aca="false">IF(C313="","",ROW()-9)</f>
        <v/>
      </c>
      <c r="C313" s="45"/>
      <c r="D313" s="46" t="str">
        <f aca="false">IF(C313="","",IFERROR(TEXT(C313,"MMMM"),""))</f>
        <v/>
      </c>
      <c r="E313" s="47"/>
      <c r="F313" s="48" t="str">
        <f aca="false">IF(E313="","",IFERROR(INDEX('Chart of Accounts'!$C$4:$C$200,MATCH(TEXT(E313,"@"),TEXT('Chart of Accounts'!$B$4:$B$200,"@"),0)),"⚠ Not Found"))</f>
        <v/>
      </c>
      <c r="G313" s="49"/>
      <c r="H313" s="50"/>
      <c r="I313" s="50"/>
      <c r="J313" s="47"/>
    </row>
    <row r="314" customFormat="false" ht="16.5" hidden="false" customHeight="true" outlineLevel="0" collapsed="false">
      <c r="B314" s="37" t="str">
        <f aca="false">IF(C314="","",ROW()-9)</f>
        <v/>
      </c>
      <c r="C314" s="38"/>
      <c r="D314" s="39" t="str">
        <f aca="false">IF(C314="","",IFERROR(TEXT(C314,"MMMM"),""))</f>
        <v/>
      </c>
      <c r="E314" s="40"/>
      <c r="F314" s="41" t="str">
        <f aca="false">IF(E314="","",IFERROR(INDEX('Chart of Accounts'!$C$4:$C$200,MATCH(TEXT(E314,"@"),TEXT('Chart of Accounts'!$B$4:$B$200,"@"),0)),"⚠ Not Found"))</f>
        <v/>
      </c>
      <c r="G314" s="42"/>
      <c r="H314" s="43"/>
      <c r="I314" s="43"/>
      <c r="J314" s="40"/>
    </row>
    <row r="315" customFormat="false" ht="16.5" hidden="false" customHeight="true" outlineLevel="0" collapsed="false">
      <c r="B315" s="44" t="str">
        <f aca="false">IF(C315="","",ROW()-9)</f>
        <v/>
      </c>
      <c r="C315" s="45"/>
      <c r="D315" s="46" t="str">
        <f aca="false">IF(C315="","",IFERROR(TEXT(C315,"MMMM"),""))</f>
        <v/>
      </c>
      <c r="E315" s="47"/>
      <c r="F315" s="48" t="str">
        <f aca="false">IF(E315="","",IFERROR(INDEX('Chart of Accounts'!$C$4:$C$200,MATCH(TEXT(E315,"@"),TEXT('Chart of Accounts'!$B$4:$B$200,"@"),0)),"⚠ Not Found"))</f>
        <v/>
      </c>
      <c r="G315" s="49"/>
      <c r="H315" s="50"/>
      <c r="I315" s="50"/>
      <c r="J315" s="47"/>
    </row>
    <row r="316" customFormat="false" ht="16.5" hidden="false" customHeight="true" outlineLevel="0" collapsed="false">
      <c r="B316" s="37" t="str">
        <f aca="false">IF(C316="","",ROW()-9)</f>
        <v/>
      </c>
      <c r="C316" s="38"/>
      <c r="D316" s="39" t="str">
        <f aca="false">IF(C316="","",IFERROR(TEXT(C316,"MMMM"),""))</f>
        <v/>
      </c>
      <c r="E316" s="40"/>
      <c r="F316" s="41" t="str">
        <f aca="false">IF(E316="","",IFERROR(INDEX('Chart of Accounts'!$C$4:$C$200,MATCH(TEXT(E316,"@"),TEXT('Chart of Accounts'!$B$4:$B$200,"@"),0)),"⚠ Not Found"))</f>
        <v/>
      </c>
      <c r="G316" s="42"/>
      <c r="H316" s="43"/>
      <c r="I316" s="43"/>
      <c r="J316" s="40"/>
    </row>
    <row r="317" customFormat="false" ht="16.5" hidden="false" customHeight="true" outlineLevel="0" collapsed="false">
      <c r="B317" s="44" t="str">
        <f aca="false">IF(C317="","",ROW()-9)</f>
        <v/>
      </c>
      <c r="C317" s="45"/>
      <c r="D317" s="46" t="str">
        <f aca="false">IF(C317="","",IFERROR(TEXT(C317,"MMMM"),""))</f>
        <v/>
      </c>
      <c r="E317" s="47"/>
      <c r="F317" s="48" t="str">
        <f aca="false">IF(E317="","",IFERROR(INDEX('Chart of Accounts'!$C$4:$C$200,MATCH(TEXT(E317,"@"),TEXT('Chart of Accounts'!$B$4:$B$200,"@"),0)),"⚠ Not Found"))</f>
        <v/>
      </c>
      <c r="G317" s="49"/>
      <c r="H317" s="50"/>
      <c r="I317" s="50"/>
      <c r="J317" s="47"/>
    </row>
    <row r="318" customFormat="false" ht="16.5" hidden="false" customHeight="true" outlineLevel="0" collapsed="false">
      <c r="B318" s="37" t="str">
        <f aca="false">IF(C318="","",ROW()-9)</f>
        <v/>
      </c>
      <c r="C318" s="38"/>
      <c r="D318" s="39" t="str">
        <f aca="false">IF(C318="","",IFERROR(TEXT(C318,"MMMM"),""))</f>
        <v/>
      </c>
      <c r="E318" s="40"/>
      <c r="F318" s="41" t="str">
        <f aca="false">IF(E318="","",IFERROR(INDEX('Chart of Accounts'!$C$4:$C$200,MATCH(TEXT(E318,"@"),TEXT('Chart of Accounts'!$B$4:$B$200,"@"),0)),"⚠ Not Found"))</f>
        <v/>
      </c>
      <c r="G318" s="42"/>
      <c r="H318" s="43"/>
      <c r="I318" s="43"/>
      <c r="J318" s="40"/>
    </row>
    <row r="319" customFormat="false" ht="16.5" hidden="false" customHeight="true" outlineLevel="0" collapsed="false">
      <c r="B319" s="44" t="str">
        <f aca="false">IF(C319="","",ROW()-9)</f>
        <v/>
      </c>
      <c r="C319" s="45"/>
      <c r="D319" s="46" t="str">
        <f aca="false">IF(C319="","",IFERROR(TEXT(C319,"MMMM"),""))</f>
        <v/>
      </c>
      <c r="E319" s="47"/>
      <c r="F319" s="48" t="str">
        <f aca="false">IF(E319="","",IFERROR(INDEX('Chart of Accounts'!$C$4:$C$200,MATCH(TEXT(E319,"@"),TEXT('Chart of Accounts'!$B$4:$B$200,"@"),0)),"⚠ Not Found"))</f>
        <v/>
      </c>
      <c r="G319" s="49"/>
      <c r="H319" s="50"/>
      <c r="I319" s="50"/>
      <c r="J319" s="47"/>
    </row>
    <row r="320" customFormat="false" ht="16.5" hidden="false" customHeight="true" outlineLevel="0" collapsed="false">
      <c r="B320" s="37" t="str">
        <f aca="false">IF(C320="","",ROW()-9)</f>
        <v/>
      </c>
      <c r="C320" s="38"/>
      <c r="D320" s="39" t="str">
        <f aca="false">IF(C320="","",IFERROR(TEXT(C320,"MMMM"),""))</f>
        <v/>
      </c>
      <c r="E320" s="40"/>
      <c r="F320" s="41" t="str">
        <f aca="false">IF(E320="","",IFERROR(INDEX('Chart of Accounts'!$C$4:$C$200,MATCH(TEXT(E320,"@"),TEXT('Chart of Accounts'!$B$4:$B$200,"@"),0)),"⚠ Not Found"))</f>
        <v/>
      </c>
      <c r="G320" s="42"/>
      <c r="H320" s="43"/>
      <c r="I320" s="43"/>
      <c r="J320" s="40"/>
    </row>
    <row r="321" customFormat="false" ht="16.5" hidden="false" customHeight="true" outlineLevel="0" collapsed="false">
      <c r="B321" s="44" t="str">
        <f aca="false">IF(C321="","",ROW()-9)</f>
        <v/>
      </c>
      <c r="C321" s="45"/>
      <c r="D321" s="46" t="str">
        <f aca="false">IF(C321="","",IFERROR(TEXT(C321,"MMMM"),""))</f>
        <v/>
      </c>
      <c r="E321" s="47"/>
      <c r="F321" s="48" t="str">
        <f aca="false">IF(E321="","",IFERROR(INDEX('Chart of Accounts'!$C$4:$C$200,MATCH(TEXT(E321,"@"),TEXT('Chart of Accounts'!$B$4:$B$200,"@"),0)),"⚠ Not Found"))</f>
        <v/>
      </c>
      <c r="G321" s="49"/>
      <c r="H321" s="50"/>
      <c r="I321" s="50"/>
      <c r="J321" s="47"/>
    </row>
    <row r="322" customFormat="false" ht="16.5" hidden="false" customHeight="true" outlineLevel="0" collapsed="false">
      <c r="B322" s="37" t="str">
        <f aca="false">IF(C322="","",ROW()-9)</f>
        <v/>
      </c>
      <c r="C322" s="38"/>
      <c r="D322" s="39" t="str">
        <f aca="false">IF(C322="","",IFERROR(TEXT(C322,"MMMM"),""))</f>
        <v/>
      </c>
      <c r="E322" s="40"/>
      <c r="F322" s="41" t="str">
        <f aca="false">IF(E322="","",IFERROR(INDEX('Chart of Accounts'!$C$4:$C$200,MATCH(TEXT(E322,"@"),TEXT('Chart of Accounts'!$B$4:$B$200,"@"),0)),"⚠ Not Found"))</f>
        <v/>
      </c>
      <c r="G322" s="42"/>
      <c r="H322" s="43"/>
      <c r="I322" s="43"/>
      <c r="J322" s="40"/>
    </row>
    <row r="323" customFormat="false" ht="16.5" hidden="false" customHeight="true" outlineLevel="0" collapsed="false">
      <c r="B323" s="44" t="str">
        <f aca="false">IF(C323="","",ROW()-9)</f>
        <v/>
      </c>
      <c r="C323" s="45"/>
      <c r="D323" s="46" t="str">
        <f aca="false">IF(C323="","",IFERROR(TEXT(C323,"MMMM"),""))</f>
        <v/>
      </c>
      <c r="E323" s="47"/>
      <c r="F323" s="48" t="str">
        <f aca="false">IF(E323="","",IFERROR(INDEX('Chart of Accounts'!$C$4:$C$200,MATCH(TEXT(E323,"@"),TEXT('Chart of Accounts'!$B$4:$B$200,"@"),0)),"⚠ Not Found"))</f>
        <v/>
      </c>
      <c r="G323" s="49"/>
      <c r="H323" s="50"/>
      <c r="I323" s="50"/>
      <c r="J323" s="47"/>
    </row>
    <row r="324" customFormat="false" ht="16.5" hidden="false" customHeight="true" outlineLevel="0" collapsed="false">
      <c r="B324" s="37" t="str">
        <f aca="false">IF(C324="","",ROW()-9)</f>
        <v/>
      </c>
      <c r="C324" s="38"/>
      <c r="D324" s="39" t="str">
        <f aca="false">IF(C324="","",IFERROR(TEXT(C324,"MMMM"),""))</f>
        <v/>
      </c>
      <c r="E324" s="40"/>
      <c r="F324" s="41" t="str">
        <f aca="false">IF(E324="","",IFERROR(INDEX('Chart of Accounts'!$C$4:$C$200,MATCH(TEXT(E324,"@"),TEXT('Chart of Accounts'!$B$4:$B$200,"@"),0)),"⚠ Not Found"))</f>
        <v/>
      </c>
      <c r="G324" s="42"/>
      <c r="H324" s="43"/>
      <c r="I324" s="43"/>
      <c r="J324" s="40"/>
    </row>
    <row r="325" customFormat="false" ht="16.5" hidden="false" customHeight="true" outlineLevel="0" collapsed="false">
      <c r="B325" s="44" t="str">
        <f aca="false">IF(C325="","",ROW()-9)</f>
        <v/>
      </c>
      <c r="C325" s="45"/>
      <c r="D325" s="46" t="str">
        <f aca="false">IF(C325="","",IFERROR(TEXT(C325,"MMMM"),""))</f>
        <v/>
      </c>
      <c r="E325" s="47"/>
      <c r="F325" s="48" t="str">
        <f aca="false">IF(E325="","",IFERROR(INDEX('Chart of Accounts'!$C$4:$C$200,MATCH(TEXT(E325,"@"),TEXT('Chart of Accounts'!$B$4:$B$200,"@"),0)),"⚠ Not Found"))</f>
        <v/>
      </c>
      <c r="G325" s="49"/>
      <c r="H325" s="50"/>
      <c r="I325" s="50"/>
      <c r="J325" s="47"/>
    </row>
    <row r="326" customFormat="false" ht="16.5" hidden="false" customHeight="true" outlineLevel="0" collapsed="false">
      <c r="B326" s="37" t="str">
        <f aca="false">IF(C326="","",ROW()-9)</f>
        <v/>
      </c>
      <c r="C326" s="38"/>
      <c r="D326" s="39" t="str">
        <f aca="false">IF(C326="","",IFERROR(TEXT(C326,"MMMM"),""))</f>
        <v/>
      </c>
      <c r="E326" s="40"/>
      <c r="F326" s="41" t="str">
        <f aca="false">IF(E326="","",IFERROR(INDEX('Chart of Accounts'!$C$4:$C$200,MATCH(TEXT(E326,"@"),TEXT('Chart of Accounts'!$B$4:$B$200,"@"),0)),"⚠ Not Found"))</f>
        <v/>
      </c>
      <c r="G326" s="42"/>
      <c r="H326" s="43"/>
      <c r="I326" s="43"/>
      <c r="J326" s="40"/>
    </row>
    <row r="327" customFormat="false" ht="16.5" hidden="false" customHeight="true" outlineLevel="0" collapsed="false">
      <c r="B327" s="44" t="str">
        <f aca="false">IF(C327="","",ROW()-9)</f>
        <v/>
      </c>
      <c r="C327" s="45"/>
      <c r="D327" s="46" t="str">
        <f aca="false">IF(C327="","",IFERROR(TEXT(C327,"MMMM"),""))</f>
        <v/>
      </c>
      <c r="E327" s="47"/>
      <c r="F327" s="48" t="str">
        <f aca="false">IF(E327="","",IFERROR(INDEX('Chart of Accounts'!$C$4:$C$200,MATCH(TEXT(E327,"@"),TEXT('Chart of Accounts'!$B$4:$B$200,"@"),0)),"⚠ Not Found"))</f>
        <v/>
      </c>
      <c r="G327" s="49"/>
      <c r="H327" s="50"/>
      <c r="I327" s="50"/>
      <c r="J327" s="47"/>
    </row>
    <row r="328" customFormat="false" ht="16.5" hidden="false" customHeight="true" outlineLevel="0" collapsed="false">
      <c r="B328" s="37" t="str">
        <f aca="false">IF(C328="","",ROW()-9)</f>
        <v/>
      </c>
      <c r="C328" s="38"/>
      <c r="D328" s="39" t="str">
        <f aca="false">IF(C328="","",IFERROR(TEXT(C328,"MMMM"),""))</f>
        <v/>
      </c>
      <c r="E328" s="40"/>
      <c r="F328" s="41" t="str">
        <f aca="false">IF(E328="","",IFERROR(INDEX('Chart of Accounts'!$C$4:$C$200,MATCH(TEXT(E328,"@"),TEXT('Chart of Accounts'!$B$4:$B$200,"@"),0)),"⚠ Not Found"))</f>
        <v/>
      </c>
      <c r="G328" s="42"/>
      <c r="H328" s="43"/>
      <c r="I328" s="43"/>
      <c r="J328" s="40"/>
    </row>
    <row r="329" customFormat="false" ht="16.5" hidden="false" customHeight="true" outlineLevel="0" collapsed="false">
      <c r="B329" s="44" t="str">
        <f aca="false">IF(C329="","",ROW()-9)</f>
        <v/>
      </c>
      <c r="C329" s="45"/>
      <c r="D329" s="46" t="str">
        <f aca="false">IF(C329="","",IFERROR(TEXT(C329,"MMMM"),""))</f>
        <v/>
      </c>
      <c r="E329" s="47"/>
      <c r="F329" s="48" t="str">
        <f aca="false">IF(E329="","",IFERROR(INDEX('Chart of Accounts'!$C$4:$C$200,MATCH(TEXT(E329,"@"),TEXT('Chart of Accounts'!$B$4:$B$200,"@"),0)),"⚠ Not Found"))</f>
        <v/>
      </c>
      <c r="G329" s="49"/>
      <c r="H329" s="50"/>
      <c r="I329" s="50"/>
      <c r="J329" s="47"/>
    </row>
    <row r="330" customFormat="false" ht="16.5" hidden="false" customHeight="true" outlineLevel="0" collapsed="false">
      <c r="B330" s="37" t="str">
        <f aca="false">IF(C330="","",ROW()-9)</f>
        <v/>
      </c>
      <c r="C330" s="38"/>
      <c r="D330" s="39" t="str">
        <f aca="false">IF(C330="","",IFERROR(TEXT(C330,"MMMM"),""))</f>
        <v/>
      </c>
      <c r="E330" s="40"/>
      <c r="F330" s="41" t="str">
        <f aca="false">IF(E330="","",IFERROR(INDEX('Chart of Accounts'!$C$4:$C$200,MATCH(TEXT(E330,"@"),TEXT('Chart of Accounts'!$B$4:$B$200,"@"),0)),"⚠ Not Found"))</f>
        <v/>
      </c>
      <c r="G330" s="42"/>
      <c r="H330" s="43"/>
      <c r="I330" s="43"/>
      <c r="J330" s="40"/>
    </row>
    <row r="331" customFormat="false" ht="16.5" hidden="false" customHeight="true" outlineLevel="0" collapsed="false">
      <c r="B331" s="44" t="str">
        <f aca="false">IF(C331="","",ROW()-9)</f>
        <v/>
      </c>
      <c r="C331" s="45"/>
      <c r="D331" s="46" t="str">
        <f aca="false">IF(C331="","",IFERROR(TEXT(C331,"MMMM"),""))</f>
        <v/>
      </c>
      <c r="E331" s="47"/>
      <c r="F331" s="48" t="str">
        <f aca="false">IF(E331="","",IFERROR(INDEX('Chart of Accounts'!$C$4:$C$200,MATCH(TEXT(E331,"@"),TEXT('Chart of Accounts'!$B$4:$B$200,"@"),0)),"⚠ Not Found"))</f>
        <v/>
      </c>
      <c r="G331" s="49"/>
      <c r="H331" s="50"/>
      <c r="I331" s="50"/>
      <c r="J331" s="47"/>
    </row>
    <row r="332" customFormat="false" ht="16.5" hidden="false" customHeight="true" outlineLevel="0" collapsed="false">
      <c r="B332" s="37" t="str">
        <f aca="false">IF(C332="","",ROW()-9)</f>
        <v/>
      </c>
      <c r="C332" s="38"/>
      <c r="D332" s="39" t="str">
        <f aca="false">IF(C332="","",IFERROR(TEXT(C332,"MMMM"),""))</f>
        <v/>
      </c>
      <c r="E332" s="40"/>
      <c r="F332" s="41" t="str">
        <f aca="false">IF(E332="","",IFERROR(INDEX('Chart of Accounts'!$C$4:$C$200,MATCH(TEXT(E332,"@"),TEXT('Chart of Accounts'!$B$4:$B$200,"@"),0)),"⚠ Not Found"))</f>
        <v/>
      </c>
      <c r="G332" s="42"/>
      <c r="H332" s="43"/>
      <c r="I332" s="43"/>
      <c r="J332" s="40"/>
    </row>
    <row r="333" customFormat="false" ht="16.5" hidden="false" customHeight="true" outlineLevel="0" collapsed="false">
      <c r="B333" s="44" t="str">
        <f aca="false">IF(C333="","",ROW()-9)</f>
        <v/>
      </c>
      <c r="C333" s="45"/>
      <c r="D333" s="46" t="str">
        <f aca="false">IF(C333="","",IFERROR(TEXT(C333,"MMMM"),""))</f>
        <v/>
      </c>
      <c r="E333" s="47"/>
      <c r="F333" s="48" t="str">
        <f aca="false">IF(E333="","",IFERROR(INDEX('Chart of Accounts'!$C$4:$C$200,MATCH(TEXT(E333,"@"),TEXT('Chart of Accounts'!$B$4:$B$200,"@"),0)),"⚠ Not Found"))</f>
        <v/>
      </c>
      <c r="G333" s="49"/>
      <c r="H333" s="50"/>
      <c r="I333" s="50"/>
      <c r="J333" s="47"/>
    </row>
    <row r="334" customFormat="false" ht="16.5" hidden="false" customHeight="true" outlineLevel="0" collapsed="false">
      <c r="B334" s="37" t="str">
        <f aca="false">IF(C334="","",ROW()-9)</f>
        <v/>
      </c>
      <c r="C334" s="38"/>
      <c r="D334" s="39" t="str">
        <f aca="false">IF(C334="","",IFERROR(TEXT(C334,"MMMM"),""))</f>
        <v/>
      </c>
      <c r="E334" s="40"/>
      <c r="F334" s="41" t="str">
        <f aca="false">IF(E334="","",IFERROR(INDEX('Chart of Accounts'!$C$4:$C$200,MATCH(TEXT(E334,"@"),TEXT('Chart of Accounts'!$B$4:$B$200,"@"),0)),"⚠ Not Found"))</f>
        <v/>
      </c>
      <c r="G334" s="42"/>
      <c r="H334" s="43"/>
      <c r="I334" s="43"/>
      <c r="J334" s="40"/>
    </row>
    <row r="335" customFormat="false" ht="16.5" hidden="false" customHeight="true" outlineLevel="0" collapsed="false">
      <c r="B335" s="44" t="str">
        <f aca="false">IF(C335="","",ROW()-9)</f>
        <v/>
      </c>
      <c r="C335" s="45"/>
      <c r="D335" s="46" t="str">
        <f aca="false">IF(C335="","",IFERROR(TEXT(C335,"MMMM"),""))</f>
        <v/>
      </c>
      <c r="E335" s="47"/>
      <c r="F335" s="48" t="str">
        <f aca="false">IF(E335="","",IFERROR(INDEX('Chart of Accounts'!$C$4:$C$200,MATCH(TEXT(E335,"@"),TEXT('Chart of Accounts'!$B$4:$B$200,"@"),0)),"⚠ Not Found"))</f>
        <v/>
      </c>
      <c r="G335" s="49"/>
      <c r="H335" s="50"/>
      <c r="I335" s="50"/>
      <c r="J335" s="47"/>
    </row>
    <row r="336" customFormat="false" ht="16.5" hidden="false" customHeight="true" outlineLevel="0" collapsed="false">
      <c r="B336" s="37" t="str">
        <f aca="false">IF(C336="","",ROW()-9)</f>
        <v/>
      </c>
      <c r="C336" s="38"/>
      <c r="D336" s="39" t="str">
        <f aca="false">IF(C336="","",IFERROR(TEXT(C336,"MMMM"),""))</f>
        <v/>
      </c>
      <c r="E336" s="40"/>
      <c r="F336" s="41" t="str">
        <f aca="false">IF(E336="","",IFERROR(INDEX('Chart of Accounts'!$C$4:$C$200,MATCH(TEXT(E336,"@"),TEXT('Chart of Accounts'!$B$4:$B$200,"@"),0)),"⚠ Not Found"))</f>
        <v/>
      </c>
      <c r="G336" s="42"/>
      <c r="H336" s="43"/>
      <c r="I336" s="43"/>
      <c r="J336" s="40"/>
    </row>
    <row r="337" customFormat="false" ht="16.5" hidden="false" customHeight="true" outlineLevel="0" collapsed="false">
      <c r="B337" s="44" t="str">
        <f aca="false">IF(C337="","",ROW()-9)</f>
        <v/>
      </c>
      <c r="C337" s="45"/>
      <c r="D337" s="46" t="str">
        <f aca="false">IF(C337="","",IFERROR(TEXT(C337,"MMMM"),""))</f>
        <v/>
      </c>
      <c r="E337" s="47"/>
      <c r="F337" s="48" t="str">
        <f aca="false">IF(E337="","",IFERROR(INDEX('Chart of Accounts'!$C$4:$C$200,MATCH(TEXT(E337,"@"),TEXT('Chart of Accounts'!$B$4:$B$200,"@"),0)),"⚠ Not Found"))</f>
        <v/>
      </c>
      <c r="G337" s="49"/>
      <c r="H337" s="50"/>
      <c r="I337" s="50"/>
      <c r="J337" s="47"/>
    </row>
    <row r="338" customFormat="false" ht="16.5" hidden="false" customHeight="true" outlineLevel="0" collapsed="false">
      <c r="B338" s="37" t="str">
        <f aca="false">IF(C338="","",ROW()-9)</f>
        <v/>
      </c>
      <c r="C338" s="38"/>
      <c r="D338" s="39" t="str">
        <f aca="false">IF(C338="","",IFERROR(TEXT(C338,"MMMM"),""))</f>
        <v/>
      </c>
      <c r="E338" s="40"/>
      <c r="F338" s="41" t="str">
        <f aca="false">IF(E338="","",IFERROR(INDEX('Chart of Accounts'!$C$4:$C$200,MATCH(TEXT(E338,"@"),TEXT('Chart of Accounts'!$B$4:$B$200,"@"),0)),"⚠ Not Found"))</f>
        <v/>
      </c>
      <c r="G338" s="42"/>
      <c r="H338" s="43"/>
      <c r="I338" s="43"/>
      <c r="J338" s="40"/>
    </row>
    <row r="339" customFormat="false" ht="16.5" hidden="false" customHeight="true" outlineLevel="0" collapsed="false">
      <c r="B339" s="44" t="str">
        <f aca="false">IF(C339="","",ROW()-9)</f>
        <v/>
      </c>
      <c r="C339" s="45"/>
      <c r="D339" s="46" t="str">
        <f aca="false">IF(C339="","",IFERROR(TEXT(C339,"MMMM"),""))</f>
        <v/>
      </c>
      <c r="E339" s="47"/>
      <c r="F339" s="48" t="str">
        <f aca="false">IF(E339="","",IFERROR(INDEX('Chart of Accounts'!$C$4:$C$200,MATCH(TEXT(E339,"@"),TEXT('Chart of Accounts'!$B$4:$B$200,"@"),0)),"⚠ Not Found"))</f>
        <v/>
      </c>
      <c r="G339" s="49"/>
      <c r="H339" s="50"/>
      <c r="I339" s="50"/>
      <c r="J339" s="47"/>
    </row>
    <row r="340" customFormat="false" ht="16.5" hidden="false" customHeight="true" outlineLevel="0" collapsed="false">
      <c r="B340" s="37" t="str">
        <f aca="false">IF(C340="","",ROW()-9)</f>
        <v/>
      </c>
      <c r="C340" s="38"/>
      <c r="D340" s="39" t="str">
        <f aca="false">IF(C340="","",IFERROR(TEXT(C340,"MMMM"),""))</f>
        <v/>
      </c>
      <c r="E340" s="40"/>
      <c r="F340" s="41" t="str">
        <f aca="false">IF(E340="","",IFERROR(INDEX('Chart of Accounts'!$C$4:$C$200,MATCH(TEXT(E340,"@"),TEXT('Chart of Accounts'!$B$4:$B$200,"@"),0)),"⚠ Not Found"))</f>
        <v/>
      </c>
      <c r="G340" s="42"/>
      <c r="H340" s="43"/>
      <c r="I340" s="43"/>
      <c r="J340" s="40"/>
    </row>
    <row r="341" customFormat="false" ht="16.5" hidden="false" customHeight="true" outlineLevel="0" collapsed="false">
      <c r="B341" s="44" t="str">
        <f aca="false">IF(C341="","",ROW()-9)</f>
        <v/>
      </c>
      <c r="C341" s="45"/>
      <c r="D341" s="46" t="str">
        <f aca="false">IF(C341="","",IFERROR(TEXT(C341,"MMMM"),""))</f>
        <v/>
      </c>
      <c r="E341" s="47"/>
      <c r="F341" s="48" t="str">
        <f aca="false">IF(E341="","",IFERROR(INDEX('Chart of Accounts'!$C$4:$C$200,MATCH(TEXT(E341,"@"),TEXT('Chart of Accounts'!$B$4:$B$200,"@"),0)),"⚠ Not Found"))</f>
        <v/>
      </c>
      <c r="G341" s="49"/>
      <c r="H341" s="50"/>
      <c r="I341" s="50"/>
      <c r="J341" s="47"/>
    </row>
    <row r="342" customFormat="false" ht="16.5" hidden="false" customHeight="true" outlineLevel="0" collapsed="false">
      <c r="B342" s="37" t="str">
        <f aca="false">IF(C342="","",ROW()-9)</f>
        <v/>
      </c>
      <c r="C342" s="38"/>
      <c r="D342" s="39" t="str">
        <f aca="false">IF(C342="","",IFERROR(TEXT(C342,"MMMM"),""))</f>
        <v/>
      </c>
      <c r="E342" s="40"/>
      <c r="F342" s="41" t="str">
        <f aca="false">IF(E342="","",IFERROR(INDEX('Chart of Accounts'!$C$4:$C$200,MATCH(TEXT(E342,"@"),TEXT('Chart of Accounts'!$B$4:$B$200,"@"),0)),"⚠ Not Found"))</f>
        <v/>
      </c>
      <c r="G342" s="42"/>
      <c r="H342" s="43"/>
      <c r="I342" s="43"/>
      <c r="J342" s="40"/>
    </row>
    <row r="343" customFormat="false" ht="16.5" hidden="false" customHeight="true" outlineLevel="0" collapsed="false">
      <c r="B343" s="44" t="str">
        <f aca="false">IF(C343="","",ROW()-9)</f>
        <v/>
      </c>
      <c r="C343" s="45"/>
      <c r="D343" s="46" t="str">
        <f aca="false">IF(C343="","",IFERROR(TEXT(C343,"MMMM"),""))</f>
        <v/>
      </c>
      <c r="E343" s="47"/>
      <c r="F343" s="48" t="str">
        <f aca="false">IF(E343="","",IFERROR(INDEX('Chart of Accounts'!$C$4:$C$200,MATCH(TEXT(E343,"@"),TEXT('Chart of Accounts'!$B$4:$B$200,"@"),0)),"⚠ Not Found"))</f>
        <v/>
      </c>
      <c r="G343" s="49"/>
      <c r="H343" s="50"/>
      <c r="I343" s="50"/>
      <c r="J343" s="47"/>
    </row>
    <row r="344" customFormat="false" ht="16.5" hidden="false" customHeight="true" outlineLevel="0" collapsed="false">
      <c r="B344" s="37" t="str">
        <f aca="false">IF(C344="","",ROW()-9)</f>
        <v/>
      </c>
      <c r="C344" s="38"/>
      <c r="D344" s="39" t="str">
        <f aca="false">IF(C344="","",IFERROR(TEXT(C344,"MMMM"),""))</f>
        <v/>
      </c>
      <c r="E344" s="40"/>
      <c r="F344" s="41" t="str">
        <f aca="false">IF(E344="","",IFERROR(INDEX('Chart of Accounts'!$C$4:$C$200,MATCH(TEXT(E344,"@"),TEXT('Chart of Accounts'!$B$4:$B$200,"@"),0)),"⚠ Not Found"))</f>
        <v/>
      </c>
      <c r="G344" s="42"/>
      <c r="H344" s="43"/>
      <c r="I344" s="43"/>
      <c r="J344" s="40"/>
    </row>
    <row r="345" customFormat="false" ht="16.5" hidden="false" customHeight="true" outlineLevel="0" collapsed="false">
      <c r="B345" s="44" t="str">
        <f aca="false">IF(C345="","",ROW()-9)</f>
        <v/>
      </c>
      <c r="C345" s="45"/>
      <c r="D345" s="46" t="str">
        <f aca="false">IF(C345="","",IFERROR(TEXT(C345,"MMMM"),""))</f>
        <v/>
      </c>
      <c r="E345" s="47"/>
      <c r="F345" s="48" t="str">
        <f aca="false">IF(E345="","",IFERROR(INDEX('Chart of Accounts'!$C$4:$C$200,MATCH(TEXT(E345,"@"),TEXT('Chart of Accounts'!$B$4:$B$200,"@"),0)),"⚠ Not Found"))</f>
        <v/>
      </c>
      <c r="G345" s="49"/>
      <c r="H345" s="50"/>
      <c r="I345" s="50"/>
      <c r="J345" s="47"/>
    </row>
    <row r="346" customFormat="false" ht="16.5" hidden="false" customHeight="true" outlineLevel="0" collapsed="false">
      <c r="B346" s="37" t="str">
        <f aca="false">IF(C346="","",ROW()-9)</f>
        <v/>
      </c>
      <c r="C346" s="38"/>
      <c r="D346" s="39" t="str">
        <f aca="false">IF(C346="","",IFERROR(TEXT(C346,"MMMM"),""))</f>
        <v/>
      </c>
      <c r="E346" s="40"/>
      <c r="F346" s="41" t="str">
        <f aca="false">IF(E346="","",IFERROR(INDEX('Chart of Accounts'!$C$4:$C$200,MATCH(TEXT(E346,"@"),TEXT('Chart of Accounts'!$B$4:$B$200,"@"),0)),"⚠ Not Found"))</f>
        <v/>
      </c>
      <c r="G346" s="42"/>
      <c r="H346" s="43"/>
      <c r="I346" s="43"/>
      <c r="J346" s="40"/>
    </row>
    <row r="347" customFormat="false" ht="16.5" hidden="false" customHeight="true" outlineLevel="0" collapsed="false">
      <c r="B347" s="44" t="str">
        <f aca="false">IF(C347="","",ROW()-9)</f>
        <v/>
      </c>
      <c r="C347" s="45"/>
      <c r="D347" s="46" t="str">
        <f aca="false">IF(C347="","",IFERROR(TEXT(C347,"MMMM"),""))</f>
        <v/>
      </c>
      <c r="E347" s="47"/>
      <c r="F347" s="48" t="str">
        <f aca="false">IF(E347="","",IFERROR(INDEX('Chart of Accounts'!$C$4:$C$200,MATCH(TEXT(E347,"@"),TEXT('Chart of Accounts'!$B$4:$B$200,"@"),0)),"⚠ Not Found"))</f>
        <v/>
      </c>
      <c r="G347" s="49"/>
      <c r="H347" s="50"/>
      <c r="I347" s="50"/>
      <c r="J347" s="47"/>
    </row>
    <row r="348" customFormat="false" ht="16.5" hidden="false" customHeight="true" outlineLevel="0" collapsed="false">
      <c r="B348" s="37" t="str">
        <f aca="false">IF(C348="","",ROW()-9)</f>
        <v/>
      </c>
      <c r="C348" s="38"/>
      <c r="D348" s="39" t="str">
        <f aca="false">IF(C348="","",IFERROR(TEXT(C348,"MMMM"),""))</f>
        <v/>
      </c>
      <c r="E348" s="40"/>
      <c r="F348" s="41" t="str">
        <f aca="false">IF(E348="","",IFERROR(INDEX('Chart of Accounts'!$C$4:$C$200,MATCH(TEXT(E348,"@"),TEXT('Chart of Accounts'!$B$4:$B$200,"@"),0)),"⚠ Not Found"))</f>
        <v/>
      </c>
      <c r="G348" s="42"/>
      <c r="H348" s="43"/>
      <c r="I348" s="43"/>
      <c r="J348" s="40"/>
    </row>
    <row r="349" customFormat="false" ht="16.5" hidden="false" customHeight="true" outlineLevel="0" collapsed="false">
      <c r="B349" s="44" t="str">
        <f aca="false">IF(C349="","",ROW()-9)</f>
        <v/>
      </c>
      <c r="C349" s="45"/>
      <c r="D349" s="46" t="str">
        <f aca="false">IF(C349="","",IFERROR(TEXT(C349,"MMMM"),""))</f>
        <v/>
      </c>
      <c r="E349" s="47"/>
      <c r="F349" s="48" t="str">
        <f aca="false">IF(E349="","",IFERROR(INDEX('Chart of Accounts'!$C$4:$C$200,MATCH(TEXT(E349,"@"),TEXT('Chart of Accounts'!$B$4:$B$200,"@"),0)),"⚠ Not Found"))</f>
        <v/>
      </c>
      <c r="G349" s="49"/>
      <c r="H349" s="50"/>
      <c r="I349" s="50"/>
      <c r="J349" s="47"/>
    </row>
    <row r="350" customFormat="false" ht="16.5" hidden="false" customHeight="true" outlineLevel="0" collapsed="false">
      <c r="B350" s="37" t="str">
        <f aca="false">IF(C350="","",ROW()-9)</f>
        <v/>
      </c>
      <c r="C350" s="38"/>
      <c r="D350" s="39" t="str">
        <f aca="false">IF(C350="","",IFERROR(TEXT(C350,"MMMM"),""))</f>
        <v/>
      </c>
      <c r="E350" s="40"/>
      <c r="F350" s="41" t="str">
        <f aca="false">IF(E350="","",IFERROR(INDEX('Chart of Accounts'!$C$4:$C$200,MATCH(TEXT(E350,"@"),TEXT('Chart of Accounts'!$B$4:$B$200,"@"),0)),"⚠ Not Found"))</f>
        <v/>
      </c>
      <c r="G350" s="42"/>
      <c r="H350" s="43"/>
      <c r="I350" s="43"/>
      <c r="J350" s="40"/>
    </row>
    <row r="351" customFormat="false" ht="16.5" hidden="false" customHeight="true" outlineLevel="0" collapsed="false">
      <c r="B351" s="44" t="str">
        <f aca="false">IF(C351="","",ROW()-9)</f>
        <v/>
      </c>
      <c r="C351" s="45"/>
      <c r="D351" s="46" t="str">
        <f aca="false">IF(C351="","",IFERROR(TEXT(C351,"MMMM"),""))</f>
        <v/>
      </c>
      <c r="E351" s="47"/>
      <c r="F351" s="48" t="str">
        <f aca="false">IF(E351="","",IFERROR(INDEX('Chart of Accounts'!$C$4:$C$200,MATCH(TEXT(E351,"@"),TEXT('Chart of Accounts'!$B$4:$B$200,"@"),0)),"⚠ Not Found"))</f>
        <v/>
      </c>
      <c r="G351" s="49"/>
      <c r="H351" s="50"/>
      <c r="I351" s="50"/>
      <c r="J351" s="47"/>
    </row>
    <row r="352" customFormat="false" ht="16.5" hidden="false" customHeight="true" outlineLevel="0" collapsed="false">
      <c r="B352" s="37" t="str">
        <f aca="false">IF(C352="","",ROW()-9)</f>
        <v/>
      </c>
      <c r="C352" s="38"/>
      <c r="D352" s="39" t="str">
        <f aca="false">IF(C352="","",IFERROR(TEXT(C352,"MMMM"),""))</f>
        <v/>
      </c>
      <c r="E352" s="40"/>
      <c r="F352" s="41" t="str">
        <f aca="false">IF(E352="","",IFERROR(INDEX('Chart of Accounts'!$C$4:$C$200,MATCH(TEXT(E352,"@"),TEXT('Chart of Accounts'!$B$4:$B$200,"@"),0)),"⚠ Not Found"))</f>
        <v/>
      </c>
      <c r="G352" s="42"/>
      <c r="H352" s="43"/>
      <c r="I352" s="43"/>
      <c r="J352" s="40"/>
    </row>
    <row r="353" customFormat="false" ht="16.5" hidden="false" customHeight="true" outlineLevel="0" collapsed="false">
      <c r="B353" s="44" t="str">
        <f aca="false">IF(C353="","",ROW()-9)</f>
        <v/>
      </c>
      <c r="C353" s="45"/>
      <c r="D353" s="46" t="str">
        <f aca="false">IF(C353="","",IFERROR(TEXT(C353,"MMMM"),""))</f>
        <v/>
      </c>
      <c r="E353" s="47"/>
      <c r="F353" s="48" t="str">
        <f aca="false">IF(E353="","",IFERROR(INDEX('Chart of Accounts'!$C$4:$C$200,MATCH(TEXT(E353,"@"),TEXT('Chart of Accounts'!$B$4:$B$200,"@"),0)),"⚠ Not Found"))</f>
        <v/>
      </c>
      <c r="G353" s="49"/>
      <c r="H353" s="50"/>
      <c r="I353" s="50"/>
      <c r="J353" s="47"/>
    </row>
    <row r="354" customFormat="false" ht="16.5" hidden="false" customHeight="true" outlineLevel="0" collapsed="false">
      <c r="B354" s="37" t="str">
        <f aca="false">IF(C354="","",ROW()-9)</f>
        <v/>
      </c>
      <c r="C354" s="38"/>
      <c r="D354" s="39" t="str">
        <f aca="false">IF(C354="","",IFERROR(TEXT(C354,"MMMM"),""))</f>
        <v/>
      </c>
      <c r="E354" s="40"/>
      <c r="F354" s="41" t="str">
        <f aca="false">IF(E354="","",IFERROR(INDEX('Chart of Accounts'!$C$4:$C$200,MATCH(TEXT(E354,"@"),TEXT('Chart of Accounts'!$B$4:$B$200,"@"),0)),"⚠ Not Found"))</f>
        <v/>
      </c>
      <c r="G354" s="42"/>
      <c r="H354" s="43"/>
      <c r="I354" s="43"/>
      <c r="J354" s="40"/>
    </row>
    <row r="355" customFormat="false" ht="16.5" hidden="false" customHeight="true" outlineLevel="0" collapsed="false">
      <c r="B355" s="44" t="str">
        <f aca="false">IF(C355="","",ROW()-9)</f>
        <v/>
      </c>
      <c r="C355" s="45"/>
      <c r="D355" s="46" t="str">
        <f aca="false">IF(C355="","",IFERROR(TEXT(C355,"MMMM"),""))</f>
        <v/>
      </c>
      <c r="E355" s="47"/>
      <c r="F355" s="48" t="str">
        <f aca="false">IF(E355="","",IFERROR(INDEX('Chart of Accounts'!$C$4:$C$200,MATCH(TEXT(E355,"@"),TEXT('Chart of Accounts'!$B$4:$B$200,"@"),0)),"⚠ Not Found"))</f>
        <v/>
      </c>
      <c r="G355" s="49"/>
      <c r="H355" s="50"/>
      <c r="I355" s="50"/>
      <c r="J355" s="47"/>
    </row>
    <row r="356" customFormat="false" ht="16.5" hidden="false" customHeight="true" outlineLevel="0" collapsed="false">
      <c r="B356" s="37" t="str">
        <f aca="false">IF(C356="","",ROW()-9)</f>
        <v/>
      </c>
      <c r="C356" s="38"/>
      <c r="D356" s="39" t="str">
        <f aca="false">IF(C356="","",IFERROR(TEXT(C356,"MMMM"),""))</f>
        <v/>
      </c>
      <c r="E356" s="40"/>
      <c r="F356" s="41" t="str">
        <f aca="false">IF(E356="","",IFERROR(INDEX('Chart of Accounts'!$C$4:$C$200,MATCH(TEXT(E356,"@"),TEXT('Chart of Accounts'!$B$4:$B$200,"@"),0)),"⚠ Not Found"))</f>
        <v/>
      </c>
      <c r="G356" s="42"/>
      <c r="H356" s="43"/>
      <c r="I356" s="43"/>
      <c r="J356" s="40"/>
    </row>
    <row r="357" customFormat="false" ht="16.5" hidden="false" customHeight="true" outlineLevel="0" collapsed="false">
      <c r="B357" s="44" t="str">
        <f aca="false">IF(C357="","",ROW()-9)</f>
        <v/>
      </c>
      <c r="C357" s="45"/>
      <c r="D357" s="46" t="str">
        <f aca="false">IF(C357="","",IFERROR(TEXT(C357,"MMMM"),""))</f>
        <v/>
      </c>
      <c r="E357" s="47"/>
      <c r="F357" s="48" t="str">
        <f aca="false">IF(E357="","",IFERROR(INDEX('Chart of Accounts'!$C$4:$C$200,MATCH(TEXT(E357,"@"),TEXT('Chart of Accounts'!$B$4:$B$200,"@"),0)),"⚠ Not Found"))</f>
        <v/>
      </c>
      <c r="G357" s="49"/>
      <c r="H357" s="50"/>
      <c r="I357" s="50"/>
      <c r="J357" s="47"/>
    </row>
    <row r="358" customFormat="false" ht="16.5" hidden="false" customHeight="true" outlineLevel="0" collapsed="false">
      <c r="B358" s="37" t="str">
        <f aca="false">IF(C358="","",ROW()-9)</f>
        <v/>
      </c>
      <c r="C358" s="38"/>
      <c r="D358" s="39" t="str">
        <f aca="false">IF(C358="","",IFERROR(TEXT(C358,"MMMM"),""))</f>
        <v/>
      </c>
      <c r="E358" s="40"/>
      <c r="F358" s="41" t="str">
        <f aca="false">IF(E358="","",IFERROR(INDEX('Chart of Accounts'!$C$4:$C$200,MATCH(TEXT(E358,"@"),TEXT('Chart of Accounts'!$B$4:$B$200,"@"),0)),"⚠ Not Found"))</f>
        <v/>
      </c>
      <c r="G358" s="42"/>
      <c r="H358" s="43"/>
      <c r="I358" s="43"/>
      <c r="J358" s="40"/>
    </row>
    <row r="359" customFormat="false" ht="16.5" hidden="false" customHeight="true" outlineLevel="0" collapsed="false">
      <c r="B359" s="44" t="str">
        <f aca="false">IF(C359="","",ROW()-9)</f>
        <v/>
      </c>
      <c r="C359" s="45"/>
      <c r="D359" s="46" t="str">
        <f aca="false">IF(C359="","",IFERROR(TEXT(C359,"MMMM"),""))</f>
        <v/>
      </c>
      <c r="E359" s="47"/>
      <c r="F359" s="48" t="str">
        <f aca="false">IF(E359="","",IFERROR(INDEX('Chart of Accounts'!$C$4:$C$200,MATCH(TEXT(E359,"@"),TEXT('Chart of Accounts'!$B$4:$B$200,"@"),0)),"⚠ Not Found"))</f>
        <v/>
      </c>
      <c r="G359" s="49"/>
      <c r="H359" s="50"/>
      <c r="I359" s="50"/>
      <c r="J359" s="47"/>
    </row>
    <row r="360" customFormat="false" ht="16.5" hidden="false" customHeight="true" outlineLevel="0" collapsed="false">
      <c r="B360" s="37" t="str">
        <f aca="false">IF(C360="","",ROW()-9)</f>
        <v/>
      </c>
      <c r="C360" s="38"/>
      <c r="D360" s="39" t="str">
        <f aca="false">IF(C360="","",IFERROR(TEXT(C360,"MMMM"),""))</f>
        <v/>
      </c>
      <c r="E360" s="40"/>
      <c r="F360" s="41" t="str">
        <f aca="false">IF(E360="","",IFERROR(INDEX('Chart of Accounts'!$C$4:$C$200,MATCH(TEXT(E360,"@"),TEXT('Chart of Accounts'!$B$4:$B$200,"@"),0)),"⚠ Not Found"))</f>
        <v/>
      </c>
      <c r="G360" s="42"/>
      <c r="H360" s="43"/>
      <c r="I360" s="43"/>
      <c r="J360" s="40"/>
    </row>
    <row r="361" customFormat="false" ht="16.5" hidden="false" customHeight="true" outlineLevel="0" collapsed="false">
      <c r="B361" s="44" t="str">
        <f aca="false">IF(C361="","",ROW()-9)</f>
        <v/>
      </c>
      <c r="C361" s="45"/>
      <c r="D361" s="46" t="str">
        <f aca="false">IF(C361="","",IFERROR(TEXT(C361,"MMMM"),""))</f>
        <v/>
      </c>
      <c r="E361" s="47"/>
      <c r="F361" s="48" t="str">
        <f aca="false">IF(E361="","",IFERROR(INDEX('Chart of Accounts'!$C$4:$C$200,MATCH(TEXT(E361,"@"),TEXT('Chart of Accounts'!$B$4:$B$200,"@"),0)),"⚠ Not Found"))</f>
        <v/>
      </c>
      <c r="G361" s="49"/>
      <c r="H361" s="50"/>
      <c r="I361" s="50"/>
      <c r="J361" s="47"/>
    </row>
    <row r="362" customFormat="false" ht="16.5" hidden="false" customHeight="true" outlineLevel="0" collapsed="false">
      <c r="B362" s="37" t="str">
        <f aca="false">IF(C362="","",ROW()-9)</f>
        <v/>
      </c>
      <c r="C362" s="38"/>
      <c r="D362" s="39" t="str">
        <f aca="false">IF(C362="","",IFERROR(TEXT(C362,"MMMM"),""))</f>
        <v/>
      </c>
      <c r="E362" s="40"/>
      <c r="F362" s="41" t="str">
        <f aca="false">IF(E362="","",IFERROR(INDEX('Chart of Accounts'!$C$4:$C$200,MATCH(TEXT(E362,"@"),TEXT('Chart of Accounts'!$B$4:$B$200,"@"),0)),"⚠ Not Found"))</f>
        <v/>
      </c>
      <c r="G362" s="42"/>
      <c r="H362" s="43"/>
      <c r="I362" s="43"/>
      <c r="J362" s="40"/>
    </row>
    <row r="363" customFormat="false" ht="16.5" hidden="false" customHeight="true" outlineLevel="0" collapsed="false">
      <c r="B363" s="44" t="str">
        <f aca="false">IF(C363="","",ROW()-9)</f>
        <v/>
      </c>
      <c r="C363" s="45"/>
      <c r="D363" s="46" t="str">
        <f aca="false">IF(C363="","",IFERROR(TEXT(C363,"MMMM"),""))</f>
        <v/>
      </c>
      <c r="E363" s="47"/>
      <c r="F363" s="48" t="str">
        <f aca="false">IF(E363="","",IFERROR(INDEX('Chart of Accounts'!$C$4:$C$200,MATCH(TEXT(E363,"@"),TEXT('Chart of Accounts'!$B$4:$B$200,"@"),0)),"⚠ Not Found"))</f>
        <v/>
      </c>
      <c r="G363" s="49"/>
      <c r="H363" s="50"/>
      <c r="I363" s="50"/>
      <c r="J363" s="47"/>
    </row>
    <row r="364" customFormat="false" ht="16.5" hidden="false" customHeight="true" outlineLevel="0" collapsed="false">
      <c r="B364" s="37" t="str">
        <f aca="false">IF(C364="","",ROW()-9)</f>
        <v/>
      </c>
      <c r="C364" s="38"/>
      <c r="D364" s="39" t="str">
        <f aca="false">IF(C364="","",IFERROR(TEXT(C364,"MMMM"),""))</f>
        <v/>
      </c>
      <c r="E364" s="40"/>
      <c r="F364" s="41" t="str">
        <f aca="false">IF(E364="","",IFERROR(INDEX('Chart of Accounts'!$C$4:$C$200,MATCH(TEXT(E364,"@"),TEXT('Chart of Accounts'!$B$4:$B$200,"@"),0)),"⚠ Not Found"))</f>
        <v/>
      </c>
      <c r="G364" s="42"/>
      <c r="H364" s="43"/>
      <c r="I364" s="43"/>
      <c r="J364" s="40"/>
    </row>
    <row r="365" customFormat="false" ht="16.5" hidden="false" customHeight="true" outlineLevel="0" collapsed="false">
      <c r="B365" s="44" t="str">
        <f aca="false">IF(C365="","",ROW()-9)</f>
        <v/>
      </c>
      <c r="C365" s="45"/>
      <c r="D365" s="46" t="str">
        <f aca="false">IF(C365="","",IFERROR(TEXT(C365,"MMMM"),""))</f>
        <v/>
      </c>
      <c r="E365" s="47"/>
      <c r="F365" s="48" t="str">
        <f aca="false">IF(E365="","",IFERROR(INDEX('Chart of Accounts'!$C$4:$C$200,MATCH(TEXT(E365,"@"),TEXT('Chart of Accounts'!$B$4:$B$200,"@"),0)),"⚠ Not Found"))</f>
        <v/>
      </c>
      <c r="G365" s="49"/>
      <c r="H365" s="50"/>
      <c r="I365" s="50"/>
      <c r="J365" s="47"/>
    </row>
    <row r="366" customFormat="false" ht="16.5" hidden="false" customHeight="true" outlineLevel="0" collapsed="false">
      <c r="B366" s="37" t="str">
        <f aca="false">IF(C366="","",ROW()-9)</f>
        <v/>
      </c>
      <c r="C366" s="38"/>
      <c r="D366" s="39" t="str">
        <f aca="false">IF(C366="","",IFERROR(TEXT(C366,"MMMM"),""))</f>
        <v/>
      </c>
      <c r="E366" s="40"/>
      <c r="F366" s="41" t="str">
        <f aca="false">IF(E366="","",IFERROR(INDEX('Chart of Accounts'!$C$4:$C$200,MATCH(TEXT(E366,"@"),TEXT('Chart of Accounts'!$B$4:$B$200,"@"),0)),"⚠ Not Found"))</f>
        <v/>
      </c>
      <c r="G366" s="42"/>
      <c r="H366" s="43"/>
      <c r="I366" s="43"/>
      <c r="J366" s="40"/>
    </row>
    <row r="367" customFormat="false" ht="16.5" hidden="false" customHeight="true" outlineLevel="0" collapsed="false">
      <c r="B367" s="44" t="str">
        <f aca="false">IF(C367="","",ROW()-9)</f>
        <v/>
      </c>
      <c r="C367" s="45"/>
      <c r="D367" s="46" t="str">
        <f aca="false">IF(C367="","",IFERROR(TEXT(C367,"MMMM"),""))</f>
        <v/>
      </c>
      <c r="E367" s="47"/>
      <c r="F367" s="48" t="str">
        <f aca="false">IF(E367="","",IFERROR(INDEX('Chart of Accounts'!$C$4:$C$200,MATCH(TEXT(E367,"@"),TEXT('Chart of Accounts'!$B$4:$B$200,"@"),0)),"⚠ Not Found"))</f>
        <v/>
      </c>
      <c r="G367" s="49"/>
      <c r="H367" s="50"/>
      <c r="I367" s="50"/>
      <c r="J367" s="47"/>
    </row>
    <row r="368" customFormat="false" ht="16.5" hidden="false" customHeight="true" outlineLevel="0" collapsed="false">
      <c r="B368" s="37" t="str">
        <f aca="false">IF(C368="","",ROW()-9)</f>
        <v/>
      </c>
      <c r="C368" s="38"/>
      <c r="D368" s="39" t="str">
        <f aca="false">IF(C368="","",IFERROR(TEXT(C368,"MMMM"),""))</f>
        <v/>
      </c>
      <c r="E368" s="40"/>
      <c r="F368" s="41" t="str">
        <f aca="false">IF(E368="","",IFERROR(INDEX('Chart of Accounts'!$C$4:$C$200,MATCH(TEXT(E368,"@"),TEXT('Chart of Accounts'!$B$4:$B$200,"@"),0)),"⚠ Not Found"))</f>
        <v/>
      </c>
      <c r="G368" s="42"/>
      <c r="H368" s="43"/>
      <c r="I368" s="43"/>
      <c r="J368" s="40"/>
    </row>
    <row r="369" customFormat="false" ht="16.5" hidden="false" customHeight="true" outlineLevel="0" collapsed="false">
      <c r="B369" s="44" t="str">
        <f aca="false">IF(C369="","",ROW()-9)</f>
        <v/>
      </c>
      <c r="C369" s="45"/>
      <c r="D369" s="46" t="str">
        <f aca="false">IF(C369="","",IFERROR(TEXT(C369,"MMMM"),""))</f>
        <v/>
      </c>
      <c r="E369" s="47"/>
      <c r="F369" s="48" t="str">
        <f aca="false">IF(E369="","",IFERROR(INDEX('Chart of Accounts'!$C$4:$C$200,MATCH(TEXT(E369,"@"),TEXT('Chart of Accounts'!$B$4:$B$200,"@"),0)),"⚠ Not Found"))</f>
        <v/>
      </c>
      <c r="G369" s="49"/>
      <c r="H369" s="50"/>
      <c r="I369" s="50"/>
      <c r="J369" s="47"/>
    </row>
    <row r="370" customFormat="false" ht="16.5" hidden="false" customHeight="true" outlineLevel="0" collapsed="false">
      <c r="B370" s="37" t="str">
        <f aca="false">IF(C370="","",ROW()-9)</f>
        <v/>
      </c>
      <c r="C370" s="38"/>
      <c r="D370" s="39" t="str">
        <f aca="false">IF(C370="","",IFERROR(TEXT(C370,"MMMM"),""))</f>
        <v/>
      </c>
      <c r="E370" s="40"/>
      <c r="F370" s="41" t="str">
        <f aca="false">IF(E370="","",IFERROR(INDEX('Chart of Accounts'!$C$4:$C$200,MATCH(TEXT(E370,"@"),TEXT('Chart of Accounts'!$B$4:$B$200,"@"),0)),"⚠ Not Found"))</f>
        <v/>
      </c>
      <c r="G370" s="42"/>
      <c r="H370" s="43"/>
      <c r="I370" s="43"/>
      <c r="J370" s="40"/>
    </row>
    <row r="371" customFormat="false" ht="16.5" hidden="false" customHeight="true" outlineLevel="0" collapsed="false">
      <c r="B371" s="44" t="str">
        <f aca="false">IF(C371="","",ROW()-9)</f>
        <v/>
      </c>
      <c r="C371" s="45"/>
      <c r="D371" s="46" t="str">
        <f aca="false">IF(C371="","",IFERROR(TEXT(C371,"MMMM"),""))</f>
        <v/>
      </c>
      <c r="E371" s="47"/>
      <c r="F371" s="48" t="str">
        <f aca="false">IF(E371="","",IFERROR(INDEX('Chart of Accounts'!$C$4:$C$200,MATCH(TEXT(E371,"@"),TEXT('Chart of Accounts'!$B$4:$B$200,"@"),0)),"⚠ Not Found"))</f>
        <v/>
      </c>
      <c r="G371" s="49"/>
      <c r="H371" s="50"/>
      <c r="I371" s="50"/>
      <c r="J371" s="47"/>
    </row>
    <row r="372" customFormat="false" ht="16.5" hidden="false" customHeight="true" outlineLevel="0" collapsed="false">
      <c r="B372" s="37" t="str">
        <f aca="false">IF(C372="","",ROW()-9)</f>
        <v/>
      </c>
      <c r="C372" s="38"/>
      <c r="D372" s="39" t="str">
        <f aca="false">IF(C372="","",IFERROR(TEXT(C372,"MMMM"),""))</f>
        <v/>
      </c>
      <c r="E372" s="40"/>
      <c r="F372" s="41" t="str">
        <f aca="false">IF(E372="","",IFERROR(INDEX('Chart of Accounts'!$C$4:$C$200,MATCH(TEXT(E372,"@"),TEXT('Chart of Accounts'!$B$4:$B$200,"@"),0)),"⚠ Not Found"))</f>
        <v/>
      </c>
      <c r="G372" s="42"/>
      <c r="H372" s="43"/>
      <c r="I372" s="43"/>
      <c r="J372" s="40"/>
    </row>
    <row r="373" customFormat="false" ht="16.5" hidden="false" customHeight="true" outlineLevel="0" collapsed="false">
      <c r="B373" s="44" t="str">
        <f aca="false">IF(C373="","",ROW()-9)</f>
        <v/>
      </c>
      <c r="C373" s="45"/>
      <c r="D373" s="46" t="str">
        <f aca="false">IF(C373="","",IFERROR(TEXT(C373,"MMMM"),""))</f>
        <v/>
      </c>
      <c r="E373" s="47"/>
      <c r="F373" s="48" t="str">
        <f aca="false">IF(E373="","",IFERROR(INDEX('Chart of Accounts'!$C$4:$C$200,MATCH(TEXT(E373,"@"),TEXT('Chart of Accounts'!$B$4:$B$200,"@"),0)),"⚠ Not Found"))</f>
        <v/>
      </c>
      <c r="G373" s="49"/>
      <c r="H373" s="50"/>
      <c r="I373" s="50"/>
      <c r="J373" s="47"/>
    </row>
    <row r="374" customFormat="false" ht="16.5" hidden="false" customHeight="true" outlineLevel="0" collapsed="false">
      <c r="B374" s="37" t="str">
        <f aca="false">IF(C374="","",ROW()-9)</f>
        <v/>
      </c>
      <c r="C374" s="38"/>
      <c r="D374" s="39" t="str">
        <f aca="false">IF(C374="","",IFERROR(TEXT(C374,"MMMM"),""))</f>
        <v/>
      </c>
      <c r="E374" s="40"/>
      <c r="F374" s="41" t="str">
        <f aca="false">IF(E374="","",IFERROR(INDEX('Chart of Accounts'!$C$4:$C$200,MATCH(TEXT(E374,"@"),TEXT('Chart of Accounts'!$B$4:$B$200,"@"),0)),"⚠ Not Found"))</f>
        <v/>
      </c>
      <c r="G374" s="42"/>
      <c r="H374" s="43"/>
      <c r="I374" s="43"/>
      <c r="J374" s="40"/>
    </row>
    <row r="375" customFormat="false" ht="16.5" hidden="false" customHeight="true" outlineLevel="0" collapsed="false">
      <c r="B375" s="44" t="str">
        <f aca="false">IF(C375="","",ROW()-9)</f>
        <v/>
      </c>
      <c r="C375" s="45"/>
      <c r="D375" s="46" t="str">
        <f aca="false">IF(C375="","",IFERROR(TEXT(C375,"MMMM"),""))</f>
        <v/>
      </c>
      <c r="E375" s="47"/>
      <c r="F375" s="48" t="str">
        <f aca="false">IF(E375="","",IFERROR(INDEX('Chart of Accounts'!$C$4:$C$200,MATCH(TEXT(E375,"@"),TEXT('Chart of Accounts'!$B$4:$B$200,"@"),0)),"⚠ Not Found"))</f>
        <v/>
      </c>
      <c r="G375" s="49"/>
      <c r="H375" s="50"/>
      <c r="I375" s="50"/>
      <c r="J375" s="47"/>
    </row>
    <row r="376" customFormat="false" ht="16.5" hidden="false" customHeight="true" outlineLevel="0" collapsed="false">
      <c r="B376" s="37" t="str">
        <f aca="false">IF(C376="","",ROW()-9)</f>
        <v/>
      </c>
      <c r="C376" s="38"/>
      <c r="D376" s="39" t="str">
        <f aca="false">IF(C376="","",IFERROR(TEXT(C376,"MMMM"),""))</f>
        <v/>
      </c>
      <c r="E376" s="40"/>
      <c r="F376" s="41" t="str">
        <f aca="false">IF(E376="","",IFERROR(INDEX('Chart of Accounts'!$C$4:$C$200,MATCH(TEXT(E376,"@"),TEXT('Chart of Accounts'!$B$4:$B$200,"@"),0)),"⚠ Not Found"))</f>
        <v/>
      </c>
      <c r="G376" s="42"/>
      <c r="H376" s="43"/>
      <c r="I376" s="43"/>
      <c r="J376" s="40"/>
    </row>
    <row r="377" customFormat="false" ht="16.5" hidden="false" customHeight="true" outlineLevel="0" collapsed="false">
      <c r="B377" s="44" t="str">
        <f aca="false">IF(C377="","",ROW()-9)</f>
        <v/>
      </c>
      <c r="C377" s="45"/>
      <c r="D377" s="46" t="str">
        <f aca="false">IF(C377="","",IFERROR(TEXT(C377,"MMMM"),""))</f>
        <v/>
      </c>
      <c r="E377" s="47"/>
      <c r="F377" s="48" t="str">
        <f aca="false">IF(E377="","",IFERROR(INDEX('Chart of Accounts'!$C$4:$C$200,MATCH(TEXT(E377,"@"),TEXT('Chart of Accounts'!$B$4:$B$200,"@"),0)),"⚠ Not Found"))</f>
        <v/>
      </c>
      <c r="G377" s="49"/>
      <c r="H377" s="50"/>
      <c r="I377" s="50"/>
      <c r="J377" s="47"/>
    </row>
    <row r="378" customFormat="false" ht="16.5" hidden="false" customHeight="true" outlineLevel="0" collapsed="false">
      <c r="B378" s="37" t="str">
        <f aca="false">IF(C378="","",ROW()-9)</f>
        <v/>
      </c>
      <c r="C378" s="38"/>
      <c r="D378" s="39" t="str">
        <f aca="false">IF(C378="","",IFERROR(TEXT(C378,"MMMM"),""))</f>
        <v/>
      </c>
      <c r="E378" s="40"/>
      <c r="F378" s="41" t="str">
        <f aca="false">IF(E378="","",IFERROR(INDEX('Chart of Accounts'!$C$4:$C$200,MATCH(TEXT(E378,"@"),TEXT('Chart of Accounts'!$B$4:$B$200,"@"),0)),"⚠ Not Found"))</f>
        <v/>
      </c>
      <c r="G378" s="42"/>
      <c r="H378" s="43"/>
      <c r="I378" s="43"/>
      <c r="J378" s="40"/>
    </row>
    <row r="379" customFormat="false" ht="16.5" hidden="false" customHeight="true" outlineLevel="0" collapsed="false">
      <c r="B379" s="44" t="str">
        <f aca="false">IF(C379="","",ROW()-9)</f>
        <v/>
      </c>
      <c r="C379" s="45"/>
      <c r="D379" s="46" t="str">
        <f aca="false">IF(C379="","",IFERROR(TEXT(C379,"MMMM"),""))</f>
        <v/>
      </c>
      <c r="E379" s="47"/>
      <c r="F379" s="48" t="str">
        <f aca="false">IF(E379="","",IFERROR(INDEX('Chart of Accounts'!$C$4:$C$200,MATCH(TEXT(E379,"@"),TEXT('Chart of Accounts'!$B$4:$B$200,"@"),0)),"⚠ Not Found"))</f>
        <v/>
      </c>
      <c r="G379" s="49"/>
      <c r="H379" s="50"/>
      <c r="I379" s="50"/>
      <c r="J379" s="47"/>
    </row>
    <row r="380" customFormat="false" ht="16.5" hidden="false" customHeight="true" outlineLevel="0" collapsed="false">
      <c r="B380" s="37" t="str">
        <f aca="false">IF(C380="","",ROW()-9)</f>
        <v/>
      </c>
      <c r="C380" s="38"/>
      <c r="D380" s="39" t="str">
        <f aca="false">IF(C380="","",IFERROR(TEXT(C380,"MMMM"),""))</f>
        <v/>
      </c>
      <c r="E380" s="40"/>
      <c r="F380" s="41" t="str">
        <f aca="false">IF(E380="","",IFERROR(INDEX('Chart of Accounts'!$C$4:$C$200,MATCH(TEXT(E380,"@"),TEXT('Chart of Accounts'!$B$4:$B$200,"@"),0)),"⚠ Not Found"))</f>
        <v/>
      </c>
      <c r="G380" s="42"/>
      <c r="H380" s="43"/>
      <c r="I380" s="43"/>
      <c r="J380" s="40"/>
    </row>
    <row r="381" customFormat="false" ht="16.5" hidden="false" customHeight="true" outlineLevel="0" collapsed="false">
      <c r="B381" s="44" t="str">
        <f aca="false">IF(C381="","",ROW()-9)</f>
        <v/>
      </c>
      <c r="C381" s="45"/>
      <c r="D381" s="46" t="str">
        <f aca="false">IF(C381="","",IFERROR(TEXT(C381,"MMMM"),""))</f>
        <v/>
      </c>
      <c r="E381" s="47"/>
      <c r="F381" s="48" t="str">
        <f aca="false">IF(E381="","",IFERROR(INDEX('Chart of Accounts'!$C$4:$C$200,MATCH(TEXT(E381,"@"),TEXT('Chart of Accounts'!$B$4:$B$200,"@"),0)),"⚠ Not Found"))</f>
        <v/>
      </c>
      <c r="G381" s="49"/>
      <c r="H381" s="50"/>
      <c r="I381" s="50"/>
      <c r="J381" s="47"/>
    </row>
    <row r="382" customFormat="false" ht="16.5" hidden="false" customHeight="true" outlineLevel="0" collapsed="false">
      <c r="B382" s="37" t="str">
        <f aca="false">IF(C382="","",ROW()-9)</f>
        <v/>
      </c>
      <c r="C382" s="38"/>
      <c r="D382" s="39" t="str">
        <f aca="false">IF(C382="","",IFERROR(TEXT(C382,"MMMM"),""))</f>
        <v/>
      </c>
      <c r="E382" s="40"/>
      <c r="F382" s="41" t="str">
        <f aca="false">IF(E382="","",IFERROR(INDEX('Chart of Accounts'!$C$4:$C$200,MATCH(TEXT(E382,"@"),TEXT('Chart of Accounts'!$B$4:$B$200,"@"),0)),"⚠ Not Found"))</f>
        <v/>
      </c>
      <c r="G382" s="42"/>
      <c r="H382" s="43"/>
      <c r="I382" s="43"/>
      <c r="J382" s="40"/>
    </row>
    <row r="383" customFormat="false" ht="16.5" hidden="false" customHeight="true" outlineLevel="0" collapsed="false">
      <c r="B383" s="44" t="str">
        <f aca="false">IF(C383="","",ROW()-9)</f>
        <v/>
      </c>
      <c r="C383" s="45"/>
      <c r="D383" s="46" t="str">
        <f aca="false">IF(C383="","",IFERROR(TEXT(C383,"MMMM"),""))</f>
        <v/>
      </c>
      <c r="E383" s="47"/>
      <c r="F383" s="48" t="str">
        <f aca="false">IF(E383="","",IFERROR(INDEX('Chart of Accounts'!$C$4:$C$200,MATCH(TEXT(E383,"@"),TEXT('Chart of Accounts'!$B$4:$B$200,"@"),0)),"⚠ Not Found"))</f>
        <v/>
      </c>
      <c r="G383" s="49"/>
      <c r="H383" s="50"/>
      <c r="I383" s="50"/>
      <c r="J383" s="47"/>
    </row>
    <row r="384" customFormat="false" ht="16.5" hidden="false" customHeight="true" outlineLevel="0" collapsed="false">
      <c r="B384" s="37" t="str">
        <f aca="false">IF(C384="","",ROW()-9)</f>
        <v/>
      </c>
      <c r="C384" s="38"/>
      <c r="D384" s="39" t="str">
        <f aca="false">IF(C384="","",IFERROR(TEXT(C384,"MMMM"),""))</f>
        <v/>
      </c>
      <c r="E384" s="40"/>
      <c r="F384" s="41" t="str">
        <f aca="false">IF(E384="","",IFERROR(INDEX('Chart of Accounts'!$C$4:$C$200,MATCH(TEXT(E384,"@"),TEXT('Chart of Accounts'!$B$4:$B$200,"@"),0)),"⚠ Not Found"))</f>
        <v/>
      </c>
      <c r="G384" s="42"/>
      <c r="H384" s="43"/>
      <c r="I384" s="43"/>
      <c r="J384" s="40"/>
    </row>
    <row r="385" customFormat="false" ht="16.5" hidden="false" customHeight="true" outlineLevel="0" collapsed="false">
      <c r="B385" s="44" t="str">
        <f aca="false">IF(C385="","",ROW()-9)</f>
        <v/>
      </c>
      <c r="C385" s="45"/>
      <c r="D385" s="46" t="str">
        <f aca="false">IF(C385="","",IFERROR(TEXT(C385,"MMMM"),""))</f>
        <v/>
      </c>
      <c r="E385" s="47"/>
      <c r="F385" s="48" t="str">
        <f aca="false">IF(E385="","",IFERROR(INDEX('Chart of Accounts'!$C$4:$C$200,MATCH(TEXT(E385,"@"),TEXT('Chart of Accounts'!$B$4:$B$200,"@"),0)),"⚠ Not Found"))</f>
        <v/>
      </c>
      <c r="G385" s="49"/>
      <c r="H385" s="50"/>
      <c r="I385" s="50"/>
      <c r="J385" s="47"/>
    </row>
    <row r="386" customFormat="false" ht="16.5" hidden="false" customHeight="true" outlineLevel="0" collapsed="false">
      <c r="B386" s="37" t="str">
        <f aca="false">IF(C386="","",ROW()-9)</f>
        <v/>
      </c>
      <c r="C386" s="38"/>
      <c r="D386" s="39" t="str">
        <f aca="false">IF(C386="","",IFERROR(TEXT(C386,"MMMM"),""))</f>
        <v/>
      </c>
      <c r="E386" s="40"/>
      <c r="F386" s="41" t="str">
        <f aca="false">IF(E386="","",IFERROR(INDEX('Chart of Accounts'!$C$4:$C$200,MATCH(TEXT(E386,"@"),TEXT('Chart of Accounts'!$B$4:$B$200,"@"),0)),"⚠ Not Found"))</f>
        <v/>
      </c>
      <c r="G386" s="42"/>
      <c r="H386" s="43"/>
      <c r="I386" s="43"/>
      <c r="J386" s="40"/>
    </row>
    <row r="387" customFormat="false" ht="16.5" hidden="false" customHeight="true" outlineLevel="0" collapsed="false">
      <c r="B387" s="44" t="str">
        <f aca="false">IF(C387="","",ROW()-9)</f>
        <v/>
      </c>
      <c r="C387" s="45"/>
      <c r="D387" s="46" t="str">
        <f aca="false">IF(C387="","",IFERROR(TEXT(C387,"MMMM"),""))</f>
        <v/>
      </c>
      <c r="E387" s="47"/>
      <c r="F387" s="48" t="str">
        <f aca="false">IF(E387="","",IFERROR(INDEX('Chart of Accounts'!$C$4:$C$200,MATCH(TEXT(E387,"@"),TEXT('Chart of Accounts'!$B$4:$B$200,"@"),0)),"⚠ Not Found"))</f>
        <v/>
      </c>
      <c r="G387" s="49"/>
      <c r="H387" s="50"/>
      <c r="I387" s="50"/>
      <c r="J387" s="47"/>
    </row>
    <row r="388" customFormat="false" ht="16.5" hidden="false" customHeight="true" outlineLevel="0" collapsed="false">
      <c r="B388" s="37" t="str">
        <f aca="false">IF(C388="","",ROW()-9)</f>
        <v/>
      </c>
      <c r="C388" s="38"/>
      <c r="D388" s="39" t="str">
        <f aca="false">IF(C388="","",IFERROR(TEXT(C388,"MMMM"),""))</f>
        <v/>
      </c>
      <c r="E388" s="40"/>
      <c r="F388" s="41" t="str">
        <f aca="false">IF(E388="","",IFERROR(INDEX('Chart of Accounts'!$C$4:$C$200,MATCH(TEXT(E388,"@"),TEXT('Chart of Accounts'!$B$4:$B$200,"@"),0)),"⚠ Not Found"))</f>
        <v/>
      </c>
      <c r="G388" s="42"/>
      <c r="H388" s="43"/>
      <c r="I388" s="43"/>
      <c r="J388" s="40"/>
    </row>
    <row r="389" customFormat="false" ht="16.5" hidden="false" customHeight="true" outlineLevel="0" collapsed="false">
      <c r="B389" s="44" t="str">
        <f aca="false">IF(C389="","",ROW()-9)</f>
        <v/>
      </c>
      <c r="C389" s="45"/>
      <c r="D389" s="46" t="str">
        <f aca="false">IF(C389="","",IFERROR(TEXT(C389,"MMMM"),""))</f>
        <v/>
      </c>
      <c r="E389" s="47"/>
      <c r="F389" s="48" t="str">
        <f aca="false">IF(E389="","",IFERROR(INDEX('Chart of Accounts'!$C$4:$C$200,MATCH(TEXT(E389,"@"),TEXT('Chart of Accounts'!$B$4:$B$200,"@"),0)),"⚠ Not Found"))</f>
        <v/>
      </c>
      <c r="G389" s="49"/>
      <c r="H389" s="50"/>
      <c r="I389" s="50"/>
      <c r="J389" s="47"/>
    </row>
    <row r="390" customFormat="false" ht="16.5" hidden="false" customHeight="true" outlineLevel="0" collapsed="false">
      <c r="B390" s="37" t="str">
        <f aca="false">IF(C390="","",ROW()-9)</f>
        <v/>
      </c>
      <c r="C390" s="38"/>
      <c r="D390" s="39" t="str">
        <f aca="false">IF(C390="","",IFERROR(TEXT(C390,"MMMM"),""))</f>
        <v/>
      </c>
      <c r="E390" s="40"/>
      <c r="F390" s="41" t="str">
        <f aca="false">IF(E390="","",IFERROR(INDEX('Chart of Accounts'!$C$4:$C$200,MATCH(TEXT(E390,"@"),TEXT('Chart of Accounts'!$B$4:$B$200,"@"),0)),"⚠ Not Found"))</f>
        <v/>
      </c>
      <c r="G390" s="42"/>
      <c r="H390" s="43"/>
      <c r="I390" s="43"/>
      <c r="J390" s="40"/>
    </row>
    <row r="391" customFormat="false" ht="16.5" hidden="false" customHeight="true" outlineLevel="0" collapsed="false">
      <c r="B391" s="44" t="str">
        <f aca="false">IF(C391="","",ROW()-9)</f>
        <v/>
      </c>
      <c r="C391" s="45"/>
      <c r="D391" s="46" t="str">
        <f aca="false">IF(C391="","",IFERROR(TEXT(C391,"MMMM"),""))</f>
        <v/>
      </c>
      <c r="E391" s="47"/>
      <c r="F391" s="48" t="str">
        <f aca="false">IF(E391="","",IFERROR(INDEX('Chart of Accounts'!$C$4:$C$200,MATCH(TEXT(E391,"@"),TEXT('Chart of Accounts'!$B$4:$B$200,"@"),0)),"⚠ Not Found"))</f>
        <v/>
      </c>
      <c r="G391" s="49"/>
      <c r="H391" s="50"/>
      <c r="I391" s="50"/>
      <c r="J391" s="47"/>
    </row>
    <row r="392" customFormat="false" ht="16.5" hidden="false" customHeight="true" outlineLevel="0" collapsed="false">
      <c r="B392" s="37" t="str">
        <f aca="false">IF(C392="","",ROW()-9)</f>
        <v/>
      </c>
      <c r="C392" s="38"/>
      <c r="D392" s="39" t="str">
        <f aca="false">IF(C392="","",IFERROR(TEXT(C392,"MMMM"),""))</f>
        <v/>
      </c>
      <c r="E392" s="40"/>
      <c r="F392" s="41" t="str">
        <f aca="false">IF(E392="","",IFERROR(INDEX('Chart of Accounts'!$C$4:$C$200,MATCH(TEXT(E392,"@"),TEXT('Chart of Accounts'!$B$4:$B$200,"@"),0)),"⚠ Not Found"))</f>
        <v/>
      </c>
      <c r="G392" s="42"/>
      <c r="H392" s="43"/>
      <c r="I392" s="43"/>
      <c r="J392" s="40"/>
    </row>
    <row r="393" customFormat="false" ht="16.5" hidden="false" customHeight="true" outlineLevel="0" collapsed="false">
      <c r="B393" s="44" t="str">
        <f aca="false">IF(C393="","",ROW()-9)</f>
        <v/>
      </c>
      <c r="C393" s="45"/>
      <c r="D393" s="46" t="str">
        <f aca="false">IF(C393="","",IFERROR(TEXT(C393,"MMMM"),""))</f>
        <v/>
      </c>
      <c r="E393" s="47"/>
      <c r="F393" s="48" t="str">
        <f aca="false">IF(E393="","",IFERROR(INDEX('Chart of Accounts'!$C$4:$C$200,MATCH(TEXT(E393,"@"),TEXT('Chart of Accounts'!$B$4:$B$200,"@"),0)),"⚠ Not Found"))</f>
        <v/>
      </c>
      <c r="G393" s="49"/>
      <c r="H393" s="50"/>
      <c r="I393" s="50"/>
      <c r="J393" s="47"/>
    </row>
    <row r="394" customFormat="false" ht="16.5" hidden="false" customHeight="true" outlineLevel="0" collapsed="false">
      <c r="B394" s="37" t="str">
        <f aca="false">IF(C394="","",ROW()-9)</f>
        <v/>
      </c>
      <c r="C394" s="38"/>
      <c r="D394" s="39" t="str">
        <f aca="false">IF(C394="","",IFERROR(TEXT(C394,"MMMM"),""))</f>
        <v/>
      </c>
      <c r="E394" s="40"/>
      <c r="F394" s="41" t="str">
        <f aca="false">IF(E394="","",IFERROR(INDEX('Chart of Accounts'!$C$4:$C$200,MATCH(TEXT(E394,"@"),TEXT('Chart of Accounts'!$B$4:$B$200,"@"),0)),"⚠ Not Found"))</f>
        <v/>
      </c>
      <c r="G394" s="42"/>
      <c r="H394" s="43"/>
      <c r="I394" s="43"/>
      <c r="J394" s="40"/>
    </row>
    <row r="395" customFormat="false" ht="16.5" hidden="false" customHeight="true" outlineLevel="0" collapsed="false">
      <c r="B395" s="44" t="str">
        <f aca="false">IF(C395="","",ROW()-9)</f>
        <v/>
      </c>
      <c r="C395" s="45"/>
      <c r="D395" s="46" t="str">
        <f aca="false">IF(C395="","",IFERROR(TEXT(C395,"MMMM"),""))</f>
        <v/>
      </c>
      <c r="E395" s="47"/>
      <c r="F395" s="48" t="str">
        <f aca="false">IF(E395="","",IFERROR(INDEX('Chart of Accounts'!$C$4:$C$200,MATCH(TEXT(E395,"@"),TEXT('Chart of Accounts'!$B$4:$B$200,"@"),0)),"⚠ Not Found"))</f>
        <v/>
      </c>
      <c r="G395" s="49"/>
      <c r="H395" s="50"/>
      <c r="I395" s="50"/>
      <c r="J395" s="47"/>
    </row>
    <row r="396" customFormat="false" ht="16.5" hidden="false" customHeight="true" outlineLevel="0" collapsed="false">
      <c r="B396" s="37" t="str">
        <f aca="false">IF(C396="","",ROW()-9)</f>
        <v/>
      </c>
      <c r="C396" s="38"/>
      <c r="D396" s="39" t="str">
        <f aca="false">IF(C396="","",IFERROR(TEXT(C396,"MMMM"),""))</f>
        <v/>
      </c>
      <c r="E396" s="40"/>
      <c r="F396" s="41" t="str">
        <f aca="false">IF(E396="","",IFERROR(INDEX('Chart of Accounts'!$C$4:$C$200,MATCH(TEXT(E396,"@"),TEXT('Chart of Accounts'!$B$4:$B$200,"@"),0)),"⚠ Not Found"))</f>
        <v/>
      </c>
      <c r="G396" s="42"/>
      <c r="H396" s="43"/>
      <c r="I396" s="43"/>
      <c r="J396" s="40"/>
    </row>
    <row r="397" customFormat="false" ht="16.5" hidden="false" customHeight="true" outlineLevel="0" collapsed="false">
      <c r="B397" s="44" t="str">
        <f aca="false">IF(C397="","",ROW()-9)</f>
        <v/>
      </c>
      <c r="C397" s="45"/>
      <c r="D397" s="46" t="str">
        <f aca="false">IF(C397="","",IFERROR(TEXT(C397,"MMMM"),""))</f>
        <v/>
      </c>
      <c r="E397" s="47"/>
      <c r="F397" s="48" t="str">
        <f aca="false">IF(E397="","",IFERROR(INDEX('Chart of Accounts'!$C$4:$C$200,MATCH(TEXT(E397,"@"),TEXT('Chart of Accounts'!$B$4:$B$200,"@"),0)),"⚠ Not Found"))</f>
        <v/>
      </c>
      <c r="G397" s="49"/>
      <c r="H397" s="50"/>
      <c r="I397" s="50"/>
      <c r="J397" s="47"/>
    </row>
    <row r="398" customFormat="false" ht="16.5" hidden="false" customHeight="true" outlineLevel="0" collapsed="false">
      <c r="B398" s="37" t="str">
        <f aca="false">IF(C398="","",ROW()-9)</f>
        <v/>
      </c>
      <c r="C398" s="38"/>
      <c r="D398" s="39" t="str">
        <f aca="false">IF(C398="","",IFERROR(TEXT(C398,"MMMM"),""))</f>
        <v/>
      </c>
      <c r="E398" s="40"/>
      <c r="F398" s="41" t="str">
        <f aca="false">IF(E398="","",IFERROR(INDEX('Chart of Accounts'!$C$4:$C$200,MATCH(TEXT(E398,"@"),TEXT('Chart of Accounts'!$B$4:$B$200,"@"),0)),"⚠ Not Found"))</f>
        <v/>
      </c>
      <c r="G398" s="42"/>
      <c r="H398" s="43"/>
      <c r="I398" s="43"/>
      <c r="J398" s="40"/>
    </row>
    <row r="399" customFormat="false" ht="16.5" hidden="false" customHeight="true" outlineLevel="0" collapsed="false">
      <c r="B399" s="44" t="str">
        <f aca="false">IF(C399="","",ROW()-9)</f>
        <v/>
      </c>
      <c r="C399" s="45"/>
      <c r="D399" s="46" t="str">
        <f aca="false">IF(C399="","",IFERROR(TEXT(C399,"MMMM"),""))</f>
        <v/>
      </c>
      <c r="E399" s="47"/>
      <c r="F399" s="48" t="str">
        <f aca="false">IF(E399="","",IFERROR(INDEX('Chart of Accounts'!$C$4:$C$200,MATCH(TEXT(E399,"@"),TEXT('Chart of Accounts'!$B$4:$B$200,"@"),0)),"⚠ Not Found"))</f>
        <v/>
      </c>
      <c r="G399" s="49"/>
      <c r="H399" s="50"/>
      <c r="I399" s="50"/>
      <c r="J399" s="47"/>
    </row>
    <row r="400" customFormat="false" ht="16.5" hidden="false" customHeight="true" outlineLevel="0" collapsed="false">
      <c r="B400" s="37" t="str">
        <f aca="false">IF(C400="","",ROW()-9)</f>
        <v/>
      </c>
      <c r="C400" s="38"/>
      <c r="D400" s="39" t="str">
        <f aca="false">IF(C400="","",IFERROR(TEXT(C400,"MMMM"),""))</f>
        <v/>
      </c>
      <c r="E400" s="40"/>
      <c r="F400" s="41" t="str">
        <f aca="false">IF(E400="","",IFERROR(INDEX('Chart of Accounts'!$C$4:$C$200,MATCH(TEXT(E400,"@"),TEXT('Chart of Accounts'!$B$4:$B$200,"@"),0)),"⚠ Not Found"))</f>
        <v/>
      </c>
      <c r="G400" s="42"/>
      <c r="H400" s="43"/>
      <c r="I400" s="43"/>
      <c r="J400" s="40"/>
    </row>
    <row r="401" customFormat="false" ht="16.5" hidden="false" customHeight="true" outlineLevel="0" collapsed="false">
      <c r="B401" s="44" t="str">
        <f aca="false">IF(C401="","",ROW()-9)</f>
        <v/>
      </c>
      <c r="C401" s="45"/>
      <c r="D401" s="46" t="str">
        <f aca="false">IF(C401="","",IFERROR(TEXT(C401,"MMMM"),""))</f>
        <v/>
      </c>
      <c r="E401" s="47"/>
      <c r="F401" s="48" t="str">
        <f aca="false">IF(E401="","",IFERROR(INDEX('Chart of Accounts'!$C$4:$C$200,MATCH(TEXT(E401,"@"),TEXT('Chart of Accounts'!$B$4:$B$200,"@"),0)),"⚠ Not Found"))</f>
        <v/>
      </c>
      <c r="G401" s="49"/>
      <c r="H401" s="50"/>
      <c r="I401" s="50"/>
      <c r="J401" s="47"/>
    </row>
    <row r="402" customFormat="false" ht="16.5" hidden="false" customHeight="true" outlineLevel="0" collapsed="false">
      <c r="B402" s="37" t="str">
        <f aca="false">IF(C402="","",ROW()-9)</f>
        <v/>
      </c>
      <c r="C402" s="38"/>
      <c r="D402" s="39" t="str">
        <f aca="false">IF(C402="","",IFERROR(TEXT(C402,"MMMM"),""))</f>
        <v/>
      </c>
      <c r="E402" s="40"/>
      <c r="F402" s="41" t="str">
        <f aca="false">IF(E402="","",IFERROR(INDEX('Chart of Accounts'!$C$4:$C$200,MATCH(TEXT(E402,"@"),TEXT('Chart of Accounts'!$B$4:$B$200,"@"),0)),"⚠ Not Found"))</f>
        <v/>
      </c>
      <c r="G402" s="42"/>
      <c r="H402" s="43"/>
      <c r="I402" s="43"/>
      <c r="J402" s="40"/>
    </row>
    <row r="403" customFormat="false" ht="16.5" hidden="false" customHeight="true" outlineLevel="0" collapsed="false">
      <c r="B403" s="44" t="str">
        <f aca="false">IF(C403="","",ROW()-9)</f>
        <v/>
      </c>
      <c r="C403" s="45"/>
      <c r="D403" s="46" t="str">
        <f aca="false">IF(C403="","",IFERROR(TEXT(C403,"MMMM"),""))</f>
        <v/>
      </c>
      <c r="E403" s="47"/>
      <c r="F403" s="48" t="str">
        <f aca="false">IF(E403="","",IFERROR(INDEX('Chart of Accounts'!$C$4:$C$200,MATCH(TEXT(E403,"@"),TEXT('Chart of Accounts'!$B$4:$B$200,"@"),0)),"⚠ Not Found"))</f>
        <v/>
      </c>
      <c r="G403" s="49"/>
      <c r="H403" s="50"/>
      <c r="I403" s="50"/>
      <c r="J403" s="47"/>
    </row>
    <row r="404" customFormat="false" ht="16.5" hidden="false" customHeight="true" outlineLevel="0" collapsed="false">
      <c r="B404" s="37" t="str">
        <f aca="false">IF(C404="","",ROW()-9)</f>
        <v/>
      </c>
      <c r="C404" s="38"/>
      <c r="D404" s="39" t="str">
        <f aca="false">IF(C404="","",IFERROR(TEXT(C404,"MMMM"),""))</f>
        <v/>
      </c>
      <c r="E404" s="40"/>
      <c r="F404" s="41" t="str">
        <f aca="false">IF(E404="","",IFERROR(INDEX('Chart of Accounts'!$C$4:$C$200,MATCH(TEXT(E404,"@"),TEXT('Chart of Accounts'!$B$4:$B$200,"@"),0)),"⚠ Not Found"))</f>
        <v/>
      </c>
      <c r="G404" s="42"/>
      <c r="H404" s="43"/>
      <c r="I404" s="43"/>
      <c r="J404" s="40"/>
    </row>
    <row r="405" customFormat="false" ht="16.5" hidden="false" customHeight="true" outlineLevel="0" collapsed="false">
      <c r="B405" s="44" t="str">
        <f aca="false">IF(C405="","",ROW()-9)</f>
        <v/>
      </c>
      <c r="C405" s="45"/>
      <c r="D405" s="46" t="str">
        <f aca="false">IF(C405="","",IFERROR(TEXT(C405,"MMMM"),""))</f>
        <v/>
      </c>
      <c r="E405" s="47"/>
      <c r="F405" s="48" t="str">
        <f aca="false">IF(E405="","",IFERROR(INDEX('Chart of Accounts'!$C$4:$C$200,MATCH(TEXT(E405,"@"),TEXT('Chart of Accounts'!$B$4:$B$200,"@"),0)),"⚠ Not Found"))</f>
        <v/>
      </c>
      <c r="G405" s="49"/>
      <c r="H405" s="50"/>
      <c r="I405" s="50"/>
      <c r="J405" s="47"/>
    </row>
    <row r="406" customFormat="false" ht="16.5" hidden="false" customHeight="true" outlineLevel="0" collapsed="false">
      <c r="B406" s="37" t="str">
        <f aca="false">IF(C406="","",ROW()-9)</f>
        <v/>
      </c>
      <c r="C406" s="38"/>
      <c r="D406" s="39" t="str">
        <f aca="false">IF(C406="","",IFERROR(TEXT(C406,"MMMM"),""))</f>
        <v/>
      </c>
      <c r="E406" s="40"/>
      <c r="F406" s="41" t="str">
        <f aca="false">IF(E406="","",IFERROR(INDEX('Chart of Accounts'!$C$4:$C$200,MATCH(TEXT(E406,"@"),TEXT('Chart of Accounts'!$B$4:$B$200,"@"),0)),"⚠ Not Found"))</f>
        <v/>
      </c>
      <c r="G406" s="42"/>
      <c r="H406" s="43"/>
      <c r="I406" s="43"/>
      <c r="J406" s="40"/>
    </row>
    <row r="407" customFormat="false" ht="16.5" hidden="false" customHeight="true" outlineLevel="0" collapsed="false">
      <c r="B407" s="44" t="str">
        <f aca="false">IF(C407="","",ROW()-9)</f>
        <v/>
      </c>
      <c r="C407" s="45"/>
      <c r="D407" s="46" t="str">
        <f aca="false">IF(C407="","",IFERROR(TEXT(C407,"MMMM"),""))</f>
        <v/>
      </c>
      <c r="E407" s="47"/>
      <c r="F407" s="48" t="str">
        <f aca="false">IF(E407="","",IFERROR(INDEX('Chart of Accounts'!$C$4:$C$200,MATCH(TEXT(E407,"@"),TEXT('Chart of Accounts'!$B$4:$B$200,"@"),0)),"⚠ Not Found"))</f>
        <v/>
      </c>
      <c r="G407" s="49"/>
      <c r="H407" s="50"/>
      <c r="I407" s="50"/>
      <c r="J407" s="47"/>
    </row>
    <row r="408" customFormat="false" ht="16.5" hidden="false" customHeight="true" outlineLevel="0" collapsed="false">
      <c r="B408" s="37" t="str">
        <f aca="false">IF(C408="","",ROW()-9)</f>
        <v/>
      </c>
      <c r="C408" s="38"/>
      <c r="D408" s="39" t="str">
        <f aca="false">IF(C408="","",IFERROR(TEXT(C408,"MMMM"),""))</f>
        <v/>
      </c>
      <c r="E408" s="40"/>
      <c r="F408" s="41" t="str">
        <f aca="false">IF(E408="","",IFERROR(INDEX('Chart of Accounts'!$C$4:$C$200,MATCH(TEXT(E408,"@"),TEXT('Chart of Accounts'!$B$4:$B$200,"@"),0)),"⚠ Not Found"))</f>
        <v/>
      </c>
      <c r="G408" s="42"/>
      <c r="H408" s="43"/>
      <c r="I408" s="43"/>
      <c r="J408" s="40"/>
    </row>
    <row r="409" customFormat="false" ht="16.5" hidden="false" customHeight="true" outlineLevel="0" collapsed="false">
      <c r="B409" s="44" t="str">
        <f aca="false">IF(C409="","",ROW()-9)</f>
        <v/>
      </c>
      <c r="C409" s="45"/>
      <c r="D409" s="46" t="str">
        <f aca="false">IF(C409="","",IFERROR(TEXT(C409,"MMMM"),""))</f>
        <v/>
      </c>
      <c r="E409" s="47"/>
      <c r="F409" s="48" t="str">
        <f aca="false">IF(E409="","",IFERROR(INDEX('Chart of Accounts'!$C$4:$C$200,MATCH(TEXT(E409,"@"),TEXT('Chart of Accounts'!$B$4:$B$200,"@"),0)),"⚠ Not Found"))</f>
        <v/>
      </c>
      <c r="G409" s="49"/>
      <c r="H409" s="50"/>
      <c r="I409" s="50"/>
      <c r="J409" s="47"/>
    </row>
    <row r="410" customFormat="false" ht="16.5" hidden="false" customHeight="true" outlineLevel="0" collapsed="false">
      <c r="B410" s="37" t="str">
        <f aca="false">IF(C410="","",ROW()-9)</f>
        <v/>
      </c>
      <c r="C410" s="38"/>
      <c r="D410" s="39" t="str">
        <f aca="false">IF(C410="","",IFERROR(TEXT(C410,"MMMM"),""))</f>
        <v/>
      </c>
      <c r="E410" s="40"/>
      <c r="F410" s="41" t="str">
        <f aca="false">IF(E410="","",IFERROR(INDEX('Chart of Accounts'!$C$4:$C$200,MATCH(TEXT(E410,"@"),TEXT('Chart of Accounts'!$B$4:$B$200,"@"),0)),"⚠ Not Found"))</f>
        <v/>
      </c>
      <c r="G410" s="42"/>
      <c r="H410" s="43"/>
      <c r="I410" s="43"/>
      <c r="J410" s="40"/>
    </row>
    <row r="411" customFormat="false" ht="16.5" hidden="false" customHeight="true" outlineLevel="0" collapsed="false">
      <c r="B411" s="44" t="str">
        <f aca="false">IF(C411="","",ROW()-9)</f>
        <v/>
      </c>
      <c r="C411" s="45"/>
      <c r="D411" s="46" t="str">
        <f aca="false">IF(C411="","",IFERROR(TEXT(C411,"MMMM"),""))</f>
        <v/>
      </c>
      <c r="E411" s="47"/>
      <c r="F411" s="48" t="str">
        <f aca="false">IF(E411="","",IFERROR(INDEX('Chart of Accounts'!$C$4:$C$200,MATCH(TEXT(E411,"@"),TEXT('Chart of Accounts'!$B$4:$B$200,"@"),0)),"⚠ Not Found"))</f>
        <v/>
      </c>
      <c r="G411" s="49"/>
      <c r="H411" s="50"/>
      <c r="I411" s="50"/>
      <c r="J411" s="47"/>
    </row>
    <row r="412" customFormat="false" ht="16.5" hidden="false" customHeight="true" outlineLevel="0" collapsed="false">
      <c r="B412" s="37" t="str">
        <f aca="false">IF(C412="","",ROW()-9)</f>
        <v/>
      </c>
      <c r="C412" s="38"/>
      <c r="D412" s="39" t="str">
        <f aca="false">IF(C412="","",IFERROR(TEXT(C412,"MMMM"),""))</f>
        <v/>
      </c>
      <c r="E412" s="40"/>
      <c r="F412" s="41" t="str">
        <f aca="false">IF(E412="","",IFERROR(INDEX('Chart of Accounts'!$C$4:$C$200,MATCH(TEXT(E412,"@"),TEXT('Chart of Accounts'!$B$4:$B$200,"@"),0)),"⚠ Not Found"))</f>
        <v/>
      </c>
      <c r="G412" s="42"/>
      <c r="H412" s="43"/>
      <c r="I412" s="43"/>
      <c r="J412" s="40"/>
    </row>
    <row r="413" customFormat="false" ht="16.5" hidden="false" customHeight="true" outlineLevel="0" collapsed="false">
      <c r="B413" s="44" t="str">
        <f aca="false">IF(C413="","",ROW()-9)</f>
        <v/>
      </c>
      <c r="C413" s="45"/>
      <c r="D413" s="46" t="str">
        <f aca="false">IF(C413="","",IFERROR(TEXT(C413,"MMMM"),""))</f>
        <v/>
      </c>
      <c r="E413" s="47"/>
      <c r="F413" s="48" t="str">
        <f aca="false">IF(E413="","",IFERROR(INDEX('Chart of Accounts'!$C$4:$C$200,MATCH(TEXT(E413,"@"),TEXT('Chart of Accounts'!$B$4:$B$200,"@"),0)),"⚠ Not Found"))</f>
        <v/>
      </c>
      <c r="G413" s="49"/>
      <c r="H413" s="50"/>
      <c r="I413" s="50"/>
      <c r="J413" s="47"/>
    </row>
    <row r="414" customFormat="false" ht="16.5" hidden="false" customHeight="true" outlineLevel="0" collapsed="false">
      <c r="B414" s="37" t="str">
        <f aca="false">IF(C414="","",ROW()-9)</f>
        <v/>
      </c>
      <c r="C414" s="38"/>
      <c r="D414" s="39" t="str">
        <f aca="false">IF(C414="","",IFERROR(TEXT(C414,"MMMM"),""))</f>
        <v/>
      </c>
      <c r="E414" s="40"/>
      <c r="F414" s="41" t="str">
        <f aca="false">IF(E414="","",IFERROR(INDEX('Chart of Accounts'!$C$4:$C$200,MATCH(TEXT(E414,"@"),TEXT('Chart of Accounts'!$B$4:$B$200,"@"),0)),"⚠ Not Found"))</f>
        <v/>
      </c>
      <c r="G414" s="42"/>
      <c r="H414" s="43"/>
      <c r="I414" s="43"/>
      <c r="J414" s="40"/>
    </row>
    <row r="415" customFormat="false" ht="16.5" hidden="false" customHeight="true" outlineLevel="0" collapsed="false">
      <c r="B415" s="44" t="str">
        <f aca="false">IF(C415="","",ROW()-9)</f>
        <v/>
      </c>
      <c r="C415" s="45"/>
      <c r="D415" s="46" t="str">
        <f aca="false">IF(C415="","",IFERROR(TEXT(C415,"MMMM"),""))</f>
        <v/>
      </c>
      <c r="E415" s="47"/>
      <c r="F415" s="48" t="str">
        <f aca="false">IF(E415="","",IFERROR(INDEX('Chart of Accounts'!$C$4:$C$200,MATCH(TEXT(E415,"@"),TEXT('Chart of Accounts'!$B$4:$B$200,"@"),0)),"⚠ Not Found"))</f>
        <v/>
      </c>
      <c r="G415" s="49"/>
      <c r="H415" s="50"/>
      <c r="I415" s="50"/>
      <c r="J415" s="47"/>
    </row>
    <row r="416" customFormat="false" ht="16.5" hidden="false" customHeight="true" outlineLevel="0" collapsed="false">
      <c r="B416" s="37" t="str">
        <f aca="false">IF(C416="","",ROW()-9)</f>
        <v/>
      </c>
      <c r="C416" s="38"/>
      <c r="D416" s="39" t="str">
        <f aca="false">IF(C416="","",IFERROR(TEXT(C416,"MMMM"),""))</f>
        <v/>
      </c>
      <c r="E416" s="40"/>
      <c r="F416" s="41" t="str">
        <f aca="false">IF(E416="","",IFERROR(INDEX('Chart of Accounts'!$C$4:$C$200,MATCH(TEXT(E416,"@"),TEXT('Chart of Accounts'!$B$4:$B$200,"@"),0)),"⚠ Not Found"))</f>
        <v/>
      </c>
      <c r="G416" s="42"/>
      <c r="H416" s="43"/>
      <c r="I416" s="43"/>
      <c r="J416" s="40"/>
    </row>
    <row r="417" customFormat="false" ht="16.5" hidden="false" customHeight="true" outlineLevel="0" collapsed="false">
      <c r="B417" s="44" t="str">
        <f aca="false">IF(C417="","",ROW()-9)</f>
        <v/>
      </c>
      <c r="C417" s="45"/>
      <c r="D417" s="46" t="str">
        <f aca="false">IF(C417="","",IFERROR(TEXT(C417,"MMMM"),""))</f>
        <v/>
      </c>
      <c r="E417" s="47"/>
      <c r="F417" s="48" t="str">
        <f aca="false">IF(E417="","",IFERROR(INDEX('Chart of Accounts'!$C$4:$C$200,MATCH(TEXT(E417,"@"),TEXT('Chart of Accounts'!$B$4:$B$200,"@"),0)),"⚠ Not Found"))</f>
        <v/>
      </c>
      <c r="G417" s="49"/>
      <c r="H417" s="50"/>
      <c r="I417" s="50"/>
      <c r="J417" s="47"/>
    </row>
    <row r="418" customFormat="false" ht="16.5" hidden="false" customHeight="true" outlineLevel="0" collapsed="false">
      <c r="B418" s="37" t="str">
        <f aca="false">IF(C418="","",ROW()-9)</f>
        <v/>
      </c>
      <c r="C418" s="38"/>
      <c r="D418" s="39" t="str">
        <f aca="false">IF(C418="","",IFERROR(TEXT(C418,"MMMM"),""))</f>
        <v/>
      </c>
      <c r="E418" s="40"/>
      <c r="F418" s="41" t="str">
        <f aca="false">IF(E418="","",IFERROR(INDEX('Chart of Accounts'!$C$4:$C$200,MATCH(TEXT(E418,"@"),TEXT('Chart of Accounts'!$B$4:$B$200,"@"),0)),"⚠ Not Found"))</f>
        <v/>
      </c>
      <c r="G418" s="42"/>
      <c r="H418" s="43"/>
      <c r="I418" s="43"/>
      <c r="J418" s="40"/>
    </row>
    <row r="419" customFormat="false" ht="16.5" hidden="false" customHeight="true" outlineLevel="0" collapsed="false">
      <c r="B419" s="44" t="str">
        <f aca="false">IF(C419="","",ROW()-9)</f>
        <v/>
      </c>
      <c r="C419" s="45"/>
      <c r="D419" s="46" t="str">
        <f aca="false">IF(C419="","",IFERROR(TEXT(C419,"MMMM"),""))</f>
        <v/>
      </c>
      <c r="E419" s="47"/>
      <c r="F419" s="48" t="str">
        <f aca="false">IF(E419="","",IFERROR(INDEX('Chart of Accounts'!$C$4:$C$200,MATCH(TEXT(E419,"@"),TEXT('Chart of Accounts'!$B$4:$B$200,"@"),0)),"⚠ Not Found"))</f>
        <v/>
      </c>
      <c r="G419" s="49"/>
      <c r="H419" s="50"/>
      <c r="I419" s="50"/>
      <c r="J419" s="47"/>
    </row>
    <row r="420" customFormat="false" ht="16.5" hidden="false" customHeight="true" outlineLevel="0" collapsed="false">
      <c r="B420" s="37" t="str">
        <f aca="false">IF(C420="","",ROW()-9)</f>
        <v/>
      </c>
      <c r="C420" s="38"/>
      <c r="D420" s="39" t="str">
        <f aca="false">IF(C420="","",IFERROR(TEXT(C420,"MMMM"),""))</f>
        <v/>
      </c>
      <c r="E420" s="40"/>
      <c r="F420" s="41" t="str">
        <f aca="false">IF(E420="","",IFERROR(INDEX('Chart of Accounts'!$C$4:$C$200,MATCH(TEXT(E420,"@"),TEXT('Chart of Accounts'!$B$4:$B$200,"@"),0)),"⚠ Not Found"))</f>
        <v/>
      </c>
      <c r="G420" s="42"/>
      <c r="H420" s="43"/>
      <c r="I420" s="43"/>
      <c r="J420" s="40"/>
    </row>
    <row r="421" customFormat="false" ht="16.5" hidden="false" customHeight="true" outlineLevel="0" collapsed="false">
      <c r="B421" s="44" t="str">
        <f aca="false">IF(C421="","",ROW()-9)</f>
        <v/>
      </c>
      <c r="C421" s="45"/>
      <c r="D421" s="46" t="str">
        <f aca="false">IF(C421="","",IFERROR(TEXT(C421,"MMMM"),""))</f>
        <v/>
      </c>
      <c r="E421" s="47"/>
      <c r="F421" s="48" t="str">
        <f aca="false">IF(E421="","",IFERROR(INDEX('Chart of Accounts'!$C$4:$C$200,MATCH(TEXT(E421,"@"),TEXT('Chart of Accounts'!$B$4:$B$200,"@"),0)),"⚠ Not Found"))</f>
        <v/>
      </c>
      <c r="G421" s="49"/>
      <c r="H421" s="50"/>
      <c r="I421" s="50"/>
      <c r="J421" s="47"/>
    </row>
    <row r="422" customFormat="false" ht="16.5" hidden="false" customHeight="true" outlineLevel="0" collapsed="false">
      <c r="B422" s="37" t="str">
        <f aca="false">IF(C422="","",ROW()-9)</f>
        <v/>
      </c>
      <c r="C422" s="38"/>
      <c r="D422" s="39" t="str">
        <f aca="false">IF(C422="","",IFERROR(TEXT(C422,"MMMM"),""))</f>
        <v/>
      </c>
      <c r="E422" s="40"/>
      <c r="F422" s="41" t="str">
        <f aca="false">IF(E422="","",IFERROR(INDEX('Chart of Accounts'!$C$4:$C$200,MATCH(TEXT(E422,"@"),TEXT('Chart of Accounts'!$B$4:$B$200,"@"),0)),"⚠ Not Found"))</f>
        <v/>
      </c>
      <c r="G422" s="42"/>
      <c r="H422" s="43"/>
      <c r="I422" s="43"/>
      <c r="J422" s="40"/>
    </row>
    <row r="423" customFormat="false" ht="16.5" hidden="false" customHeight="true" outlineLevel="0" collapsed="false">
      <c r="B423" s="44" t="str">
        <f aca="false">IF(C423="","",ROW()-9)</f>
        <v/>
      </c>
      <c r="C423" s="45"/>
      <c r="D423" s="46" t="str">
        <f aca="false">IF(C423="","",IFERROR(TEXT(C423,"MMMM"),""))</f>
        <v/>
      </c>
      <c r="E423" s="47"/>
      <c r="F423" s="48" t="str">
        <f aca="false">IF(E423="","",IFERROR(INDEX('Chart of Accounts'!$C$4:$C$200,MATCH(TEXT(E423,"@"),TEXT('Chart of Accounts'!$B$4:$B$200,"@"),0)),"⚠ Not Found"))</f>
        <v/>
      </c>
      <c r="G423" s="49"/>
      <c r="H423" s="50"/>
      <c r="I423" s="50"/>
      <c r="J423" s="47"/>
    </row>
    <row r="424" customFormat="false" ht="16.5" hidden="false" customHeight="true" outlineLevel="0" collapsed="false">
      <c r="B424" s="37" t="str">
        <f aca="false">IF(C424="","",ROW()-9)</f>
        <v/>
      </c>
      <c r="C424" s="38"/>
      <c r="D424" s="39" t="str">
        <f aca="false">IF(C424="","",IFERROR(TEXT(C424,"MMMM"),""))</f>
        <v/>
      </c>
      <c r="E424" s="40"/>
      <c r="F424" s="41" t="str">
        <f aca="false">IF(E424="","",IFERROR(INDEX('Chart of Accounts'!$C$4:$C$200,MATCH(TEXT(E424,"@"),TEXT('Chart of Accounts'!$B$4:$B$200,"@"),0)),"⚠ Not Found"))</f>
        <v/>
      </c>
      <c r="G424" s="42"/>
      <c r="H424" s="43"/>
      <c r="I424" s="43"/>
      <c r="J424" s="40"/>
    </row>
    <row r="425" customFormat="false" ht="16.5" hidden="false" customHeight="true" outlineLevel="0" collapsed="false">
      <c r="B425" s="44" t="str">
        <f aca="false">IF(C425="","",ROW()-9)</f>
        <v/>
      </c>
      <c r="C425" s="45"/>
      <c r="D425" s="46" t="str">
        <f aca="false">IF(C425="","",IFERROR(TEXT(C425,"MMMM"),""))</f>
        <v/>
      </c>
      <c r="E425" s="47"/>
      <c r="F425" s="48" t="str">
        <f aca="false">IF(E425="","",IFERROR(INDEX('Chart of Accounts'!$C$4:$C$200,MATCH(TEXT(E425,"@"),TEXT('Chart of Accounts'!$B$4:$B$200,"@"),0)),"⚠ Not Found"))</f>
        <v/>
      </c>
      <c r="G425" s="49"/>
      <c r="H425" s="50"/>
      <c r="I425" s="50"/>
      <c r="J425" s="47"/>
    </row>
    <row r="426" customFormat="false" ht="16.5" hidden="false" customHeight="true" outlineLevel="0" collapsed="false">
      <c r="B426" s="37" t="str">
        <f aca="false">IF(C426="","",ROW()-9)</f>
        <v/>
      </c>
      <c r="C426" s="38"/>
      <c r="D426" s="39" t="str">
        <f aca="false">IF(C426="","",IFERROR(TEXT(C426,"MMMM"),""))</f>
        <v/>
      </c>
      <c r="E426" s="40"/>
      <c r="F426" s="41" t="str">
        <f aca="false">IF(E426="","",IFERROR(INDEX('Chart of Accounts'!$C$4:$C$200,MATCH(TEXT(E426,"@"),TEXT('Chart of Accounts'!$B$4:$B$200,"@"),0)),"⚠ Not Found"))</f>
        <v/>
      </c>
      <c r="G426" s="42"/>
      <c r="H426" s="43"/>
      <c r="I426" s="43"/>
      <c r="J426" s="40"/>
    </row>
    <row r="427" customFormat="false" ht="16.5" hidden="false" customHeight="true" outlineLevel="0" collapsed="false">
      <c r="B427" s="44" t="str">
        <f aca="false">IF(C427="","",ROW()-9)</f>
        <v/>
      </c>
      <c r="C427" s="45"/>
      <c r="D427" s="46" t="str">
        <f aca="false">IF(C427="","",IFERROR(TEXT(C427,"MMMM"),""))</f>
        <v/>
      </c>
      <c r="E427" s="47"/>
      <c r="F427" s="48" t="str">
        <f aca="false">IF(E427="","",IFERROR(INDEX('Chart of Accounts'!$C$4:$C$200,MATCH(TEXT(E427,"@"),TEXT('Chart of Accounts'!$B$4:$B$200,"@"),0)),"⚠ Not Found"))</f>
        <v/>
      </c>
      <c r="G427" s="49"/>
      <c r="H427" s="50"/>
      <c r="I427" s="50"/>
      <c r="J427" s="47"/>
    </row>
    <row r="428" customFormat="false" ht="16.5" hidden="false" customHeight="true" outlineLevel="0" collapsed="false">
      <c r="B428" s="37" t="str">
        <f aca="false">IF(C428="","",ROW()-9)</f>
        <v/>
      </c>
      <c r="C428" s="38"/>
      <c r="D428" s="39" t="str">
        <f aca="false">IF(C428="","",IFERROR(TEXT(C428,"MMMM"),""))</f>
        <v/>
      </c>
      <c r="E428" s="40"/>
      <c r="F428" s="41" t="str">
        <f aca="false">IF(E428="","",IFERROR(INDEX('Chart of Accounts'!$C$4:$C$200,MATCH(TEXT(E428,"@"),TEXT('Chart of Accounts'!$B$4:$B$200,"@"),0)),"⚠ Not Found"))</f>
        <v/>
      </c>
      <c r="G428" s="42"/>
      <c r="H428" s="43"/>
      <c r="I428" s="43"/>
      <c r="J428" s="40"/>
    </row>
    <row r="429" customFormat="false" ht="16.5" hidden="false" customHeight="true" outlineLevel="0" collapsed="false">
      <c r="B429" s="44" t="str">
        <f aca="false">IF(C429="","",ROW()-9)</f>
        <v/>
      </c>
      <c r="C429" s="45"/>
      <c r="D429" s="46" t="str">
        <f aca="false">IF(C429="","",IFERROR(TEXT(C429,"MMMM"),""))</f>
        <v/>
      </c>
      <c r="E429" s="47"/>
      <c r="F429" s="48" t="str">
        <f aca="false">IF(E429="","",IFERROR(INDEX('Chart of Accounts'!$C$4:$C$200,MATCH(TEXT(E429,"@"),TEXT('Chart of Accounts'!$B$4:$B$200,"@"),0)),"⚠ Not Found"))</f>
        <v/>
      </c>
      <c r="G429" s="49"/>
      <c r="H429" s="50"/>
      <c r="I429" s="50"/>
      <c r="J429" s="47"/>
    </row>
    <row r="430" customFormat="false" ht="16.5" hidden="false" customHeight="true" outlineLevel="0" collapsed="false">
      <c r="B430" s="37" t="str">
        <f aca="false">IF(C430="","",ROW()-9)</f>
        <v/>
      </c>
      <c r="C430" s="38"/>
      <c r="D430" s="39" t="str">
        <f aca="false">IF(C430="","",IFERROR(TEXT(C430,"MMMM"),""))</f>
        <v/>
      </c>
      <c r="E430" s="40"/>
      <c r="F430" s="41" t="str">
        <f aca="false">IF(E430="","",IFERROR(INDEX('Chart of Accounts'!$C$4:$C$200,MATCH(TEXT(E430,"@"),TEXT('Chart of Accounts'!$B$4:$B$200,"@"),0)),"⚠ Not Found"))</f>
        <v/>
      </c>
      <c r="G430" s="42"/>
      <c r="H430" s="43"/>
      <c r="I430" s="43"/>
      <c r="J430" s="40"/>
    </row>
    <row r="431" customFormat="false" ht="16.5" hidden="false" customHeight="true" outlineLevel="0" collapsed="false">
      <c r="B431" s="44" t="str">
        <f aca="false">IF(C431="","",ROW()-9)</f>
        <v/>
      </c>
      <c r="C431" s="45"/>
      <c r="D431" s="46" t="str">
        <f aca="false">IF(C431="","",IFERROR(TEXT(C431,"MMMM"),""))</f>
        <v/>
      </c>
      <c r="E431" s="47"/>
      <c r="F431" s="48" t="str">
        <f aca="false">IF(E431="","",IFERROR(INDEX('Chart of Accounts'!$C$4:$C$200,MATCH(TEXT(E431,"@"),TEXT('Chart of Accounts'!$B$4:$B$200,"@"),0)),"⚠ Not Found"))</f>
        <v/>
      </c>
      <c r="G431" s="49"/>
      <c r="H431" s="50"/>
      <c r="I431" s="50"/>
      <c r="J431" s="47"/>
    </row>
    <row r="432" customFormat="false" ht="16.5" hidden="false" customHeight="true" outlineLevel="0" collapsed="false">
      <c r="B432" s="37" t="str">
        <f aca="false">IF(C432="","",ROW()-9)</f>
        <v/>
      </c>
      <c r="C432" s="38"/>
      <c r="D432" s="39" t="str">
        <f aca="false">IF(C432="","",IFERROR(TEXT(C432,"MMMM"),""))</f>
        <v/>
      </c>
      <c r="E432" s="40"/>
      <c r="F432" s="41" t="str">
        <f aca="false">IF(E432="","",IFERROR(INDEX('Chart of Accounts'!$C$4:$C$200,MATCH(TEXT(E432,"@"),TEXT('Chart of Accounts'!$B$4:$B$200,"@"),0)),"⚠ Not Found"))</f>
        <v/>
      </c>
      <c r="G432" s="42"/>
      <c r="H432" s="43"/>
      <c r="I432" s="43"/>
      <c r="J432" s="40"/>
    </row>
    <row r="433" customFormat="false" ht="16.5" hidden="false" customHeight="true" outlineLevel="0" collapsed="false">
      <c r="B433" s="44" t="str">
        <f aca="false">IF(C433="","",ROW()-9)</f>
        <v/>
      </c>
      <c r="C433" s="45"/>
      <c r="D433" s="46" t="str">
        <f aca="false">IF(C433="","",IFERROR(TEXT(C433,"MMMM"),""))</f>
        <v/>
      </c>
      <c r="E433" s="47"/>
      <c r="F433" s="48" t="str">
        <f aca="false">IF(E433="","",IFERROR(INDEX('Chart of Accounts'!$C$4:$C$200,MATCH(TEXT(E433,"@"),TEXT('Chart of Accounts'!$B$4:$B$200,"@"),0)),"⚠ Not Found"))</f>
        <v/>
      </c>
      <c r="G433" s="49"/>
      <c r="H433" s="50"/>
      <c r="I433" s="50"/>
      <c r="J433" s="47"/>
    </row>
    <row r="434" customFormat="false" ht="16.5" hidden="false" customHeight="true" outlineLevel="0" collapsed="false">
      <c r="B434" s="37" t="str">
        <f aca="false">IF(C434="","",ROW()-9)</f>
        <v/>
      </c>
      <c r="C434" s="38"/>
      <c r="D434" s="39" t="str">
        <f aca="false">IF(C434="","",IFERROR(TEXT(C434,"MMMM"),""))</f>
        <v/>
      </c>
      <c r="E434" s="40"/>
      <c r="F434" s="41" t="str">
        <f aca="false">IF(E434="","",IFERROR(INDEX('Chart of Accounts'!$C$4:$C$200,MATCH(TEXT(E434,"@"),TEXT('Chart of Accounts'!$B$4:$B$200,"@"),0)),"⚠ Not Found"))</f>
        <v/>
      </c>
      <c r="G434" s="42"/>
      <c r="H434" s="43"/>
      <c r="I434" s="43"/>
      <c r="J434" s="40"/>
    </row>
    <row r="435" customFormat="false" ht="16.5" hidden="false" customHeight="true" outlineLevel="0" collapsed="false">
      <c r="B435" s="44" t="str">
        <f aca="false">IF(C435="","",ROW()-9)</f>
        <v/>
      </c>
      <c r="C435" s="45"/>
      <c r="D435" s="46" t="str">
        <f aca="false">IF(C435="","",IFERROR(TEXT(C435,"MMMM"),""))</f>
        <v/>
      </c>
      <c r="E435" s="47"/>
      <c r="F435" s="48" t="str">
        <f aca="false">IF(E435="","",IFERROR(INDEX('Chart of Accounts'!$C$4:$C$200,MATCH(TEXT(E435,"@"),TEXT('Chart of Accounts'!$B$4:$B$200,"@"),0)),"⚠ Not Found"))</f>
        <v/>
      </c>
      <c r="G435" s="49"/>
      <c r="H435" s="50"/>
      <c r="I435" s="50"/>
      <c r="J435" s="47"/>
    </row>
    <row r="436" customFormat="false" ht="16.5" hidden="false" customHeight="true" outlineLevel="0" collapsed="false">
      <c r="B436" s="37" t="str">
        <f aca="false">IF(C436="","",ROW()-9)</f>
        <v/>
      </c>
      <c r="C436" s="38"/>
      <c r="D436" s="39" t="str">
        <f aca="false">IF(C436="","",IFERROR(TEXT(C436,"MMMM"),""))</f>
        <v/>
      </c>
      <c r="E436" s="40"/>
      <c r="F436" s="41" t="str">
        <f aca="false">IF(E436="","",IFERROR(INDEX('Chart of Accounts'!$C$4:$C$200,MATCH(TEXT(E436,"@"),TEXT('Chart of Accounts'!$B$4:$B$200,"@"),0)),"⚠ Not Found"))</f>
        <v/>
      </c>
      <c r="G436" s="42"/>
      <c r="H436" s="43"/>
      <c r="I436" s="43"/>
      <c r="J436" s="40"/>
    </row>
    <row r="437" customFormat="false" ht="16.5" hidden="false" customHeight="true" outlineLevel="0" collapsed="false">
      <c r="B437" s="44" t="str">
        <f aca="false">IF(C437="","",ROW()-9)</f>
        <v/>
      </c>
      <c r="C437" s="45"/>
      <c r="D437" s="46" t="str">
        <f aca="false">IF(C437="","",IFERROR(TEXT(C437,"MMMM"),""))</f>
        <v/>
      </c>
      <c r="E437" s="47"/>
      <c r="F437" s="48" t="str">
        <f aca="false">IF(E437="","",IFERROR(INDEX('Chart of Accounts'!$C$4:$C$200,MATCH(TEXT(E437,"@"),TEXT('Chart of Accounts'!$B$4:$B$200,"@"),0)),"⚠ Not Found"))</f>
        <v/>
      </c>
      <c r="G437" s="49"/>
      <c r="H437" s="50"/>
      <c r="I437" s="50"/>
      <c r="J437" s="47"/>
    </row>
    <row r="438" customFormat="false" ht="16.5" hidden="false" customHeight="true" outlineLevel="0" collapsed="false">
      <c r="B438" s="37" t="str">
        <f aca="false">IF(C438="","",ROW()-9)</f>
        <v/>
      </c>
      <c r="C438" s="38"/>
      <c r="D438" s="39" t="str">
        <f aca="false">IF(C438="","",IFERROR(TEXT(C438,"MMMM"),""))</f>
        <v/>
      </c>
      <c r="E438" s="40"/>
      <c r="F438" s="41" t="str">
        <f aca="false">IF(E438="","",IFERROR(INDEX('Chart of Accounts'!$C$4:$C$200,MATCH(TEXT(E438,"@"),TEXT('Chart of Accounts'!$B$4:$B$200,"@"),0)),"⚠ Not Found"))</f>
        <v/>
      </c>
      <c r="G438" s="42"/>
      <c r="H438" s="43"/>
      <c r="I438" s="43"/>
      <c r="J438" s="40"/>
    </row>
    <row r="439" customFormat="false" ht="16.5" hidden="false" customHeight="true" outlineLevel="0" collapsed="false">
      <c r="B439" s="44" t="str">
        <f aca="false">IF(C439="","",ROW()-9)</f>
        <v/>
      </c>
      <c r="C439" s="45"/>
      <c r="D439" s="46" t="str">
        <f aca="false">IF(C439="","",IFERROR(TEXT(C439,"MMMM"),""))</f>
        <v/>
      </c>
      <c r="E439" s="47"/>
      <c r="F439" s="48" t="str">
        <f aca="false">IF(E439="","",IFERROR(INDEX('Chart of Accounts'!$C$4:$C$200,MATCH(TEXT(E439,"@"),TEXT('Chart of Accounts'!$B$4:$B$200,"@"),0)),"⚠ Not Found"))</f>
        <v/>
      </c>
      <c r="G439" s="49"/>
      <c r="H439" s="50"/>
      <c r="I439" s="50"/>
      <c r="J439" s="47"/>
    </row>
    <row r="440" customFormat="false" ht="16.5" hidden="false" customHeight="true" outlineLevel="0" collapsed="false">
      <c r="B440" s="37" t="str">
        <f aca="false">IF(C440="","",ROW()-9)</f>
        <v/>
      </c>
      <c r="C440" s="38"/>
      <c r="D440" s="39" t="str">
        <f aca="false">IF(C440="","",IFERROR(TEXT(C440,"MMMM"),""))</f>
        <v/>
      </c>
      <c r="E440" s="40"/>
      <c r="F440" s="41" t="str">
        <f aca="false">IF(E440="","",IFERROR(INDEX('Chart of Accounts'!$C$4:$C$200,MATCH(TEXT(E440,"@"),TEXT('Chart of Accounts'!$B$4:$B$200,"@"),0)),"⚠ Not Found"))</f>
        <v/>
      </c>
      <c r="G440" s="42"/>
      <c r="H440" s="43"/>
      <c r="I440" s="43"/>
      <c r="J440" s="40"/>
    </row>
    <row r="441" customFormat="false" ht="16.5" hidden="false" customHeight="true" outlineLevel="0" collapsed="false">
      <c r="B441" s="44" t="str">
        <f aca="false">IF(C441="","",ROW()-9)</f>
        <v/>
      </c>
      <c r="C441" s="45"/>
      <c r="D441" s="46" t="str">
        <f aca="false">IF(C441="","",IFERROR(TEXT(C441,"MMMM"),""))</f>
        <v/>
      </c>
      <c r="E441" s="47"/>
      <c r="F441" s="48" t="str">
        <f aca="false">IF(E441="","",IFERROR(INDEX('Chart of Accounts'!$C$4:$C$200,MATCH(TEXT(E441,"@"),TEXT('Chart of Accounts'!$B$4:$B$200,"@"),0)),"⚠ Not Found"))</f>
        <v/>
      </c>
      <c r="G441" s="49"/>
      <c r="H441" s="50"/>
      <c r="I441" s="50"/>
      <c r="J441" s="47"/>
    </row>
    <row r="442" customFormat="false" ht="16.5" hidden="false" customHeight="true" outlineLevel="0" collapsed="false">
      <c r="B442" s="37" t="str">
        <f aca="false">IF(C442="","",ROW()-9)</f>
        <v/>
      </c>
      <c r="C442" s="38"/>
      <c r="D442" s="39" t="str">
        <f aca="false">IF(C442="","",IFERROR(TEXT(C442,"MMMM"),""))</f>
        <v/>
      </c>
      <c r="E442" s="40"/>
      <c r="F442" s="41" t="str">
        <f aca="false">IF(E442="","",IFERROR(INDEX('Chart of Accounts'!$C$4:$C$200,MATCH(TEXT(E442,"@"),TEXT('Chart of Accounts'!$B$4:$B$200,"@"),0)),"⚠ Not Found"))</f>
        <v/>
      </c>
      <c r="G442" s="42"/>
      <c r="H442" s="43"/>
      <c r="I442" s="43"/>
      <c r="J442" s="40"/>
    </row>
    <row r="443" customFormat="false" ht="16.5" hidden="false" customHeight="true" outlineLevel="0" collapsed="false">
      <c r="B443" s="44" t="str">
        <f aca="false">IF(C443="","",ROW()-9)</f>
        <v/>
      </c>
      <c r="C443" s="45"/>
      <c r="D443" s="46" t="str">
        <f aca="false">IF(C443="","",IFERROR(TEXT(C443,"MMMM"),""))</f>
        <v/>
      </c>
      <c r="E443" s="47"/>
      <c r="F443" s="48" t="str">
        <f aca="false">IF(E443="","",IFERROR(INDEX('Chart of Accounts'!$C$4:$C$200,MATCH(TEXT(E443,"@"),TEXT('Chart of Accounts'!$B$4:$B$200,"@"),0)),"⚠ Not Found"))</f>
        <v/>
      </c>
      <c r="G443" s="49"/>
      <c r="H443" s="50"/>
      <c r="I443" s="50"/>
      <c r="J443" s="47"/>
    </row>
    <row r="444" customFormat="false" ht="16.5" hidden="false" customHeight="true" outlineLevel="0" collapsed="false">
      <c r="B444" s="37" t="str">
        <f aca="false">IF(C444="","",ROW()-9)</f>
        <v/>
      </c>
      <c r="C444" s="38"/>
      <c r="D444" s="39" t="str">
        <f aca="false">IF(C444="","",IFERROR(TEXT(C444,"MMMM"),""))</f>
        <v/>
      </c>
      <c r="E444" s="40"/>
      <c r="F444" s="41" t="str">
        <f aca="false">IF(E444="","",IFERROR(INDEX('Chart of Accounts'!$C$4:$C$200,MATCH(TEXT(E444,"@"),TEXT('Chart of Accounts'!$B$4:$B$200,"@"),0)),"⚠ Not Found"))</f>
        <v/>
      </c>
      <c r="G444" s="42"/>
      <c r="H444" s="43"/>
      <c r="I444" s="43"/>
      <c r="J444" s="40"/>
    </row>
    <row r="445" customFormat="false" ht="16.5" hidden="false" customHeight="true" outlineLevel="0" collapsed="false">
      <c r="B445" s="44" t="str">
        <f aca="false">IF(C445="","",ROW()-9)</f>
        <v/>
      </c>
      <c r="C445" s="45"/>
      <c r="D445" s="46" t="str">
        <f aca="false">IF(C445="","",IFERROR(TEXT(C445,"MMMM"),""))</f>
        <v/>
      </c>
      <c r="E445" s="47"/>
      <c r="F445" s="48" t="str">
        <f aca="false">IF(E445="","",IFERROR(INDEX('Chart of Accounts'!$C$4:$C$200,MATCH(TEXT(E445,"@"),TEXT('Chart of Accounts'!$B$4:$B$200,"@"),0)),"⚠ Not Found"))</f>
        <v/>
      </c>
      <c r="G445" s="49"/>
      <c r="H445" s="50"/>
      <c r="I445" s="50"/>
      <c r="J445" s="47"/>
    </row>
    <row r="446" customFormat="false" ht="16.5" hidden="false" customHeight="true" outlineLevel="0" collapsed="false">
      <c r="B446" s="37" t="str">
        <f aca="false">IF(C446="","",ROW()-9)</f>
        <v/>
      </c>
      <c r="C446" s="38"/>
      <c r="D446" s="39" t="str">
        <f aca="false">IF(C446="","",IFERROR(TEXT(C446,"MMMM"),""))</f>
        <v/>
      </c>
      <c r="E446" s="40"/>
      <c r="F446" s="41" t="str">
        <f aca="false">IF(E446="","",IFERROR(INDEX('Chart of Accounts'!$C$4:$C$200,MATCH(TEXT(E446,"@"),TEXT('Chart of Accounts'!$B$4:$B$200,"@"),0)),"⚠ Not Found"))</f>
        <v/>
      </c>
      <c r="G446" s="42"/>
      <c r="H446" s="43"/>
      <c r="I446" s="43"/>
      <c r="J446" s="40"/>
    </row>
    <row r="447" customFormat="false" ht="16.5" hidden="false" customHeight="true" outlineLevel="0" collapsed="false">
      <c r="B447" s="44" t="str">
        <f aca="false">IF(C447="","",ROW()-9)</f>
        <v/>
      </c>
      <c r="C447" s="45"/>
      <c r="D447" s="46" t="str">
        <f aca="false">IF(C447="","",IFERROR(TEXT(C447,"MMMM"),""))</f>
        <v/>
      </c>
      <c r="E447" s="47"/>
      <c r="F447" s="48" t="str">
        <f aca="false">IF(E447="","",IFERROR(INDEX('Chart of Accounts'!$C$4:$C$200,MATCH(TEXT(E447,"@"),TEXT('Chart of Accounts'!$B$4:$B$200,"@"),0)),"⚠ Not Found"))</f>
        <v/>
      </c>
      <c r="G447" s="49"/>
      <c r="H447" s="50"/>
      <c r="I447" s="50"/>
      <c r="J447" s="47"/>
    </row>
    <row r="448" customFormat="false" ht="16.5" hidden="false" customHeight="true" outlineLevel="0" collapsed="false">
      <c r="B448" s="37" t="str">
        <f aca="false">IF(C448="","",ROW()-9)</f>
        <v/>
      </c>
      <c r="C448" s="38"/>
      <c r="D448" s="39" t="str">
        <f aca="false">IF(C448="","",IFERROR(TEXT(C448,"MMMM"),""))</f>
        <v/>
      </c>
      <c r="E448" s="40"/>
      <c r="F448" s="41" t="str">
        <f aca="false">IF(E448="","",IFERROR(INDEX('Chart of Accounts'!$C$4:$C$200,MATCH(TEXT(E448,"@"),TEXT('Chart of Accounts'!$B$4:$B$200,"@"),0)),"⚠ Not Found"))</f>
        <v/>
      </c>
      <c r="G448" s="42"/>
      <c r="H448" s="43"/>
      <c r="I448" s="43"/>
      <c r="J448" s="40"/>
    </row>
    <row r="449" customFormat="false" ht="16.5" hidden="false" customHeight="true" outlineLevel="0" collapsed="false">
      <c r="B449" s="44" t="str">
        <f aca="false">IF(C449="","",ROW()-9)</f>
        <v/>
      </c>
      <c r="C449" s="45"/>
      <c r="D449" s="46" t="str">
        <f aca="false">IF(C449="","",IFERROR(TEXT(C449,"MMMM"),""))</f>
        <v/>
      </c>
      <c r="E449" s="47"/>
      <c r="F449" s="48" t="str">
        <f aca="false">IF(E449="","",IFERROR(INDEX('Chart of Accounts'!$C$4:$C$200,MATCH(TEXT(E449,"@"),TEXT('Chart of Accounts'!$B$4:$B$200,"@"),0)),"⚠ Not Found"))</f>
        <v/>
      </c>
      <c r="G449" s="49"/>
      <c r="H449" s="50"/>
      <c r="I449" s="50"/>
      <c r="J449" s="47"/>
    </row>
    <row r="450" customFormat="false" ht="16.5" hidden="false" customHeight="true" outlineLevel="0" collapsed="false">
      <c r="B450" s="37" t="str">
        <f aca="false">IF(C450="","",ROW()-9)</f>
        <v/>
      </c>
      <c r="C450" s="38"/>
      <c r="D450" s="39" t="str">
        <f aca="false">IF(C450="","",IFERROR(TEXT(C450,"MMMM"),""))</f>
        <v/>
      </c>
      <c r="E450" s="40"/>
      <c r="F450" s="41" t="str">
        <f aca="false">IF(E450="","",IFERROR(INDEX('Chart of Accounts'!$C$4:$C$200,MATCH(TEXT(E450,"@"),TEXT('Chart of Accounts'!$B$4:$B$200,"@"),0)),"⚠ Not Found"))</f>
        <v/>
      </c>
      <c r="G450" s="42"/>
      <c r="H450" s="43"/>
      <c r="I450" s="43"/>
      <c r="J450" s="40"/>
    </row>
    <row r="451" customFormat="false" ht="16.5" hidden="false" customHeight="true" outlineLevel="0" collapsed="false">
      <c r="B451" s="44" t="str">
        <f aca="false">IF(C451="","",ROW()-9)</f>
        <v/>
      </c>
      <c r="C451" s="45"/>
      <c r="D451" s="46" t="str">
        <f aca="false">IF(C451="","",IFERROR(TEXT(C451,"MMMM"),""))</f>
        <v/>
      </c>
      <c r="E451" s="47"/>
      <c r="F451" s="48" t="str">
        <f aca="false">IF(E451="","",IFERROR(INDEX('Chart of Accounts'!$C$4:$C$200,MATCH(TEXT(E451,"@"),TEXT('Chart of Accounts'!$B$4:$B$200,"@"),0)),"⚠ Not Found"))</f>
        <v/>
      </c>
      <c r="G451" s="49"/>
      <c r="H451" s="50"/>
      <c r="I451" s="50"/>
      <c r="J451" s="47"/>
    </row>
    <row r="452" customFormat="false" ht="16.5" hidden="false" customHeight="true" outlineLevel="0" collapsed="false">
      <c r="B452" s="37" t="str">
        <f aca="false">IF(C452="","",ROW()-9)</f>
        <v/>
      </c>
      <c r="C452" s="38"/>
      <c r="D452" s="39" t="str">
        <f aca="false">IF(C452="","",IFERROR(TEXT(C452,"MMMM"),""))</f>
        <v/>
      </c>
      <c r="E452" s="40"/>
      <c r="F452" s="41" t="str">
        <f aca="false">IF(E452="","",IFERROR(INDEX('Chart of Accounts'!$C$4:$C$200,MATCH(TEXT(E452,"@"),TEXT('Chart of Accounts'!$B$4:$B$200,"@"),0)),"⚠ Not Found"))</f>
        <v/>
      </c>
      <c r="G452" s="42"/>
      <c r="H452" s="43"/>
      <c r="I452" s="43"/>
      <c r="J452" s="40"/>
    </row>
    <row r="453" customFormat="false" ht="16.5" hidden="false" customHeight="true" outlineLevel="0" collapsed="false">
      <c r="B453" s="44" t="str">
        <f aca="false">IF(C453="","",ROW()-9)</f>
        <v/>
      </c>
      <c r="C453" s="45"/>
      <c r="D453" s="46" t="str">
        <f aca="false">IF(C453="","",IFERROR(TEXT(C453,"MMMM"),""))</f>
        <v/>
      </c>
      <c r="E453" s="47"/>
      <c r="F453" s="48" t="str">
        <f aca="false">IF(E453="","",IFERROR(INDEX('Chart of Accounts'!$C$4:$C$200,MATCH(TEXT(E453,"@"),TEXT('Chart of Accounts'!$B$4:$B$200,"@"),0)),"⚠ Not Found"))</f>
        <v/>
      </c>
      <c r="G453" s="49"/>
      <c r="H453" s="50"/>
      <c r="I453" s="50"/>
      <c r="J453" s="47"/>
    </row>
    <row r="454" customFormat="false" ht="16.5" hidden="false" customHeight="true" outlineLevel="0" collapsed="false">
      <c r="B454" s="37" t="str">
        <f aca="false">IF(C454="","",ROW()-9)</f>
        <v/>
      </c>
      <c r="C454" s="38"/>
      <c r="D454" s="39" t="str">
        <f aca="false">IF(C454="","",IFERROR(TEXT(C454,"MMMM"),""))</f>
        <v/>
      </c>
      <c r="E454" s="40"/>
      <c r="F454" s="41" t="str">
        <f aca="false">IF(E454="","",IFERROR(INDEX('Chart of Accounts'!$C$4:$C$200,MATCH(TEXT(E454,"@"),TEXT('Chart of Accounts'!$B$4:$B$200,"@"),0)),"⚠ Not Found"))</f>
        <v/>
      </c>
      <c r="G454" s="42"/>
      <c r="H454" s="43"/>
      <c r="I454" s="43"/>
      <c r="J454" s="40"/>
    </row>
    <row r="455" customFormat="false" ht="16.5" hidden="false" customHeight="true" outlineLevel="0" collapsed="false">
      <c r="B455" s="44" t="str">
        <f aca="false">IF(C455="","",ROW()-9)</f>
        <v/>
      </c>
      <c r="C455" s="45"/>
      <c r="D455" s="46" t="str">
        <f aca="false">IF(C455="","",IFERROR(TEXT(C455,"MMMM"),""))</f>
        <v/>
      </c>
      <c r="E455" s="47"/>
      <c r="F455" s="48" t="str">
        <f aca="false">IF(E455="","",IFERROR(INDEX('Chart of Accounts'!$C$4:$C$200,MATCH(TEXT(E455,"@"),TEXT('Chart of Accounts'!$B$4:$B$200,"@"),0)),"⚠ Not Found"))</f>
        <v/>
      </c>
      <c r="G455" s="49"/>
      <c r="H455" s="50"/>
      <c r="I455" s="50"/>
      <c r="J455" s="47"/>
    </row>
    <row r="456" customFormat="false" ht="16.5" hidden="false" customHeight="true" outlineLevel="0" collapsed="false">
      <c r="B456" s="37" t="str">
        <f aca="false">IF(C456="","",ROW()-9)</f>
        <v/>
      </c>
      <c r="C456" s="38"/>
      <c r="D456" s="39" t="str">
        <f aca="false">IF(C456="","",IFERROR(TEXT(C456,"MMMM"),""))</f>
        <v/>
      </c>
      <c r="E456" s="40"/>
      <c r="F456" s="41" t="str">
        <f aca="false">IF(E456="","",IFERROR(INDEX('Chart of Accounts'!$C$4:$C$200,MATCH(TEXT(E456,"@"),TEXT('Chart of Accounts'!$B$4:$B$200,"@"),0)),"⚠ Not Found"))</f>
        <v/>
      </c>
      <c r="G456" s="42"/>
      <c r="H456" s="43"/>
      <c r="I456" s="43"/>
      <c r="J456" s="40"/>
    </row>
    <row r="457" customFormat="false" ht="16.5" hidden="false" customHeight="true" outlineLevel="0" collapsed="false">
      <c r="B457" s="44" t="str">
        <f aca="false">IF(C457="","",ROW()-9)</f>
        <v/>
      </c>
      <c r="C457" s="45"/>
      <c r="D457" s="46" t="str">
        <f aca="false">IF(C457="","",IFERROR(TEXT(C457,"MMMM"),""))</f>
        <v/>
      </c>
      <c r="E457" s="47"/>
      <c r="F457" s="48" t="str">
        <f aca="false">IF(E457="","",IFERROR(INDEX('Chart of Accounts'!$C$4:$C$200,MATCH(TEXT(E457,"@"),TEXT('Chart of Accounts'!$B$4:$B$200,"@"),0)),"⚠ Not Found"))</f>
        <v/>
      </c>
      <c r="G457" s="49"/>
      <c r="H457" s="50"/>
      <c r="I457" s="50"/>
      <c r="J457" s="47"/>
    </row>
    <row r="458" customFormat="false" ht="16.5" hidden="false" customHeight="true" outlineLevel="0" collapsed="false">
      <c r="B458" s="37" t="str">
        <f aca="false">IF(C458="","",ROW()-9)</f>
        <v/>
      </c>
      <c r="C458" s="38"/>
      <c r="D458" s="39" t="str">
        <f aca="false">IF(C458="","",IFERROR(TEXT(C458,"MMMM"),""))</f>
        <v/>
      </c>
      <c r="E458" s="40"/>
      <c r="F458" s="41" t="str">
        <f aca="false">IF(E458="","",IFERROR(INDEX('Chart of Accounts'!$C$4:$C$200,MATCH(TEXT(E458,"@"),TEXT('Chart of Accounts'!$B$4:$B$200,"@"),0)),"⚠ Not Found"))</f>
        <v/>
      </c>
      <c r="G458" s="42"/>
      <c r="H458" s="43"/>
      <c r="I458" s="43"/>
      <c r="J458" s="40"/>
    </row>
    <row r="459" customFormat="false" ht="16.5" hidden="false" customHeight="true" outlineLevel="0" collapsed="false">
      <c r="B459" s="44" t="str">
        <f aca="false">IF(C459="","",ROW()-9)</f>
        <v/>
      </c>
      <c r="C459" s="45"/>
      <c r="D459" s="46" t="str">
        <f aca="false">IF(C459="","",IFERROR(TEXT(C459,"MMMM"),""))</f>
        <v/>
      </c>
      <c r="E459" s="47"/>
      <c r="F459" s="48" t="str">
        <f aca="false">IF(E459="","",IFERROR(INDEX('Chart of Accounts'!$C$4:$C$200,MATCH(TEXT(E459,"@"),TEXT('Chart of Accounts'!$B$4:$B$200,"@"),0)),"⚠ Not Found"))</f>
        <v/>
      </c>
      <c r="G459" s="49"/>
      <c r="H459" s="50"/>
      <c r="I459" s="50"/>
      <c r="J459" s="47"/>
    </row>
    <row r="460" customFormat="false" ht="16.5" hidden="false" customHeight="true" outlineLevel="0" collapsed="false">
      <c r="B460" s="37" t="str">
        <f aca="false">IF(C460="","",ROW()-9)</f>
        <v/>
      </c>
      <c r="C460" s="38"/>
      <c r="D460" s="39" t="str">
        <f aca="false">IF(C460="","",IFERROR(TEXT(C460,"MMMM"),""))</f>
        <v/>
      </c>
      <c r="E460" s="40"/>
      <c r="F460" s="41" t="str">
        <f aca="false">IF(E460="","",IFERROR(INDEX('Chart of Accounts'!$C$4:$C$200,MATCH(TEXT(E460,"@"),TEXT('Chart of Accounts'!$B$4:$B$200,"@"),0)),"⚠ Not Found"))</f>
        <v/>
      </c>
      <c r="G460" s="42"/>
      <c r="H460" s="43"/>
      <c r="I460" s="43"/>
      <c r="J460" s="40"/>
    </row>
    <row r="461" customFormat="false" ht="16.5" hidden="false" customHeight="true" outlineLevel="0" collapsed="false">
      <c r="B461" s="44" t="str">
        <f aca="false">IF(C461="","",ROW()-9)</f>
        <v/>
      </c>
      <c r="C461" s="45"/>
      <c r="D461" s="46" t="str">
        <f aca="false">IF(C461="","",IFERROR(TEXT(C461,"MMMM"),""))</f>
        <v/>
      </c>
      <c r="E461" s="47"/>
      <c r="F461" s="48" t="str">
        <f aca="false">IF(E461="","",IFERROR(INDEX('Chart of Accounts'!$C$4:$C$200,MATCH(TEXT(E461,"@"),TEXT('Chart of Accounts'!$B$4:$B$200,"@"),0)),"⚠ Not Found"))</f>
        <v/>
      </c>
      <c r="G461" s="49"/>
      <c r="H461" s="50"/>
      <c r="I461" s="50"/>
      <c r="J461" s="47"/>
    </row>
    <row r="462" customFormat="false" ht="16.5" hidden="false" customHeight="true" outlineLevel="0" collapsed="false">
      <c r="B462" s="37" t="str">
        <f aca="false">IF(C462="","",ROW()-9)</f>
        <v/>
      </c>
      <c r="C462" s="38"/>
      <c r="D462" s="39" t="str">
        <f aca="false">IF(C462="","",IFERROR(TEXT(C462,"MMMM"),""))</f>
        <v/>
      </c>
      <c r="E462" s="40"/>
      <c r="F462" s="41" t="str">
        <f aca="false">IF(E462="","",IFERROR(INDEX('Chart of Accounts'!$C$4:$C$200,MATCH(TEXT(E462,"@"),TEXT('Chart of Accounts'!$B$4:$B$200,"@"),0)),"⚠ Not Found"))</f>
        <v/>
      </c>
      <c r="G462" s="42"/>
      <c r="H462" s="43"/>
      <c r="I462" s="43"/>
      <c r="J462" s="40"/>
    </row>
    <row r="463" customFormat="false" ht="16.5" hidden="false" customHeight="true" outlineLevel="0" collapsed="false">
      <c r="B463" s="44" t="str">
        <f aca="false">IF(C463="","",ROW()-9)</f>
        <v/>
      </c>
      <c r="C463" s="45"/>
      <c r="D463" s="46" t="str">
        <f aca="false">IF(C463="","",IFERROR(TEXT(C463,"MMMM"),""))</f>
        <v/>
      </c>
      <c r="E463" s="47"/>
      <c r="F463" s="48" t="str">
        <f aca="false">IF(E463="","",IFERROR(INDEX('Chart of Accounts'!$C$4:$C$200,MATCH(TEXT(E463,"@"),TEXT('Chart of Accounts'!$B$4:$B$200,"@"),0)),"⚠ Not Found"))</f>
        <v/>
      </c>
      <c r="G463" s="49"/>
      <c r="H463" s="50"/>
      <c r="I463" s="50"/>
      <c r="J463" s="47"/>
    </row>
    <row r="464" customFormat="false" ht="16.5" hidden="false" customHeight="true" outlineLevel="0" collapsed="false">
      <c r="B464" s="37" t="str">
        <f aca="false">IF(C464="","",ROW()-9)</f>
        <v/>
      </c>
      <c r="C464" s="38"/>
      <c r="D464" s="39" t="str">
        <f aca="false">IF(C464="","",IFERROR(TEXT(C464,"MMMM"),""))</f>
        <v/>
      </c>
      <c r="E464" s="40"/>
      <c r="F464" s="41" t="str">
        <f aca="false">IF(E464="","",IFERROR(INDEX('Chart of Accounts'!$C$4:$C$200,MATCH(TEXT(E464,"@"),TEXT('Chart of Accounts'!$B$4:$B$200,"@"),0)),"⚠ Not Found"))</f>
        <v/>
      </c>
      <c r="G464" s="42"/>
      <c r="H464" s="43"/>
      <c r="I464" s="43"/>
      <c r="J464" s="40"/>
    </row>
    <row r="465" customFormat="false" ht="16.5" hidden="false" customHeight="true" outlineLevel="0" collapsed="false">
      <c r="B465" s="44" t="str">
        <f aca="false">IF(C465="","",ROW()-9)</f>
        <v/>
      </c>
      <c r="C465" s="45"/>
      <c r="D465" s="46" t="str">
        <f aca="false">IF(C465="","",IFERROR(TEXT(C465,"MMMM"),""))</f>
        <v/>
      </c>
      <c r="E465" s="47"/>
      <c r="F465" s="48" t="str">
        <f aca="false">IF(E465="","",IFERROR(INDEX('Chart of Accounts'!$C$4:$C$200,MATCH(TEXT(E465,"@"),TEXT('Chart of Accounts'!$B$4:$B$200,"@"),0)),"⚠ Not Found"))</f>
        <v/>
      </c>
      <c r="G465" s="49"/>
      <c r="H465" s="50"/>
      <c r="I465" s="50"/>
      <c r="J465" s="47"/>
    </row>
    <row r="466" customFormat="false" ht="16.5" hidden="false" customHeight="true" outlineLevel="0" collapsed="false">
      <c r="B466" s="37" t="str">
        <f aca="false">IF(C466="","",ROW()-9)</f>
        <v/>
      </c>
      <c r="C466" s="38"/>
      <c r="D466" s="39" t="str">
        <f aca="false">IF(C466="","",IFERROR(TEXT(C466,"MMMM"),""))</f>
        <v/>
      </c>
      <c r="E466" s="40"/>
      <c r="F466" s="41" t="str">
        <f aca="false">IF(E466="","",IFERROR(INDEX('Chart of Accounts'!$C$4:$C$200,MATCH(TEXT(E466,"@"),TEXT('Chart of Accounts'!$B$4:$B$200,"@"),0)),"⚠ Not Found"))</f>
        <v/>
      </c>
      <c r="G466" s="42"/>
      <c r="H466" s="43"/>
      <c r="I466" s="43"/>
      <c r="J466" s="40"/>
    </row>
    <row r="467" customFormat="false" ht="16.5" hidden="false" customHeight="true" outlineLevel="0" collapsed="false">
      <c r="B467" s="44" t="str">
        <f aca="false">IF(C467="","",ROW()-9)</f>
        <v/>
      </c>
      <c r="C467" s="45"/>
      <c r="D467" s="46" t="str">
        <f aca="false">IF(C467="","",IFERROR(TEXT(C467,"MMMM"),""))</f>
        <v/>
      </c>
      <c r="E467" s="47"/>
      <c r="F467" s="48" t="str">
        <f aca="false">IF(E467="","",IFERROR(INDEX('Chart of Accounts'!$C$4:$C$200,MATCH(TEXT(E467,"@"),TEXT('Chart of Accounts'!$B$4:$B$200,"@"),0)),"⚠ Not Found"))</f>
        <v/>
      </c>
      <c r="G467" s="49"/>
      <c r="H467" s="50"/>
      <c r="I467" s="50"/>
      <c r="J467" s="47"/>
    </row>
    <row r="468" customFormat="false" ht="16.5" hidden="false" customHeight="true" outlineLevel="0" collapsed="false">
      <c r="B468" s="37" t="str">
        <f aca="false">IF(C468="","",ROW()-9)</f>
        <v/>
      </c>
      <c r="C468" s="38"/>
      <c r="D468" s="39" t="str">
        <f aca="false">IF(C468="","",IFERROR(TEXT(C468,"MMMM"),""))</f>
        <v/>
      </c>
      <c r="E468" s="40"/>
      <c r="F468" s="41" t="str">
        <f aca="false">IF(E468="","",IFERROR(INDEX('Chart of Accounts'!$C$4:$C$200,MATCH(TEXT(E468,"@"),TEXT('Chart of Accounts'!$B$4:$B$200,"@"),0)),"⚠ Not Found"))</f>
        <v/>
      </c>
      <c r="G468" s="42"/>
      <c r="H468" s="43"/>
      <c r="I468" s="43"/>
      <c r="J468" s="40"/>
    </row>
    <row r="469" customFormat="false" ht="16.5" hidden="false" customHeight="true" outlineLevel="0" collapsed="false">
      <c r="B469" s="44" t="str">
        <f aca="false">IF(C469="","",ROW()-9)</f>
        <v/>
      </c>
      <c r="C469" s="45"/>
      <c r="D469" s="46" t="str">
        <f aca="false">IF(C469="","",IFERROR(TEXT(C469,"MMMM"),""))</f>
        <v/>
      </c>
      <c r="E469" s="47"/>
      <c r="F469" s="48" t="str">
        <f aca="false">IF(E469="","",IFERROR(INDEX('Chart of Accounts'!$C$4:$C$200,MATCH(TEXT(E469,"@"),TEXT('Chart of Accounts'!$B$4:$B$200,"@"),0)),"⚠ Not Found"))</f>
        <v/>
      </c>
      <c r="G469" s="49"/>
      <c r="H469" s="50"/>
      <c r="I469" s="50"/>
      <c r="J469" s="47"/>
    </row>
    <row r="470" customFormat="false" ht="16.5" hidden="false" customHeight="true" outlineLevel="0" collapsed="false">
      <c r="B470" s="37" t="str">
        <f aca="false">IF(C470="","",ROW()-9)</f>
        <v/>
      </c>
      <c r="C470" s="38"/>
      <c r="D470" s="39" t="str">
        <f aca="false">IF(C470="","",IFERROR(TEXT(C470,"MMMM"),""))</f>
        <v/>
      </c>
      <c r="E470" s="40"/>
      <c r="F470" s="41" t="str">
        <f aca="false">IF(E470="","",IFERROR(INDEX('Chart of Accounts'!$C$4:$C$200,MATCH(TEXT(E470,"@"),TEXT('Chart of Accounts'!$B$4:$B$200,"@"),0)),"⚠ Not Found"))</f>
        <v/>
      </c>
      <c r="G470" s="42"/>
      <c r="H470" s="43"/>
      <c r="I470" s="43"/>
      <c r="J470" s="40"/>
    </row>
    <row r="471" customFormat="false" ht="16.5" hidden="false" customHeight="true" outlineLevel="0" collapsed="false">
      <c r="B471" s="44" t="str">
        <f aca="false">IF(C471="","",ROW()-9)</f>
        <v/>
      </c>
      <c r="C471" s="45"/>
      <c r="D471" s="46" t="str">
        <f aca="false">IF(C471="","",IFERROR(TEXT(C471,"MMMM"),""))</f>
        <v/>
      </c>
      <c r="E471" s="47"/>
      <c r="F471" s="48" t="str">
        <f aca="false">IF(E471="","",IFERROR(INDEX('Chart of Accounts'!$C$4:$C$200,MATCH(TEXT(E471,"@"),TEXT('Chart of Accounts'!$B$4:$B$200,"@"),0)),"⚠ Not Found"))</f>
        <v/>
      </c>
      <c r="G471" s="49"/>
      <c r="H471" s="50"/>
      <c r="I471" s="50"/>
      <c r="J471" s="47"/>
    </row>
    <row r="472" customFormat="false" ht="16.5" hidden="false" customHeight="true" outlineLevel="0" collapsed="false">
      <c r="B472" s="37" t="str">
        <f aca="false">IF(C472="","",ROW()-9)</f>
        <v/>
      </c>
      <c r="C472" s="38"/>
      <c r="D472" s="39" t="str">
        <f aca="false">IF(C472="","",IFERROR(TEXT(C472,"MMMM"),""))</f>
        <v/>
      </c>
      <c r="E472" s="40"/>
      <c r="F472" s="41" t="str">
        <f aca="false">IF(E472="","",IFERROR(INDEX('Chart of Accounts'!$C$4:$C$200,MATCH(TEXT(E472,"@"),TEXT('Chart of Accounts'!$B$4:$B$200,"@"),0)),"⚠ Not Found"))</f>
        <v/>
      </c>
      <c r="G472" s="42"/>
      <c r="H472" s="43"/>
      <c r="I472" s="43"/>
      <c r="J472" s="40"/>
    </row>
    <row r="473" customFormat="false" ht="16.5" hidden="false" customHeight="true" outlineLevel="0" collapsed="false">
      <c r="B473" s="44" t="str">
        <f aca="false">IF(C473="","",ROW()-9)</f>
        <v/>
      </c>
      <c r="C473" s="45"/>
      <c r="D473" s="46" t="str">
        <f aca="false">IF(C473="","",IFERROR(TEXT(C473,"MMMM"),""))</f>
        <v/>
      </c>
      <c r="E473" s="47"/>
      <c r="F473" s="48" t="str">
        <f aca="false">IF(E473="","",IFERROR(INDEX('Chart of Accounts'!$C$4:$C$200,MATCH(TEXT(E473,"@"),TEXT('Chart of Accounts'!$B$4:$B$200,"@"),0)),"⚠ Not Found"))</f>
        <v/>
      </c>
      <c r="G473" s="49"/>
      <c r="H473" s="50"/>
      <c r="I473" s="50"/>
      <c r="J473" s="47"/>
    </row>
    <row r="474" customFormat="false" ht="16.5" hidden="false" customHeight="true" outlineLevel="0" collapsed="false">
      <c r="B474" s="37" t="str">
        <f aca="false">IF(C474="","",ROW()-9)</f>
        <v/>
      </c>
      <c r="C474" s="38"/>
      <c r="D474" s="39" t="str">
        <f aca="false">IF(C474="","",IFERROR(TEXT(C474,"MMMM"),""))</f>
        <v/>
      </c>
      <c r="E474" s="40"/>
      <c r="F474" s="41" t="str">
        <f aca="false">IF(E474="","",IFERROR(INDEX('Chart of Accounts'!$C$4:$C$200,MATCH(TEXT(E474,"@"),TEXT('Chart of Accounts'!$B$4:$B$200,"@"),0)),"⚠ Not Found"))</f>
        <v/>
      </c>
      <c r="G474" s="42"/>
      <c r="H474" s="43"/>
      <c r="I474" s="43"/>
      <c r="J474" s="40"/>
    </row>
    <row r="475" customFormat="false" ht="16.5" hidden="false" customHeight="true" outlineLevel="0" collapsed="false">
      <c r="B475" s="44" t="str">
        <f aca="false">IF(C475="","",ROW()-9)</f>
        <v/>
      </c>
      <c r="C475" s="45"/>
      <c r="D475" s="46" t="str">
        <f aca="false">IF(C475="","",IFERROR(TEXT(C475,"MMMM"),""))</f>
        <v/>
      </c>
      <c r="E475" s="47"/>
      <c r="F475" s="48" t="str">
        <f aca="false">IF(E475="","",IFERROR(INDEX('Chart of Accounts'!$C$4:$C$200,MATCH(TEXT(E475,"@"),TEXT('Chart of Accounts'!$B$4:$B$200,"@"),0)),"⚠ Not Found"))</f>
        <v/>
      </c>
      <c r="G475" s="49"/>
      <c r="H475" s="50"/>
      <c r="I475" s="50"/>
      <c r="J475" s="47"/>
    </row>
    <row r="476" customFormat="false" ht="16.5" hidden="false" customHeight="true" outlineLevel="0" collapsed="false">
      <c r="B476" s="37" t="str">
        <f aca="false">IF(C476="","",ROW()-9)</f>
        <v/>
      </c>
      <c r="C476" s="38"/>
      <c r="D476" s="39" t="str">
        <f aca="false">IF(C476="","",IFERROR(TEXT(C476,"MMMM"),""))</f>
        <v/>
      </c>
      <c r="E476" s="40"/>
      <c r="F476" s="41" t="str">
        <f aca="false">IF(E476="","",IFERROR(INDEX('Chart of Accounts'!$C$4:$C$200,MATCH(TEXT(E476,"@"),TEXT('Chart of Accounts'!$B$4:$B$200,"@"),0)),"⚠ Not Found"))</f>
        <v/>
      </c>
      <c r="G476" s="42"/>
      <c r="H476" s="43"/>
      <c r="I476" s="43"/>
      <c r="J476" s="40"/>
    </row>
    <row r="477" customFormat="false" ht="16.5" hidden="false" customHeight="true" outlineLevel="0" collapsed="false">
      <c r="B477" s="44" t="str">
        <f aca="false">IF(C477="","",ROW()-9)</f>
        <v/>
      </c>
      <c r="C477" s="45"/>
      <c r="D477" s="46" t="str">
        <f aca="false">IF(C477="","",IFERROR(TEXT(C477,"MMMM"),""))</f>
        <v/>
      </c>
      <c r="E477" s="47"/>
      <c r="F477" s="48" t="str">
        <f aca="false">IF(E477="","",IFERROR(INDEX('Chart of Accounts'!$C$4:$C$200,MATCH(TEXT(E477,"@"),TEXT('Chart of Accounts'!$B$4:$B$200,"@"),0)),"⚠ Not Found"))</f>
        <v/>
      </c>
      <c r="G477" s="49"/>
      <c r="H477" s="50"/>
      <c r="I477" s="50"/>
      <c r="J477" s="47"/>
    </row>
    <row r="478" customFormat="false" ht="16.5" hidden="false" customHeight="true" outlineLevel="0" collapsed="false">
      <c r="B478" s="37" t="str">
        <f aca="false">IF(C478="","",ROW()-9)</f>
        <v/>
      </c>
      <c r="C478" s="38"/>
      <c r="D478" s="39" t="str">
        <f aca="false">IF(C478="","",IFERROR(TEXT(C478,"MMMM"),""))</f>
        <v/>
      </c>
      <c r="E478" s="40"/>
      <c r="F478" s="41" t="str">
        <f aca="false">IF(E478="","",IFERROR(INDEX('Chart of Accounts'!$C$4:$C$200,MATCH(TEXT(E478,"@"),TEXT('Chart of Accounts'!$B$4:$B$200,"@"),0)),"⚠ Not Found"))</f>
        <v/>
      </c>
      <c r="G478" s="42"/>
      <c r="H478" s="43"/>
      <c r="I478" s="43"/>
      <c r="J478" s="40"/>
    </row>
    <row r="479" customFormat="false" ht="16.5" hidden="false" customHeight="true" outlineLevel="0" collapsed="false">
      <c r="B479" s="44" t="str">
        <f aca="false">IF(C479="","",ROW()-9)</f>
        <v/>
      </c>
      <c r="C479" s="45"/>
      <c r="D479" s="46" t="str">
        <f aca="false">IF(C479="","",IFERROR(TEXT(C479,"MMMM"),""))</f>
        <v/>
      </c>
      <c r="E479" s="47"/>
      <c r="F479" s="48" t="str">
        <f aca="false">IF(E479="","",IFERROR(INDEX('Chart of Accounts'!$C$4:$C$200,MATCH(TEXT(E479,"@"),TEXT('Chart of Accounts'!$B$4:$B$200,"@"),0)),"⚠ Not Found"))</f>
        <v/>
      </c>
      <c r="G479" s="49"/>
      <c r="H479" s="50"/>
      <c r="I479" s="50"/>
      <c r="J479" s="47"/>
    </row>
    <row r="480" customFormat="false" ht="16.5" hidden="false" customHeight="true" outlineLevel="0" collapsed="false">
      <c r="B480" s="37" t="str">
        <f aca="false">IF(C480="","",ROW()-9)</f>
        <v/>
      </c>
      <c r="C480" s="38"/>
      <c r="D480" s="39" t="str">
        <f aca="false">IF(C480="","",IFERROR(TEXT(C480,"MMMM"),""))</f>
        <v/>
      </c>
      <c r="E480" s="40"/>
      <c r="F480" s="41" t="str">
        <f aca="false">IF(E480="","",IFERROR(INDEX('Chart of Accounts'!$C$4:$C$200,MATCH(TEXT(E480,"@"),TEXT('Chart of Accounts'!$B$4:$B$200,"@"),0)),"⚠ Not Found"))</f>
        <v/>
      </c>
      <c r="G480" s="42"/>
      <c r="H480" s="43"/>
      <c r="I480" s="43"/>
      <c r="J480" s="40"/>
    </row>
    <row r="481" customFormat="false" ht="16.5" hidden="false" customHeight="true" outlineLevel="0" collapsed="false">
      <c r="B481" s="44" t="str">
        <f aca="false">IF(C481="","",ROW()-9)</f>
        <v/>
      </c>
      <c r="C481" s="45"/>
      <c r="D481" s="46" t="str">
        <f aca="false">IF(C481="","",IFERROR(TEXT(C481,"MMMM"),""))</f>
        <v/>
      </c>
      <c r="E481" s="47"/>
      <c r="F481" s="48" t="str">
        <f aca="false">IF(E481="","",IFERROR(INDEX('Chart of Accounts'!$C$4:$C$200,MATCH(TEXT(E481,"@"),TEXT('Chart of Accounts'!$B$4:$B$200,"@"),0)),"⚠ Not Found"))</f>
        <v/>
      </c>
      <c r="G481" s="49"/>
      <c r="H481" s="50"/>
      <c r="I481" s="50"/>
      <c r="J481" s="47"/>
    </row>
    <row r="482" customFormat="false" ht="16.5" hidden="false" customHeight="true" outlineLevel="0" collapsed="false">
      <c r="B482" s="37" t="str">
        <f aca="false">IF(C482="","",ROW()-9)</f>
        <v/>
      </c>
      <c r="C482" s="38"/>
      <c r="D482" s="39" t="str">
        <f aca="false">IF(C482="","",IFERROR(TEXT(C482,"MMMM"),""))</f>
        <v/>
      </c>
      <c r="E482" s="40"/>
      <c r="F482" s="41" t="str">
        <f aca="false">IF(E482="","",IFERROR(INDEX('Chart of Accounts'!$C$4:$C$200,MATCH(TEXT(E482,"@"),TEXT('Chart of Accounts'!$B$4:$B$200,"@"),0)),"⚠ Not Found"))</f>
        <v/>
      </c>
      <c r="G482" s="42"/>
      <c r="H482" s="43"/>
      <c r="I482" s="43"/>
      <c r="J482" s="40"/>
    </row>
    <row r="483" customFormat="false" ht="16.5" hidden="false" customHeight="true" outlineLevel="0" collapsed="false">
      <c r="B483" s="44" t="str">
        <f aca="false">IF(C483="","",ROW()-9)</f>
        <v/>
      </c>
      <c r="C483" s="45"/>
      <c r="D483" s="46" t="str">
        <f aca="false">IF(C483="","",IFERROR(TEXT(C483,"MMMM"),""))</f>
        <v/>
      </c>
      <c r="E483" s="47"/>
      <c r="F483" s="48" t="str">
        <f aca="false">IF(E483="","",IFERROR(INDEX('Chart of Accounts'!$C$4:$C$200,MATCH(TEXT(E483,"@"),TEXT('Chart of Accounts'!$B$4:$B$200,"@"),0)),"⚠ Not Found"))</f>
        <v/>
      </c>
      <c r="G483" s="49"/>
      <c r="H483" s="50"/>
      <c r="I483" s="50"/>
      <c r="J483" s="47"/>
    </row>
    <row r="484" customFormat="false" ht="16.5" hidden="false" customHeight="true" outlineLevel="0" collapsed="false">
      <c r="B484" s="37" t="str">
        <f aca="false">IF(C484="","",ROW()-9)</f>
        <v/>
      </c>
      <c r="C484" s="38"/>
      <c r="D484" s="39" t="str">
        <f aca="false">IF(C484="","",IFERROR(TEXT(C484,"MMMM"),""))</f>
        <v/>
      </c>
      <c r="E484" s="40"/>
      <c r="F484" s="41" t="str">
        <f aca="false">IF(E484="","",IFERROR(INDEX('Chart of Accounts'!$C$4:$C$200,MATCH(TEXT(E484,"@"),TEXT('Chart of Accounts'!$B$4:$B$200,"@"),0)),"⚠ Not Found"))</f>
        <v/>
      </c>
      <c r="G484" s="42"/>
      <c r="H484" s="43"/>
      <c r="I484" s="43"/>
      <c r="J484" s="40"/>
    </row>
    <row r="485" customFormat="false" ht="16.5" hidden="false" customHeight="true" outlineLevel="0" collapsed="false">
      <c r="B485" s="44" t="str">
        <f aca="false">IF(C485="","",ROW()-9)</f>
        <v/>
      </c>
      <c r="C485" s="45"/>
      <c r="D485" s="46" t="str">
        <f aca="false">IF(C485="","",IFERROR(TEXT(C485,"MMMM"),""))</f>
        <v/>
      </c>
      <c r="E485" s="47"/>
      <c r="F485" s="48" t="str">
        <f aca="false">IF(E485="","",IFERROR(INDEX('Chart of Accounts'!$C$4:$C$200,MATCH(TEXT(E485,"@"),TEXT('Chart of Accounts'!$B$4:$B$200,"@"),0)),"⚠ Not Found"))</f>
        <v/>
      </c>
      <c r="G485" s="49"/>
      <c r="H485" s="50"/>
      <c r="I485" s="50"/>
      <c r="J485" s="47"/>
    </row>
    <row r="486" customFormat="false" ht="16.5" hidden="false" customHeight="true" outlineLevel="0" collapsed="false">
      <c r="B486" s="37" t="str">
        <f aca="false">IF(C486="","",ROW()-9)</f>
        <v/>
      </c>
      <c r="C486" s="38"/>
      <c r="D486" s="39" t="str">
        <f aca="false">IF(C486="","",IFERROR(TEXT(C486,"MMMM"),""))</f>
        <v/>
      </c>
      <c r="E486" s="40"/>
      <c r="F486" s="41" t="str">
        <f aca="false">IF(E486="","",IFERROR(INDEX('Chart of Accounts'!$C$4:$C$200,MATCH(TEXT(E486,"@"),TEXT('Chart of Accounts'!$B$4:$B$200,"@"),0)),"⚠ Not Found"))</f>
        <v/>
      </c>
      <c r="G486" s="42"/>
      <c r="H486" s="43"/>
      <c r="I486" s="43"/>
      <c r="J486" s="40"/>
    </row>
    <row r="487" customFormat="false" ht="16.5" hidden="false" customHeight="true" outlineLevel="0" collapsed="false">
      <c r="B487" s="44" t="str">
        <f aca="false">IF(C487="","",ROW()-9)</f>
        <v/>
      </c>
      <c r="C487" s="45"/>
      <c r="D487" s="46" t="str">
        <f aca="false">IF(C487="","",IFERROR(TEXT(C487,"MMMM"),""))</f>
        <v/>
      </c>
      <c r="E487" s="47"/>
      <c r="F487" s="48" t="str">
        <f aca="false">IF(E487="","",IFERROR(INDEX('Chart of Accounts'!$C$4:$C$200,MATCH(TEXT(E487,"@"),TEXT('Chart of Accounts'!$B$4:$B$200,"@"),0)),"⚠ Not Found"))</f>
        <v/>
      </c>
      <c r="G487" s="49"/>
      <c r="H487" s="50"/>
      <c r="I487" s="50"/>
      <c r="J487" s="47"/>
    </row>
    <row r="488" customFormat="false" ht="16.5" hidden="false" customHeight="true" outlineLevel="0" collapsed="false">
      <c r="B488" s="37" t="str">
        <f aca="false">IF(C488="","",ROW()-9)</f>
        <v/>
      </c>
      <c r="C488" s="38"/>
      <c r="D488" s="39" t="str">
        <f aca="false">IF(C488="","",IFERROR(TEXT(C488,"MMMM"),""))</f>
        <v/>
      </c>
      <c r="E488" s="40"/>
      <c r="F488" s="41" t="str">
        <f aca="false">IF(E488="","",IFERROR(INDEX('Chart of Accounts'!$C$4:$C$200,MATCH(TEXT(E488,"@"),TEXT('Chart of Accounts'!$B$4:$B$200,"@"),0)),"⚠ Not Found"))</f>
        <v/>
      </c>
      <c r="G488" s="42"/>
      <c r="H488" s="43"/>
      <c r="I488" s="43"/>
      <c r="J488" s="40"/>
    </row>
    <row r="489" customFormat="false" ht="16.5" hidden="false" customHeight="true" outlineLevel="0" collapsed="false">
      <c r="B489" s="44" t="str">
        <f aca="false">IF(C489="","",ROW()-9)</f>
        <v/>
      </c>
      <c r="C489" s="45"/>
      <c r="D489" s="46" t="str">
        <f aca="false">IF(C489="","",IFERROR(TEXT(C489,"MMMM"),""))</f>
        <v/>
      </c>
      <c r="E489" s="47"/>
      <c r="F489" s="48" t="str">
        <f aca="false">IF(E489="","",IFERROR(INDEX('Chart of Accounts'!$C$4:$C$200,MATCH(TEXT(E489,"@"),TEXT('Chart of Accounts'!$B$4:$B$200,"@"),0)),"⚠ Not Found"))</f>
        <v/>
      </c>
      <c r="G489" s="49"/>
      <c r="H489" s="50"/>
      <c r="I489" s="50"/>
      <c r="J489" s="47"/>
    </row>
    <row r="490" customFormat="false" ht="16.5" hidden="false" customHeight="true" outlineLevel="0" collapsed="false">
      <c r="B490" s="37" t="str">
        <f aca="false">IF(C490="","",ROW()-9)</f>
        <v/>
      </c>
      <c r="C490" s="38"/>
      <c r="D490" s="39" t="str">
        <f aca="false">IF(C490="","",IFERROR(TEXT(C490,"MMMM"),""))</f>
        <v/>
      </c>
      <c r="E490" s="40"/>
      <c r="F490" s="41" t="str">
        <f aca="false">IF(E490="","",IFERROR(INDEX('Chart of Accounts'!$C$4:$C$200,MATCH(TEXT(E490,"@"),TEXT('Chart of Accounts'!$B$4:$B$200,"@"),0)),"⚠ Not Found"))</f>
        <v/>
      </c>
      <c r="G490" s="42"/>
      <c r="H490" s="43"/>
      <c r="I490" s="43"/>
      <c r="J490" s="40"/>
    </row>
    <row r="491" customFormat="false" ht="16.5" hidden="false" customHeight="true" outlineLevel="0" collapsed="false">
      <c r="B491" s="44" t="str">
        <f aca="false">IF(C491="","",ROW()-9)</f>
        <v/>
      </c>
      <c r="C491" s="45"/>
      <c r="D491" s="46" t="str">
        <f aca="false">IF(C491="","",IFERROR(TEXT(C491,"MMMM"),""))</f>
        <v/>
      </c>
      <c r="E491" s="47"/>
      <c r="F491" s="48" t="str">
        <f aca="false">IF(E491="","",IFERROR(INDEX('Chart of Accounts'!$C$4:$C$200,MATCH(TEXT(E491,"@"),TEXT('Chart of Accounts'!$B$4:$B$200,"@"),0)),"⚠ Not Found"))</f>
        <v/>
      </c>
      <c r="G491" s="49"/>
      <c r="H491" s="50"/>
      <c r="I491" s="50"/>
      <c r="J491" s="47"/>
    </row>
    <row r="492" customFormat="false" ht="16.5" hidden="false" customHeight="true" outlineLevel="0" collapsed="false">
      <c r="B492" s="37" t="str">
        <f aca="false">IF(C492="","",ROW()-9)</f>
        <v/>
      </c>
      <c r="C492" s="38"/>
      <c r="D492" s="39" t="str">
        <f aca="false">IF(C492="","",IFERROR(TEXT(C492,"MMMM"),""))</f>
        <v/>
      </c>
      <c r="E492" s="40"/>
      <c r="F492" s="41" t="str">
        <f aca="false">IF(E492="","",IFERROR(INDEX('Chart of Accounts'!$C$4:$C$200,MATCH(TEXT(E492,"@"),TEXT('Chart of Accounts'!$B$4:$B$200,"@"),0)),"⚠ Not Found"))</f>
        <v/>
      </c>
      <c r="G492" s="42"/>
      <c r="H492" s="43"/>
      <c r="I492" s="43"/>
      <c r="J492" s="40"/>
    </row>
    <row r="493" customFormat="false" ht="16.5" hidden="false" customHeight="true" outlineLevel="0" collapsed="false">
      <c r="B493" s="44" t="str">
        <f aca="false">IF(C493="","",ROW()-9)</f>
        <v/>
      </c>
      <c r="C493" s="45"/>
      <c r="D493" s="46" t="str">
        <f aca="false">IF(C493="","",IFERROR(TEXT(C493,"MMMM"),""))</f>
        <v/>
      </c>
      <c r="E493" s="47"/>
      <c r="F493" s="48" t="str">
        <f aca="false">IF(E493="","",IFERROR(INDEX('Chart of Accounts'!$C$4:$C$200,MATCH(TEXT(E493,"@"),TEXT('Chart of Accounts'!$B$4:$B$200,"@"),0)),"⚠ Not Found"))</f>
        <v/>
      </c>
      <c r="G493" s="49"/>
      <c r="H493" s="50"/>
      <c r="I493" s="50"/>
      <c r="J493" s="47"/>
    </row>
    <row r="494" customFormat="false" ht="16.5" hidden="false" customHeight="true" outlineLevel="0" collapsed="false">
      <c r="B494" s="37" t="str">
        <f aca="false">IF(C494="","",ROW()-9)</f>
        <v/>
      </c>
      <c r="C494" s="38"/>
      <c r="D494" s="39" t="str">
        <f aca="false">IF(C494="","",IFERROR(TEXT(C494,"MMMM"),""))</f>
        <v/>
      </c>
      <c r="E494" s="40"/>
      <c r="F494" s="41" t="str">
        <f aca="false">IF(E494="","",IFERROR(INDEX('Chart of Accounts'!$C$4:$C$200,MATCH(TEXT(E494,"@"),TEXT('Chart of Accounts'!$B$4:$B$200,"@"),0)),"⚠ Not Found"))</f>
        <v/>
      </c>
      <c r="G494" s="42"/>
      <c r="H494" s="43"/>
      <c r="I494" s="43"/>
      <c r="J494" s="40"/>
    </row>
    <row r="495" customFormat="false" ht="16.5" hidden="false" customHeight="true" outlineLevel="0" collapsed="false">
      <c r="B495" s="44" t="str">
        <f aca="false">IF(C495="","",ROW()-9)</f>
        <v/>
      </c>
      <c r="C495" s="45"/>
      <c r="D495" s="46" t="str">
        <f aca="false">IF(C495="","",IFERROR(TEXT(C495,"MMMM"),""))</f>
        <v/>
      </c>
      <c r="E495" s="47"/>
      <c r="F495" s="48" t="str">
        <f aca="false">IF(E495="","",IFERROR(INDEX('Chart of Accounts'!$C$4:$C$200,MATCH(TEXT(E495,"@"),TEXT('Chart of Accounts'!$B$4:$B$200,"@"),0)),"⚠ Not Found"))</f>
        <v/>
      </c>
      <c r="G495" s="49"/>
      <c r="H495" s="50"/>
      <c r="I495" s="50"/>
      <c r="J495" s="47"/>
    </row>
    <row r="496" customFormat="false" ht="16.5" hidden="false" customHeight="true" outlineLevel="0" collapsed="false">
      <c r="B496" s="37" t="str">
        <f aca="false">IF(C496="","",ROW()-9)</f>
        <v/>
      </c>
      <c r="C496" s="38"/>
      <c r="D496" s="39" t="str">
        <f aca="false">IF(C496="","",IFERROR(TEXT(C496,"MMMM"),""))</f>
        <v/>
      </c>
      <c r="E496" s="40"/>
      <c r="F496" s="41" t="str">
        <f aca="false">IF(E496="","",IFERROR(INDEX('Chart of Accounts'!$C$4:$C$200,MATCH(TEXT(E496,"@"),TEXT('Chart of Accounts'!$B$4:$B$200,"@"),0)),"⚠ Not Found"))</f>
        <v/>
      </c>
      <c r="G496" s="42"/>
      <c r="H496" s="43"/>
      <c r="I496" s="43"/>
      <c r="J496" s="40"/>
    </row>
    <row r="497" customFormat="false" ht="16.5" hidden="false" customHeight="true" outlineLevel="0" collapsed="false">
      <c r="B497" s="44" t="str">
        <f aca="false">IF(C497="","",ROW()-9)</f>
        <v/>
      </c>
      <c r="C497" s="45"/>
      <c r="D497" s="46" t="str">
        <f aca="false">IF(C497="","",IFERROR(TEXT(C497,"MMMM"),""))</f>
        <v/>
      </c>
      <c r="E497" s="47"/>
      <c r="F497" s="48" t="str">
        <f aca="false">IF(E497="","",IFERROR(INDEX('Chart of Accounts'!$C$4:$C$200,MATCH(TEXT(E497,"@"),TEXT('Chart of Accounts'!$B$4:$B$200,"@"),0)),"⚠ Not Found"))</f>
        <v/>
      </c>
      <c r="G497" s="49"/>
      <c r="H497" s="50"/>
      <c r="I497" s="50"/>
      <c r="J497" s="47"/>
    </row>
    <row r="498" customFormat="false" ht="16.5" hidden="false" customHeight="true" outlineLevel="0" collapsed="false">
      <c r="B498" s="37" t="str">
        <f aca="false">IF(C498="","",ROW()-9)</f>
        <v/>
      </c>
      <c r="C498" s="38"/>
      <c r="D498" s="39" t="str">
        <f aca="false">IF(C498="","",IFERROR(TEXT(C498,"MMMM"),""))</f>
        <v/>
      </c>
      <c r="E498" s="40"/>
      <c r="F498" s="41" t="str">
        <f aca="false">IF(E498="","",IFERROR(INDEX('Chart of Accounts'!$C$4:$C$200,MATCH(TEXT(E498,"@"),TEXT('Chart of Accounts'!$B$4:$B$200,"@"),0)),"⚠ Not Found"))</f>
        <v/>
      </c>
      <c r="G498" s="42"/>
      <c r="H498" s="43"/>
      <c r="I498" s="43"/>
      <c r="J498" s="40"/>
    </row>
    <row r="499" customFormat="false" ht="16.5" hidden="false" customHeight="true" outlineLevel="0" collapsed="false">
      <c r="B499" s="44" t="str">
        <f aca="false">IF(C499="","",ROW()-9)</f>
        <v/>
      </c>
      <c r="C499" s="45"/>
      <c r="D499" s="46" t="str">
        <f aca="false">IF(C499="","",IFERROR(TEXT(C499,"MMMM"),""))</f>
        <v/>
      </c>
      <c r="E499" s="47"/>
      <c r="F499" s="48" t="str">
        <f aca="false">IF(E499="","",IFERROR(INDEX('Chart of Accounts'!$C$4:$C$200,MATCH(TEXT(E499,"@"),TEXT('Chart of Accounts'!$B$4:$B$200,"@"),0)),"⚠ Not Found"))</f>
        <v/>
      </c>
      <c r="G499" s="49"/>
      <c r="H499" s="50"/>
      <c r="I499" s="50"/>
      <c r="J499" s="47"/>
    </row>
    <row r="500" customFormat="false" ht="16.5" hidden="false" customHeight="true" outlineLevel="0" collapsed="false">
      <c r="B500" s="37" t="str">
        <f aca="false">IF(C500="","",ROW()-9)</f>
        <v/>
      </c>
      <c r="C500" s="38"/>
      <c r="D500" s="39" t="str">
        <f aca="false">IF(C500="","",IFERROR(TEXT(C500,"MMMM"),""))</f>
        <v/>
      </c>
      <c r="E500" s="40"/>
      <c r="F500" s="41" t="str">
        <f aca="false">IF(E500="","",IFERROR(INDEX('Chart of Accounts'!$C$4:$C$200,MATCH(TEXT(E500,"@"),TEXT('Chart of Accounts'!$B$4:$B$200,"@"),0)),"⚠ Not Found"))</f>
        <v/>
      </c>
      <c r="G500" s="42"/>
      <c r="H500" s="43"/>
      <c r="I500" s="43"/>
      <c r="J500" s="40"/>
    </row>
    <row r="501" customFormat="false" ht="16.5" hidden="false" customHeight="true" outlineLevel="0" collapsed="false">
      <c r="B501" s="44" t="str">
        <f aca="false">IF(C501="","",ROW()-9)</f>
        <v/>
      </c>
      <c r="C501" s="45"/>
      <c r="D501" s="46" t="str">
        <f aca="false">IF(C501="","",IFERROR(TEXT(C501,"MMMM"),""))</f>
        <v/>
      </c>
      <c r="E501" s="47"/>
      <c r="F501" s="48" t="str">
        <f aca="false">IF(E501="","",IFERROR(INDEX('Chart of Accounts'!$C$4:$C$200,MATCH(TEXT(E501,"@"),TEXT('Chart of Accounts'!$B$4:$B$200,"@"),0)),"⚠ Not Found"))</f>
        <v/>
      </c>
      <c r="G501" s="49"/>
      <c r="H501" s="50"/>
      <c r="I501" s="50"/>
      <c r="J501" s="47"/>
    </row>
    <row r="502" customFormat="false" ht="16.5" hidden="false" customHeight="true" outlineLevel="0" collapsed="false">
      <c r="B502" s="37" t="str">
        <f aca="false">IF(C502="","",ROW()-9)</f>
        <v/>
      </c>
      <c r="C502" s="38"/>
      <c r="D502" s="39" t="str">
        <f aca="false">IF(C502="","",IFERROR(TEXT(C502,"MMMM"),""))</f>
        <v/>
      </c>
      <c r="E502" s="40"/>
      <c r="F502" s="41" t="str">
        <f aca="false">IF(E502="","",IFERROR(INDEX('Chart of Accounts'!$C$4:$C$200,MATCH(TEXT(E502,"@"),TEXT('Chart of Accounts'!$B$4:$B$200,"@"),0)),"⚠ Not Found"))</f>
        <v/>
      </c>
      <c r="G502" s="42"/>
      <c r="H502" s="43"/>
      <c r="I502" s="43"/>
      <c r="J502" s="40"/>
    </row>
    <row r="503" customFormat="false" ht="16.5" hidden="false" customHeight="true" outlineLevel="0" collapsed="false">
      <c r="B503" s="44" t="str">
        <f aca="false">IF(C503="","",ROW()-9)</f>
        <v/>
      </c>
      <c r="C503" s="45"/>
      <c r="D503" s="46" t="str">
        <f aca="false">IF(C503="","",IFERROR(TEXT(C503,"MMMM"),""))</f>
        <v/>
      </c>
      <c r="E503" s="47"/>
      <c r="F503" s="48" t="str">
        <f aca="false">IF(E503="","",IFERROR(INDEX('Chart of Accounts'!$C$4:$C$200,MATCH(TEXT(E503,"@"),TEXT('Chart of Accounts'!$B$4:$B$200,"@"),0)),"⚠ Not Found"))</f>
        <v/>
      </c>
      <c r="G503" s="49"/>
      <c r="H503" s="50"/>
      <c r="I503" s="50"/>
      <c r="J503" s="47"/>
    </row>
    <row r="504" customFormat="false" ht="16.5" hidden="false" customHeight="true" outlineLevel="0" collapsed="false">
      <c r="B504" s="37" t="str">
        <f aca="false">IF(C504="","",ROW()-9)</f>
        <v/>
      </c>
      <c r="C504" s="38"/>
      <c r="D504" s="39" t="str">
        <f aca="false">IF(C504="","",IFERROR(TEXT(C504,"MMMM"),""))</f>
        <v/>
      </c>
      <c r="E504" s="40"/>
      <c r="F504" s="41" t="str">
        <f aca="false">IF(E504="","",IFERROR(INDEX('Chart of Accounts'!$C$4:$C$200,MATCH(TEXT(E504,"@"),TEXT('Chart of Accounts'!$B$4:$B$200,"@"),0)),"⚠ Not Found"))</f>
        <v/>
      </c>
      <c r="G504" s="42"/>
      <c r="H504" s="43"/>
      <c r="I504" s="43"/>
      <c r="J504" s="40"/>
    </row>
    <row r="505" customFormat="false" ht="16.5" hidden="false" customHeight="true" outlineLevel="0" collapsed="false">
      <c r="B505" s="44" t="str">
        <f aca="false">IF(C505="","",ROW()-9)</f>
        <v/>
      </c>
      <c r="C505" s="45"/>
      <c r="D505" s="46" t="str">
        <f aca="false">IF(C505="","",IFERROR(TEXT(C505,"MMMM"),""))</f>
        <v/>
      </c>
      <c r="E505" s="47"/>
      <c r="F505" s="48" t="str">
        <f aca="false">IF(E505="","",IFERROR(INDEX('Chart of Accounts'!$C$4:$C$200,MATCH(TEXT(E505,"@"),TEXT('Chart of Accounts'!$B$4:$B$200,"@"),0)),"⚠ Not Found"))</f>
        <v/>
      </c>
      <c r="G505" s="49"/>
      <c r="H505" s="50"/>
      <c r="I505" s="50"/>
      <c r="J505" s="47"/>
    </row>
    <row r="506" customFormat="false" ht="16.5" hidden="false" customHeight="true" outlineLevel="0" collapsed="false">
      <c r="B506" s="37" t="str">
        <f aca="false">IF(C506="","",ROW()-9)</f>
        <v/>
      </c>
      <c r="C506" s="38"/>
      <c r="D506" s="39" t="str">
        <f aca="false">IF(C506="","",IFERROR(TEXT(C506,"MMMM"),""))</f>
        <v/>
      </c>
      <c r="E506" s="40"/>
      <c r="F506" s="41" t="str">
        <f aca="false">IF(E506="","",IFERROR(INDEX('Chart of Accounts'!$C$4:$C$200,MATCH(TEXT(E506,"@"),TEXT('Chart of Accounts'!$B$4:$B$200,"@"),0)),"⚠ Not Found"))</f>
        <v/>
      </c>
      <c r="G506" s="42"/>
      <c r="H506" s="43"/>
      <c r="I506" s="43"/>
      <c r="J506" s="40"/>
    </row>
    <row r="507" customFormat="false" ht="16.5" hidden="false" customHeight="true" outlineLevel="0" collapsed="false">
      <c r="B507" s="44" t="str">
        <f aca="false">IF(C507="","",ROW()-9)</f>
        <v/>
      </c>
      <c r="C507" s="45"/>
      <c r="D507" s="46" t="str">
        <f aca="false">IF(C507="","",IFERROR(TEXT(C507,"MMMM"),""))</f>
        <v/>
      </c>
      <c r="E507" s="47"/>
      <c r="F507" s="48" t="str">
        <f aca="false">IF(E507="","",IFERROR(INDEX('Chart of Accounts'!$C$4:$C$200,MATCH(TEXT(E507,"@"),TEXT('Chart of Accounts'!$B$4:$B$200,"@"),0)),"⚠ Not Found"))</f>
        <v/>
      </c>
      <c r="G507" s="49"/>
      <c r="H507" s="50"/>
      <c r="I507" s="50"/>
      <c r="J507" s="47"/>
    </row>
    <row r="508" customFormat="false" ht="16.5" hidden="false" customHeight="true" outlineLevel="0" collapsed="false">
      <c r="B508" s="37" t="str">
        <f aca="false">IF(C508="","",ROW()-9)</f>
        <v/>
      </c>
      <c r="C508" s="38"/>
      <c r="D508" s="39" t="str">
        <f aca="false">IF(C508="","",IFERROR(TEXT(C508,"MMMM"),""))</f>
        <v/>
      </c>
      <c r="E508" s="40"/>
      <c r="F508" s="41" t="str">
        <f aca="false">IF(E508="","",IFERROR(INDEX('Chart of Accounts'!$C$4:$C$200,MATCH(TEXT(E508,"@"),TEXT('Chart of Accounts'!$B$4:$B$200,"@"),0)),"⚠ Not Found"))</f>
        <v/>
      </c>
      <c r="G508" s="42"/>
      <c r="H508" s="43"/>
      <c r="I508" s="43"/>
      <c r="J508" s="40"/>
    </row>
    <row r="509" customFormat="false" ht="16.5" hidden="false" customHeight="true" outlineLevel="0" collapsed="false">
      <c r="B509" s="44" t="str">
        <f aca="false">IF(C509="","",ROW()-9)</f>
        <v/>
      </c>
      <c r="C509" s="45"/>
      <c r="D509" s="46" t="str">
        <f aca="false">IF(C509="","",IFERROR(TEXT(C509,"MMMM"),""))</f>
        <v/>
      </c>
      <c r="E509" s="47"/>
      <c r="F509" s="48" t="str">
        <f aca="false">IF(E509="","",IFERROR(INDEX('Chart of Accounts'!$C$4:$C$200,MATCH(TEXT(E509,"@"),TEXT('Chart of Accounts'!$B$4:$B$200,"@"),0)),"⚠ Not Found"))</f>
        <v/>
      </c>
      <c r="G509" s="49"/>
      <c r="H509" s="50"/>
      <c r="I509" s="50"/>
      <c r="J509" s="47"/>
    </row>
    <row r="510" customFormat="false" ht="16.5" hidden="false" customHeight="true" outlineLevel="0" collapsed="false">
      <c r="B510" s="37" t="str">
        <f aca="false">IF(C510="","",ROW()-9)</f>
        <v/>
      </c>
      <c r="C510" s="38"/>
      <c r="D510" s="39" t="str">
        <f aca="false">IF(C510="","",IFERROR(TEXT(C510,"MMMM"),""))</f>
        <v/>
      </c>
      <c r="E510" s="40"/>
      <c r="F510" s="41" t="str">
        <f aca="false">IF(E510="","",IFERROR(INDEX('Chart of Accounts'!$C$4:$C$200,MATCH(TEXT(E510,"@"),TEXT('Chart of Accounts'!$B$4:$B$200,"@"),0)),"⚠ Not Found"))</f>
        <v/>
      </c>
      <c r="G510" s="42"/>
      <c r="H510" s="43"/>
      <c r="I510" s="43"/>
      <c r="J510" s="40"/>
    </row>
    <row r="511" customFormat="false" ht="16.5" hidden="false" customHeight="true" outlineLevel="0" collapsed="false">
      <c r="B511" s="44" t="str">
        <f aca="false">IF(C511="","",ROW()-9)</f>
        <v/>
      </c>
      <c r="C511" s="45"/>
      <c r="D511" s="46" t="str">
        <f aca="false">IF(C511="","",IFERROR(TEXT(C511,"MMMM"),""))</f>
        <v/>
      </c>
      <c r="E511" s="47"/>
      <c r="F511" s="48" t="str">
        <f aca="false">IF(E511="","",IFERROR(INDEX('Chart of Accounts'!$C$4:$C$200,MATCH(TEXT(E511,"@"),TEXT('Chart of Accounts'!$B$4:$B$200,"@"),0)),"⚠ Not Found"))</f>
        <v/>
      </c>
      <c r="G511" s="49"/>
      <c r="H511" s="50"/>
      <c r="I511" s="50"/>
      <c r="J511" s="47"/>
    </row>
    <row r="512" customFormat="false" ht="16.5" hidden="false" customHeight="true" outlineLevel="0" collapsed="false">
      <c r="B512" s="37" t="str">
        <f aca="false">IF(C512="","",ROW()-9)</f>
        <v/>
      </c>
      <c r="C512" s="38"/>
      <c r="D512" s="39" t="str">
        <f aca="false">IF(C512="","",IFERROR(TEXT(C512,"MMMM"),""))</f>
        <v/>
      </c>
      <c r="E512" s="40"/>
      <c r="F512" s="41" t="str">
        <f aca="false">IF(E512="","",IFERROR(INDEX('Chart of Accounts'!$C$4:$C$200,MATCH(TEXT(E512,"@"),TEXT('Chart of Accounts'!$B$4:$B$200,"@"),0)),"⚠ Not Found"))</f>
        <v/>
      </c>
      <c r="G512" s="42"/>
      <c r="H512" s="43"/>
      <c r="I512" s="43"/>
      <c r="J512" s="40"/>
    </row>
    <row r="513" customFormat="false" ht="16.5" hidden="false" customHeight="true" outlineLevel="0" collapsed="false">
      <c r="B513" s="44" t="str">
        <f aca="false">IF(C513="","",ROW()-9)</f>
        <v/>
      </c>
      <c r="C513" s="45"/>
      <c r="D513" s="46" t="str">
        <f aca="false">IF(C513="","",IFERROR(TEXT(C513,"MMMM"),""))</f>
        <v/>
      </c>
      <c r="E513" s="47"/>
      <c r="F513" s="48" t="str">
        <f aca="false">IF(E513="","",IFERROR(INDEX('Chart of Accounts'!$C$4:$C$200,MATCH(TEXT(E513,"@"),TEXT('Chart of Accounts'!$B$4:$B$200,"@"),0)),"⚠ Not Found"))</f>
        <v/>
      </c>
      <c r="G513" s="49"/>
      <c r="H513" s="50"/>
      <c r="I513" s="50"/>
      <c r="J513" s="47"/>
    </row>
    <row r="514" customFormat="false" ht="16.5" hidden="false" customHeight="true" outlineLevel="0" collapsed="false">
      <c r="B514" s="37" t="str">
        <f aca="false">IF(C514="","",ROW()-9)</f>
        <v/>
      </c>
      <c r="C514" s="38"/>
      <c r="D514" s="39" t="str">
        <f aca="false">IF(C514="","",IFERROR(TEXT(C514,"MMMM"),""))</f>
        <v/>
      </c>
      <c r="E514" s="40"/>
      <c r="F514" s="41" t="str">
        <f aca="false">IF(E514="","",IFERROR(INDEX('Chart of Accounts'!$C$4:$C$200,MATCH(TEXT(E514,"@"),TEXT('Chart of Accounts'!$B$4:$B$200,"@"),0)),"⚠ Not Found"))</f>
        <v/>
      </c>
      <c r="G514" s="42"/>
      <c r="H514" s="43"/>
      <c r="I514" s="43"/>
      <c r="J514" s="40"/>
    </row>
    <row r="515" customFormat="false" ht="16.5" hidden="false" customHeight="true" outlineLevel="0" collapsed="false">
      <c r="B515" s="44" t="str">
        <f aca="false">IF(C515="","",ROW()-9)</f>
        <v/>
      </c>
      <c r="C515" s="45"/>
      <c r="D515" s="46" t="str">
        <f aca="false">IF(C515="","",IFERROR(TEXT(C515,"MMMM"),""))</f>
        <v/>
      </c>
      <c r="E515" s="47"/>
      <c r="F515" s="48" t="str">
        <f aca="false">IF(E515="","",IFERROR(INDEX('Chart of Accounts'!$C$4:$C$200,MATCH(TEXT(E515,"@"),TEXT('Chart of Accounts'!$B$4:$B$200,"@"),0)),"⚠ Not Found"))</f>
        <v/>
      </c>
      <c r="G515" s="49"/>
      <c r="H515" s="50"/>
      <c r="I515" s="50"/>
      <c r="J515" s="47"/>
    </row>
    <row r="516" customFormat="false" ht="16.5" hidden="false" customHeight="true" outlineLevel="0" collapsed="false">
      <c r="B516" s="37" t="str">
        <f aca="false">IF(C516="","",ROW()-9)</f>
        <v/>
      </c>
      <c r="C516" s="38"/>
      <c r="D516" s="39" t="str">
        <f aca="false">IF(C516="","",IFERROR(TEXT(C516,"MMMM"),""))</f>
        <v/>
      </c>
      <c r="E516" s="40"/>
      <c r="F516" s="41" t="str">
        <f aca="false">IF(E516="","",IFERROR(INDEX('Chart of Accounts'!$C$4:$C$200,MATCH(TEXT(E516,"@"),TEXT('Chart of Accounts'!$B$4:$B$200,"@"),0)),"⚠ Not Found"))</f>
        <v/>
      </c>
      <c r="G516" s="42"/>
      <c r="H516" s="43"/>
      <c r="I516" s="43"/>
      <c r="J516" s="40"/>
    </row>
    <row r="517" customFormat="false" ht="16.5" hidden="false" customHeight="true" outlineLevel="0" collapsed="false">
      <c r="B517" s="44" t="str">
        <f aca="false">IF(C517="","",ROW()-9)</f>
        <v/>
      </c>
      <c r="C517" s="45"/>
      <c r="D517" s="46" t="str">
        <f aca="false">IF(C517="","",IFERROR(TEXT(C517,"MMMM"),""))</f>
        <v/>
      </c>
      <c r="E517" s="47"/>
      <c r="F517" s="48" t="str">
        <f aca="false">IF(E517="","",IFERROR(INDEX('Chart of Accounts'!$C$4:$C$200,MATCH(TEXT(E517,"@"),TEXT('Chart of Accounts'!$B$4:$B$200,"@"),0)),"⚠ Not Found"))</f>
        <v/>
      </c>
      <c r="G517" s="49"/>
      <c r="H517" s="50"/>
      <c r="I517" s="50"/>
      <c r="J517" s="47"/>
    </row>
    <row r="518" customFormat="false" ht="16.5" hidden="false" customHeight="true" outlineLevel="0" collapsed="false">
      <c r="B518" s="37" t="str">
        <f aca="false">IF(C518="","",ROW()-9)</f>
        <v/>
      </c>
      <c r="C518" s="38"/>
      <c r="D518" s="39" t="str">
        <f aca="false">IF(C518="","",IFERROR(TEXT(C518,"MMMM"),""))</f>
        <v/>
      </c>
      <c r="E518" s="40"/>
      <c r="F518" s="41" t="str">
        <f aca="false">IF(E518="","",IFERROR(INDEX('Chart of Accounts'!$C$4:$C$200,MATCH(TEXT(E518,"@"),TEXT('Chart of Accounts'!$B$4:$B$200,"@"),0)),"⚠ Not Found"))</f>
        <v/>
      </c>
      <c r="G518" s="42"/>
      <c r="H518" s="43"/>
      <c r="I518" s="43"/>
      <c r="J518" s="40"/>
    </row>
    <row r="519" customFormat="false" ht="16.5" hidden="false" customHeight="true" outlineLevel="0" collapsed="false">
      <c r="B519" s="44" t="str">
        <f aca="false">IF(C519="","",ROW()-9)</f>
        <v/>
      </c>
      <c r="C519" s="45"/>
      <c r="D519" s="46" t="str">
        <f aca="false">IF(C519="","",IFERROR(TEXT(C519,"MMMM"),""))</f>
        <v/>
      </c>
      <c r="E519" s="47"/>
      <c r="F519" s="48" t="str">
        <f aca="false">IF(E519="","",IFERROR(INDEX('Chart of Accounts'!$C$4:$C$200,MATCH(TEXT(E519,"@"),TEXT('Chart of Accounts'!$B$4:$B$200,"@"),0)),"⚠ Not Found"))</f>
        <v/>
      </c>
      <c r="G519" s="49"/>
      <c r="H519" s="50"/>
      <c r="I519" s="50"/>
      <c r="J519" s="47"/>
    </row>
    <row r="520" customFormat="false" ht="16.5" hidden="false" customHeight="true" outlineLevel="0" collapsed="false">
      <c r="B520" s="37" t="str">
        <f aca="false">IF(C520="","",ROW()-9)</f>
        <v/>
      </c>
      <c r="C520" s="38"/>
      <c r="D520" s="39" t="str">
        <f aca="false">IF(C520="","",IFERROR(TEXT(C520,"MMMM"),""))</f>
        <v/>
      </c>
      <c r="E520" s="40"/>
      <c r="F520" s="41" t="str">
        <f aca="false">IF(E520="","",IFERROR(INDEX('Chart of Accounts'!$C$4:$C$200,MATCH(TEXT(E520,"@"),TEXT('Chart of Accounts'!$B$4:$B$200,"@"),0)),"⚠ Not Found"))</f>
        <v/>
      </c>
      <c r="G520" s="42"/>
      <c r="H520" s="43"/>
      <c r="I520" s="43"/>
      <c r="J520" s="40"/>
    </row>
    <row r="521" customFormat="false" ht="16.5" hidden="false" customHeight="true" outlineLevel="0" collapsed="false">
      <c r="B521" s="44" t="str">
        <f aca="false">IF(C521="","",ROW()-9)</f>
        <v/>
      </c>
      <c r="C521" s="45"/>
      <c r="D521" s="46" t="str">
        <f aca="false">IF(C521="","",IFERROR(TEXT(C521,"MMMM"),""))</f>
        <v/>
      </c>
      <c r="E521" s="47"/>
      <c r="F521" s="48" t="str">
        <f aca="false">IF(E521="","",IFERROR(INDEX('Chart of Accounts'!$C$4:$C$200,MATCH(TEXT(E521,"@"),TEXT('Chart of Accounts'!$B$4:$B$200,"@"),0)),"⚠ Not Found"))</f>
        <v/>
      </c>
      <c r="G521" s="49"/>
      <c r="H521" s="50"/>
      <c r="I521" s="50"/>
      <c r="J521" s="47"/>
    </row>
    <row r="522" customFormat="false" ht="16.5" hidden="false" customHeight="true" outlineLevel="0" collapsed="false">
      <c r="B522" s="37" t="str">
        <f aca="false">IF(C522="","",ROW()-9)</f>
        <v/>
      </c>
      <c r="C522" s="38"/>
      <c r="D522" s="39" t="str">
        <f aca="false">IF(C522="","",IFERROR(TEXT(C522,"MMMM"),""))</f>
        <v/>
      </c>
      <c r="E522" s="40"/>
      <c r="F522" s="41" t="str">
        <f aca="false">IF(E522="","",IFERROR(INDEX('Chart of Accounts'!$C$4:$C$200,MATCH(TEXT(E522,"@"),TEXT('Chart of Accounts'!$B$4:$B$200,"@"),0)),"⚠ Not Found"))</f>
        <v/>
      </c>
      <c r="G522" s="42"/>
      <c r="H522" s="43"/>
      <c r="I522" s="43"/>
      <c r="J522" s="40"/>
    </row>
    <row r="523" customFormat="false" ht="16.5" hidden="false" customHeight="true" outlineLevel="0" collapsed="false">
      <c r="B523" s="44" t="str">
        <f aca="false">IF(C523="","",ROW()-9)</f>
        <v/>
      </c>
      <c r="C523" s="45"/>
      <c r="D523" s="46" t="str">
        <f aca="false">IF(C523="","",IFERROR(TEXT(C523,"MMMM"),""))</f>
        <v/>
      </c>
      <c r="E523" s="47"/>
      <c r="F523" s="48" t="str">
        <f aca="false">IF(E523="","",IFERROR(INDEX('Chart of Accounts'!$C$4:$C$200,MATCH(TEXT(E523,"@"),TEXT('Chart of Accounts'!$B$4:$B$200,"@"),0)),"⚠ Not Found"))</f>
        <v/>
      </c>
      <c r="G523" s="49"/>
      <c r="H523" s="50"/>
      <c r="I523" s="50"/>
      <c r="J523" s="47"/>
    </row>
    <row r="524" customFormat="false" ht="16.5" hidden="false" customHeight="true" outlineLevel="0" collapsed="false">
      <c r="B524" s="37" t="str">
        <f aca="false">IF(C524="","",ROW()-9)</f>
        <v/>
      </c>
      <c r="C524" s="38"/>
      <c r="D524" s="39" t="str">
        <f aca="false">IF(C524="","",IFERROR(TEXT(C524,"MMMM"),""))</f>
        <v/>
      </c>
      <c r="E524" s="40"/>
      <c r="F524" s="41" t="str">
        <f aca="false">IF(E524="","",IFERROR(INDEX('Chart of Accounts'!$C$4:$C$200,MATCH(TEXT(E524,"@"),TEXT('Chart of Accounts'!$B$4:$B$200,"@"),0)),"⚠ Not Found"))</f>
        <v/>
      </c>
      <c r="G524" s="42"/>
      <c r="H524" s="43"/>
      <c r="I524" s="43"/>
      <c r="J524" s="40"/>
    </row>
    <row r="525" customFormat="false" ht="16.5" hidden="false" customHeight="true" outlineLevel="0" collapsed="false">
      <c r="B525" s="44" t="str">
        <f aca="false">IF(C525="","",ROW()-9)</f>
        <v/>
      </c>
      <c r="C525" s="45"/>
      <c r="D525" s="46" t="str">
        <f aca="false">IF(C525="","",IFERROR(TEXT(C525,"MMMM"),""))</f>
        <v/>
      </c>
      <c r="E525" s="47"/>
      <c r="F525" s="48" t="str">
        <f aca="false">IF(E525="","",IFERROR(INDEX('Chart of Accounts'!$C$4:$C$200,MATCH(TEXT(E525,"@"),TEXT('Chart of Accounts'!$B$4:$B$200,"@"),0)),"⚠ Not Found"))</f>
        <v/>
      </c>
      <c r="G525" s="49"/>
      <c r="H525" s="50"/>
      <c r="I525" s="50"/>
      <c r="J525" s="47"/>
    </row>
    <row r="526" customFormat="false" ht="16.5" hidden="false" customHeight="true" outlineLevel="0" collapsed="false">
      <c r="B526" s="37" t="str">
        <f aca="false">IF(C526="","",ROW()-9)</f>
        <v/>
      </c>
      <c r="C526" s="38"/>
      <c r="D526" s="39" t="str">
        <f aca="false">IF(C526="","",IFERROR(TEXT(C526,"MMMM"),""))</f>
        <v/>
      </c>
      <c r="E526" s="40"/>
      <c r="F526" s="41" t="str">
        <f aca="false">IF(E526="","",IFERROR(INDEX('Chart of Accounts'!$C$4:$C$200,MATCH(TEXT(E526,"@"),TEXT('Chart of Accounts'!$B$4:$B$200,"@"),0)),"⚠ Not Found"))</f>
        <v/>
      </c>
      <c r="G526" s="42"/>
      <c r="H526" s="43"/>
      <c r="I526" s="43"/>
      <c r="J526" s="40"/>
    </row>
    <row r="527" customFormat="false" ht="16.5" hidden="false" customHeight="true" outlineLevel="0" collapsed="false">
      <c r="B527" s="44" t="str">
        <f aca="false">IF(C527="","",ROW()-9)</f>
        <v/>
      </c>
      <c r="C527" s="45"/>
      <c r="D527" s="46" t="str">
        <f aca="false">IF(C527="","",IFERROR(TEXT(C527,"MMMM"),""))</f>
        <v/>
      </c>
      <c r="E527" s="47"/>
      <c r="F527" s="48" t="str">
        <f aca="false">IF(E527="","",IFERROR(INDEX('Chart of Accounts'!$C$4:$C$200,MATCH(TEXT(E527,"@"),TEXT('Chart of Accounts'!$B$4:$B$200,"@"),0)),"⚠ Not Found"))</f>
        <v/>
      </c>
      <c r="G527" s="49"/>
      <c r="H527" s="50"/>
      <c r="I527" s="50"/>
      <c r="J527" s="47"/>
    </row>
    <row r="528" customFormat="false" ht="16.5" hidden="false" customHeight="true" outlineLevel="0" collapsed="false">
      <c r="B528" s="37" t="str">
        <f aca="false">IF(C528="","",ROW()-9)</f>
        <v/>
      </c>
      <c r="C528" s="38"/>
      <c r="D528" s="39" t="str">
        <f aca="false">IF(C528="","",IFERROR(TEXT(C528,"MMMM"),""))</f>
        <v/>
      </c>
      <c r="E528" s="40"/>
      <c r="F528" s="41" t="str">
        <f aca="false">IF(E528="","",IFERROR(INDEX('Chart of Accounts'!$C$4:$C$200,MATCH(TEXT(E528,"@"),TEXT('Chart of Accounts'!$B$4:$B$200,"@"),0)),"⚠ Not Found"))</f>
        <v/>
      </c>
      <c r="G528" s="42"/>
      <c r="H528" s="43"/>
      <c r="I528" s="43"/>
      <c r="J528" s="40"/>
    </row>
    <row r="529" customFormat="false" ht="16.5" hidden="false" customHeight="true" outlineLevel="0" collapsed="false">
      <c r="B529" s="44" t="str">
        <f aca="false">IF(C529="","",ROW()-9)</f>
        <v/>
      </c>
      <c r="C529" s="45"/>
      <c r="D529" s="46" t="str">
        <f aca="false">IF(C529="","",IFERROR(TEXT(C529,"MMMM"),""))</f>
        <v/>
      </c>
      <c r="E529" s="47"/>
      <c r="F529" s="48" t="str">
        <f aca="false">IF(E529="","",IFERROR(INDEX('Chart of Accounts'!$C$4:$C$200,MATCH(TEXT(E529,"@"),TEXT('Chart of Accounts'!$B$4:$B$200,"@"),0)),"⚠ Not Found"))</f>
        <v/>
      </c>
      <c r="G529" s="49"/>
      <c r="H529" s="50"/>
      <c r="I529" s="50"/>
      <c r="J529" s="47"/>
    </row>
    <row r="530" customFormat="false" ht="16.5" hidden="false" customHeight="true" outlineLevel="0" collapsed="false">
      <c r="B530" s="37" t="str">
        <f aca="false">IF(C530="","",ROW()-9)</f>
        <v/>
      </c>
      <c r="C530" s="38"/>
      <c r="D530" s="39" t="str">
        <f aca="false">IF(C530="","",IFERROR(TEXT(C530,"MMMM"),""))</f>
        <v/>
      </c>
      <c r="E530" s="40"/>
      <c r="F530" s="41" t="str">
        <f aca="false">IF(E530="","",IFERROR(INDEX('Chart of Accounts'!$C$4:$C$200,MATCH(TEXT(E530,"@"),TEXT('Chart of Accounts'!$B$4:$B$200,"@"),0)),"⚠ Not Found"))</f>
        <v/>
      </c>
      <c r="G530" s="42"/>
      <c r="H530" s="43"/>
      <c r="I530" s="43"/>
      <c r="J530" s="40"/>
    </row>
    <row r="531" customFormat="false" ht="16.5" hidden="false" customHeight="true" outlineLevel="0" collapsed="false">
      <c r="B531" s="44" t="str">
        <f aca="false">IF(C531="","",ROW()-9)</f>
        <v/>
      </c>
      <c r="C531" s="45"/>
      <c r="D531" s="46" t="str">
        <f aca="false">IF(C531="","",IFERROR(TEXT(C531,"MMMM"),""))</f>
        <v/>
      </c>
      <c r="E531" s="47"/>
      <c r="F531" s="48" t="str">
        <f aca="false">IF(E531="","",IFERROR(INDEX('Chart of Accounts'!$C$4:$C$200,MATCH(TEXT(E531,"@"),TEXT('Chart of Accounts'!$B$4:$B$200,"@"),0)),"⚠ Not Found"))</f>
        <v/>
      </c>
      <c r="G531" s="49"/>
      <c r="H531" s="50"/>
      <c r="I531" s="50"/>
      <c r="J531" s="47"/>
    </row>
    <row r="532" customFormat="false" ht="16.5" hidden="false" customHeight="true" outlineLevel="0" collapsed="false">
      <c r="B532" s="37" t="str">
        <f aca="false">IF(C532="","",ROW()-9)</f>
        <v/>
      </c>
      <c r="C532" s="38"/>
      <c r="D532" s="39" t="str">
        <f aca="false">IF(C532="","",IFERROR(TEXT(C532,"MMMM"),""))</f>
        <v/>
      </c>
      <c r="E532" s="40"/>
      <c r="F532" s="41" t="str">
        <f aca="false">IF(E532="","",IFERROR(INDEX('Chart of Accounts'!$C$4:$C$200,MATCH(TEXT(E532,"@"),TEXT('Chart of Accounts'!$B$4:$B$200,"@"),0)),"⚠ Not Found"))</f>
        <v/>
      </c>
      <c r="G532" s="42"/>
      <c r="H532" s="43"/>
      <c r="I532" s="43"/>
      <c r="J532" s="40"/>
    </row>
    <row r="533" customFormat="false" ht="16.5" hidden="false" customHeight="true" outlineLevel="0" collapsed="false">
      <c r="B533" s="44" t="str">
        <f aca="false">IF(C533="","",ROW()-9)</f>
        <v/>
      </c>
      <c r="C533" s="45"/>
      <c r="D533" s="46" t="str">
        <f aca="false">IF(C533="","",IFERROR(TEXT(C533,"MMMM"),""))</f>
        <v/>
      </c>
      <c r="E533" s="47"/>
      <c r="F533" s="48" t="str">
        <f aca="false">IF(E533="","",IFERROR(INDEX('Chart of Accounts'!$C$4:$C$200,MATCH(TEXT(E533,"@"),TEXT('Chart of Accounts'!$B$4:$B$200,"@"),0)),"⚠ Not Found"))</f>
        <v/>
      </c>
      <c r="G533" s="49"/>
      <c r="H533" s="50"/>
      <c r="I533" s="50"/>
      <c r="J533" s="47"/>
    </row>
    <row r="534" customFormat="false" ht="16.5" hidden="false" customHeight="true" outlineLevel="0" collapsed="false">
      <c r="B534" s="37" t="str">
        <f aca="false">IF(C534="","",ROW()-9)</f>
        <v/>
      </c>
      <c r="C534" s="38"/>
      <c r="D534" s="39" t="str">
        <f aca="false">IF(C534="","",IFERROR(TEXT(C534,"MMMM"),""))</f>
        <v/>
      </c>
      <c r="E534" s="40"/>
      <c r="F534" s="41" t="str">
        <f aca="false">IF(E534="","",IFERROR(INDEX('Chart of Accounts'!$C$4:$C$200,MATCH(TEXT(E534,"@"),TEXT('Chart of Accounts'!$B$4:$B$200,"@"),0)),"⚠ Not Found"))</f>
        <v/>
      </c>
      <c r="G534" s="42"/>
      <c r="H534" s="43"/>
      <c r="I534" s="43"/>
      <c r="J534" s="40"/>
    </row>
    <row r="535" customFormat="false" ht="16.5" hidden="false" customHeight="true" outlineLevel="0" collapsed="false">
      <c r="B535" s="44" t="str">
        <f aca="false">IF(C535="","",ROW()-9)</f>
        <v/>
      </c>
      <c r="C535" s="45"/>
      <c r="D535" s="46" t="str">
        <f aca="false">IF(C535="","",IFERROR(TEXT(C535,"MMMM"),""))</f>
        <v/>
      </c>
      <c r="E535" s="47"/>
      <c r="F535" s="48" t="str">
        <f aca="false">IF(E535="","",IFERROR(INDEX('Chart of Accounts'!$C$4:$C$200,MATCH(TEXT(E535,"@"),TEXT('Chart of Accounts'!$B$4:$B$200,"@"),0)),"⚠ Not Found"))</f>
        <v/>
      </c>
      <c r="G535" s="49"/>
      <c r="H535" s="50"/>
      <c r="I535" s="50"/>
      <c r="J535" s="47"/>
    </row>
    <row r="536" customFormat="false" ht="16.5" hidden="false" customHeight="true" outlineLevel="0" collapsed="false">
      <c r="B536" s="37" t="str">
        <f aca="false">IF(C536="","",ROW()-9)</f>
        <v/>
      </c>
      <c r="C536" s="38"/>
      <c r="D536" s="39" t="str">
        <f aca="false">IF(C536="","",IFERROR(TEXT(C536,"MMMM"),""))</f>
        <v/>
      </c>
      <c r="E536" s="40"/>
      <c r="F536" s="41" t="str">
        <f aca="false">IF(E536="","",IFERROR(INDEX('Chart of Accounts'!$C$4:$C$200,MATCH(TEXT(E536,"@"),TEXT('Chart of Accounts'!$B$4:$B$200,"@"),0)),"⚠ Not Found"))</f>
        <v/>
      </c>
      <c r="G536" s="42"/>
      <c r="H536" s="43"/>
      <c r="I536" s="43"/>
      <c r="J536" s="40"/>
    </row>
    <row r="537" customFormat="false" ht="16.5" hidden="false" customHeight="true" outlineLevel="0" collapsed="false">
      <c r="B537" s="44" t="str">
        <f aca="false">IF(C537="","",ROW()-9)</f>
        <v/>
      </c>
      <c r="C537" s="45"/>
      <c r="D537" s="46" t="str">
        <f aca="false">IF(C537="","",IFERROR(TEXT(C537,"MMMM"),""))</f>
        <v/>
      </c>
      <c r="E537" s="47"/>
      <c r="F537" s="48" t="str">
        <f aca="false">IF(E537="","",IFERROR(INDEX('Chart of Accounts'!$C$4:$C$200,MATCH(TEXT(E537,"@"),TEXT('Chart of Accounts'!$B$4:$B$200,"@"),0)),"⚠ Not Found"))</f>
        <v/>
      </c>
      <c r="G537" s="49"/>
      <c r="H537" s="50"/>
      <c r="I537" s="50"/>
      <c r="J537" s="47"/>
    </row>
    <row r="538" customFormat="false" ht="16.5" hidden="false" customHeight="true" outlineLevel="0" collapsed="false">
      <c r="B538" s="37" t="str">
        <f aca="false">IF(C538="","",ROW()-9)</f>
        <v/>
      </c>
      <c r="C538" s="38"/>
      <c r="D538" s="39" t="str">
        <f aca="false">IF(C538="","",IFERROR(TEXT(C538,"MMMM"),""))</f>
        <v/>
      </c>
      <c r="E538" s="40"/>
      <c r="F538" s="41" t="str">
        <f aca="false">IF(E538="","",IFERROR(INDEX('Chart of Accounts'!$C$4:$C$200,MATCH(TEXT(E538,"@"),TEXT('Chart of Accounts'!$B$4:$B$200,"@"),0)),"⚠ Not Found"))</f>
        <v/>
      </c>
      <c r="G538" s="42"/>
      <c r="H538" s="43"/>
      <c r="I538" s="43"/>
      <c r="J538" s="40"/>
    </row>
    <row r="539" customFormat="false" ht="16.5" hidden="false" customHeight="true" outlineLevel="0" collapsed="false">
      <c r="B539" s="44" t="str">
        <f aca="false">IF(C539="","",ROW()-9)</f>
        <v/>
      </c>
      <c r="C539" s="45"/>
      <c r="D539" s="46" t="str">
        <f aca="false">IF(C539="","",IFERROR(TEXT(C539,"MMMM"),""))</f>
        <v/>
      </c>
      <c r="E539" s="47"/>
      <c r="F539" s="48" t="str">
        <f aca="false">IF(E539="","",IFERROR(INDEX('Chart of Accounts'!$C$4:$C$200,MATCH(TEXT(E539,"@"),TEXT('Chart of Accounts'!$B$4:$B$200,"@"),0)),"⚠ Not Found"))</f>
        <v/>
      </c>
      <c r="G539" s="49"/>
      <c r="H539" s="50"/>
      <c r="I539" s="50"/>
      <c r="J539" s="47"/>
    </row>
    <row r="540" customFormat="false" ht="16.5" hidden="false" customHeight="true" outlineLevel="0" collapsed="false">
      <c r="B540" s="37" t="str">
        <f aca="false">IF(C540="","",ROW()-9)</f>
        <v/>
      </c>
      <c r="C540" s="38"/>
      <c r="D540" s="39" t="str">
        <f aca="false">IF(C540="","",IFERROR(TEXT(C540,"MMMM"),""))</f>
        <v/>
      </c>
      <c r="E540" s="40"/>
      <c r="F540" s="41" t="str">
        <f aca="false">IF(E540="","",IFERROR(INDEX('Chart of Accounts'!$C$4:$C$200,MATCH(TEXT(E540,"@"),TEXT('Chart of Accounts'!$B$4:$B$200,"@"),0)),"⚠ Not Found"))</f>
        <v/>
      </c>
      <c r="G540" s="42"/>
      <c r="H540" s="43"/>
      <c r="I540" s="43"/>
      <c r="J540" s="40"/>
    </row>
    <row r="541" customFormat="false" ht="16.5" hidden="false" customHeight="true" outlineLevel="0" collapsed="false">
      <c r="B541" s="44" t="str">
        <f aca="false">IF(C541="","",ROW()-9)</f>
        <v/>
      </c>
      <c r="C541" s="45"/>
      <c r="D541" s="46" t="str">
        <f aca="false">IF(C541="","",IFERROR(TEXT(C541,"MMMM"),""))</f>
        <v/>
      </c>
      <c r="E541" s="47"/>
      <c r="F541" s="48" t="str">
        <f aca="false">IF(E541="","",IFERROR(INDEX('Chart of Accounts'!$C$4:$C$200,MATCH(TEXT(E541,"@"),TEXT('Chart of Accounts'!$B$4:$B$200,"@"),0)),"⚠ Not Found"))</f>
        <v/>
      </c>
      <c r="G541" s="49"/>
      <c r="H541" s="50"/>
      <c r="I541" s="50"/>
      <c r="J541" s="47"/>
    </row>
    <row r="542" customFormat="false" ht="16.5" hidden="false" customHeight="true" outlineLevel="0" collapsed="false">
      <c r="B542" s="37" t="str">
        <f aca="false">IF(C542="","",ROW()-9)</f>
        <v/>
      </c>
      <c r="C542" s="38"/>
      <c r="D542" s="39" t="str">
        <f aca="false">IF(C542="","",IFERROR(TEXT(C542,"MMMM"),""))</f>
        <v/>
      </c>
      <c r="E542" s="40"/>
      <c r="F542" s="41" t="str">
        <f aca="false">IF(E542="","",IFERROR(INDEX('Chart of Accounts'!$C$4:$C$200,MATCH(TEXT(E542,"@"),TEXT('Chart of Accounts'!$B$4:$B$200,"@"),0)),"⚠ Not Found"))</f>
        <v/>
      </c>
      <c r="G542" s="42"/>
      <c r="H542" s="43"/>
      <c r="I542" s="43"/>
      <c r="J542" s="40"/>
    </row>
    <row r="543" customFormat="false" ht="16.5" hidden="false" customHeight="true" outlineLevel="0" collapsed="false">
      <c r="B543" s="44" t="str">
        <f aca="false">IF(C543="","",ROW()-9)</f>
        <v/>
      </c>
      <c r="C543" s="45"/>
      <c r="D543" s="46" t="str">
        <f aca="false">IF(C543="","",IFERROR(TEXT(C543,"MMMM"),""))</f>
        <v/>
      </c>
      <c r="E543" s="47"/>
      <c r="F543" s="48" t="str">
        <f aca="false">IF(E543="","",IFERROR(INDEX('Chart of Accounts'!$C$4:$C$200,MATCH(TEXT(E543,"@"),TEXT('Chart of Accounts'!$B$4:$B$200,"@"),0)),"⚠ Not Found"))</f>
        <v/>
      </c>
      <c r="G543" s="49"/>
      <c r="H543" s="50"/>
      <c r="I543" s="50"/>
      <c r="J543" s="47"/>
    </row>
    <row r="544" customFormat="false" ht="16.5" hidden="false" customHeight="true" outlineLevel="0" collapsed="false">
      <c r="B544" s="37" t="str">
        <f aca="false">IF(C544="","",ROW()-9)</f>
        <v/>
      </c>
      <c r="C544" s="38"/>
      <c r="D544" s="39" t="str">
        <f aca="false">IF(C544="","",IFERROR(TEXT(C544,"MMMM"),""))</f>
        <v/>
      </c>
      <c r="E544" s="40"/>
      <c r="F544" s="41" t="str">
        <f aca="false">IF(E544="","",IFERROR(INDEX('Chart of Accounts'!$C$4:$C$200,MATCH(TEXT(E544,"@"),TEXT('Chart of Accounts'!$B$4:$B$200,"@"),0)),"⚠ Not Found"))</f>
        <v/>
      </c>
      <c r="G544" s="42"/>
      <c r="H544" s="43"/>
      <c r="I544" s="43"/>
      <c r="J544" s="40"/>
    </row>
    <row r="545" customFormat="false" ht="16.5" hidden="false" customHeight="true" outlineLevel="0" collapsed="false">
      <c r="B545" s="44" t="str">
        <f aca="false">IF(C545="","",ROW()-9)</f>
        <v/>
      </c>
      <c r="C545" s="45"/>
      <c r="D545" s="46" t="str">
        <f aca="false">IF(C545="","",IFERROR(TEXT(C545,"MMMM"),""))</f>
        <v/>
      </c>
      <c r="E545" s="47"/>
      <c r="F545" s="48" t="str">
        <f aca="false">IF(E545="","",IFERROR(INDEX('Chart of Accounts'!$C$4:$C$200,MATCH(TEXT(E545,"@"),TEXT('Chart of Accounts'!$B$4:$B$200,"@"),0)),"⚠ Not Found"))</f>
        <v/>
      </c>
      <c r="G545" s="49"/>
      <c r="H545" s="50"/>
      <c r="I545" s="50"/>
      <c r="J545" s="47"/>
    </row>
    <row r="546" customFormat="false" ht="16.5" hidden="false" customHeight="true" outlineLevel="0" collapsed="false">
      <c r="B546" s="37" t="str">
        <f aca="false">IF(C546="","",ROW()-9)</f>
        <v/>
      </c>
      <c r="C546" s="38"/>
      <c r="D546" s="39" t="str">
        <f aca="false">IF(C546="","",IFERROR(TEXT(C546,"MMMM"),""))</f>
        <v/>
      </c>
      <c r="E546" s="40"/>
      <c r="F546" s="41" t="str">
        <f aca="false">IF(E546="","",IFERROR(INDEX('Chart of Accounts'!$C$4:$C$200,MATCH(TEXT(E546,"@"),TEXT('Chart of Accounts'!$B$4:$B$200,"@"),0)),"⚠ Not Found"))</f>
        <v/>
      </c>
      <c r="G546" s="42"/>
      <c r="H546" s="43"/>
      <c r="I546" s="43"/>
      <c r="J546" s="40"/>
    </row>
    <row r="547" customFormat="false" ht="16.5" hidden="false" customHeight="true" outlineLevel="0" collapsed="false">
      <c r="B547" s="44" t="str">
        <f aca="false">IF(C547="","",ROW()-9)</f>
        <v/>
      </c>
      <c r="C547" s="45"/>
      <c r="D547" s="46" t="str">
        <f aca="false">IF(C547="","",IFERROR(TEXT(C547,"MMMM"),""))</f>
        <v/>
      </c>
      <c r="E547" s="47"/>
      <c r="F547" s="48" t="str">
        <f aca="false">IF(E547="","",IFERROR(INDEX('Chart of Accounts'!$C$4:$C$200,MATCH(TEXT(E547,"@"),TEXT('Chart of Accounts'!$B$4:$B$200,"@"),0)),"⚠ Not Found"))</f>
        <v/>
      </c>
      <c r="G547" s="49"/>
      <c r="H547" s="50"/>
      <c r="I547" s="50"/>
      <c r="J547" s="47"/>
    </row>
    <row r="548" customFormat="false" ht="16.5" hidden="false" customHeight="true" outlineLevel="0" collapsed="false">
      <c r="B548" s="37" t="str">
        <f aca="false">IF(C548="","",ROW()-9)</f>
        <v/>
      </c>
      <c r="C548" s="38"/>
      <c r="D548" s="39" t="str">
        <f aca="false">IF(C548="","",IFERROR(TEXT(C548,"MMMM"),""))</f>
        <v/>
      </c>
      <c r="E548" s="40"/>
      <c r="F548" s="41" t="str">
        <f aca="false">IF(E548="","",IFERROR(INDEX('Chart of Accounts'!$C$4:$C$200,MATCH(TEXT(E548,"@"),TEXT('Chart of Accounts'!$B$4:$B$200,"@"),0)),"⚠ Not Found"))</f>
        <v/>
      </c>
      <c r="G548" s="42"/>
      <c r="H548" s="43"/>
      <c r="I548" s="43"/>
      <c r="J548" s="40"/>
    </row>
    <row r="549" customFormat="false" ht="16.5" hidden="false" customHeight="true" outlineLevel="0" collapsed="false">
      <c r="B549" s="44" t="str">
        <f aca="false">IF(C549="","",ROW()-9)</f>
        <v/>
      </c>
      <c r="C549" s="45"/>
      <c r="D549" s="46" t="str">
        <f aca="false">IF(C549="","",IFERROR(TEXT(C549,"MMMM"),""))</f>
        <v/>
      </c>
      <c r="E549" s="47"/>
      <c r="F549" s="48" t="str">
        <f aca="false">IF(E549="","",IFERROR(INDEX('Chart of Accounts'!$C$4:$C$200,MATCH(TEXT(E549,"@"),TEXT('Chart of Accounts'!$B$4:$B$200,"@"),0)),"⚠ Not Found"))</f>
        <v/>
      </c>
      <c r="G549" s="49"/>
      <c r="H549" s="50"/>
      <c r="I549" s="50"/>
      <c r="J549" s="47"/>
    </row>
    <row r="550" customFormat="false" ht="16.5" hidden="false" customHeight="true" outlineLevel="0" collapsed="false">
      <c r="B550" s="37" t="str">
        <f aca="false">IF(C550="","",ROW()-9)</f>
        <v/>
      </c>
      <c r="C550" s="38"/>
      <c r="D550" s="39" t="str">
        <f aca="false">IF(C550="","",IFERROR(TEXT(C550,"MMMM"),""))</f>
        <v/>
      </c>
      <c r="E550" s="40"/>
      <c r="F550" s="41" t="str">
        <f aca="false">IF(E550="","",IFERROR(INDEX('Chart of Accounts'!$C$4:$C$200,MATCH(TEXT(E550,"@"),TEXT('Chart of Accounts'!$B$4:$B$200,"@"),0)),"⚠ Not Found"))</f>
        <v/>
      </c>
      <c r="G550" s="42"/>
      <c r="H550" s="43"/>
      <c r="I550" s="43"/>
      <c r="J550" s="40"/>
    </row>
    <row r="551" customFormat="false" ht="16.5" hidden="false" customHeight="true" outlineLevel="0" collapsed="false">
      <c r="B551" s="44" t="str">
        <f aca="false">IF(C551="","",ROW()-9)</f>
        <v/>
      </c>
      <c r="C551" s="45"/>
      <c r="D551" s="46" t="str">
        <f aca="false">IF(C551="","",IFERROR(TEXT(C551,"MMMM"),""))</f>
        <v/>
      </c>
      <c r="E551" s="47"/>
      <c r="F551" s="48" t="str">
        <f aca="false">IF(E551="","",IFERROR(INDEX('Chart of Accounts'!$C$4:$C$200,MATCH(TEXT(E551,"@"),TEXT('Chart of Accounts'!$B$4:$B$200,"@"),0)),"⚠ Not Found"))</f>
        <v/>
      </c>
      <c r="G551" s="49"/>
      <c r="H551" s="50"/>
      <c r="I551" s="50"/>
      <c r="J551" s="47"/>
    </row>
    <row r="552" customFormat="false" ht="16.5" hidden="false" customHeight="true" outlineLevel="0" collapsed="false">
      <c r="B552" s="37" t="str">
        <f aca="false">IF(C552="","",ROW()-9)</f>
        <v/>
      </c>
      <c r="C552" s="38"/>
      <c r="D552" s="39" t="str">
        <f aca="false">IF(C552="","",IFERROR(TEXT(C552,"MMMM"),""))</f>
        <v/>
      </c>
      <c r="E552" s="40"/>
      <c r="F552" s="41" t="str">
        <f aca="false">IF(E552="","",IFERROR(INDEX('Chart of Accounts'!$C$4:$C$200,MATCH(TEXT(E552,"@"),TEXT('Chart of Accounts'!$B$4:$B$200,"@"),0)),"⚠ Not Found"))</f>
        <v/>
      </c>
      <c r="G552" s="42"/>
      <c r="H552" s="43"/>
      <c r="I552" s="43"/>
      <c r="J552" s="40"/>
    </row>
    <row r="553" customFormat="false" ht="16.5" hidden="false" customHeight="true" outlineLevel="0" collapsed="false">
      <c r="B553" s="44" t="str">
        <f aca="false">IF(C553="","",ROW()-9)</f>
        <v/>
      </c>
      <c r="C553" s="45"/>
      <c r="D553" s="46" t="str">
        <f aca="false">IF(C553="","",IFERROR(TEXT(C553,"MMMM"),""))</f>
        <v/>
      </c>
      <c r="E553" s="47"/>
      <c r="F553" s="48" t="str">
        <f aca="false">IF(E553="","",IFERROR(INDEX('Chart of Accounts'!$C$4:$C$200,MATCH(TEXT(E553,"@"),TEXT('Chart of Accounts'!$B$4:$B$200,"@"),0)),"⚠ Not Found"))</f>
        <v/>
      </c>
      <c r="G553" s="49"/>
      <c r="H553" s="50"/>
      <c r="I553" s="50"/>
      <c r="J553" s="47"/>
    </row>
    <row r="554" customFormat="false" ht="16.5" hidden="false" customHeight="true" outlineLevel="0" collapsed="false">
      <c r="B554" s="37" t="str">
        <f aca="false">IF(C554="","",ROW()-9)</f>
        <v/>
      </c>
      <c r="C554" s="38"/>
      <c r="D554" s="39" t="str">
        <f aca="false">IF(C554="","",IFERROR(TEXT(C554,"MMMM"),""))</f>
        <v/>
      </c>
      <c r="E554" s="40"/>
      <c r="F554" s="41" t="str">
        <f aca="false">IF(E554="","",IFERROR(INDEX('Chart of Accounts'!$C$4:$C$200,MATCH(TEXT(E554,"@"),TEXT('Chart of Accounts'!$B$4:$B$200,"@"),0)),"⚠ Not Found"))</f>
        <v/>
      </c>
      <c r="G554" s="42"/>
      <c r="H554" s="43"/>
      <c r="I554" s="43"/>
      <c r="J554" s="40"/>
    </row>
    <row r="555" customFormat="false" ht="16.5" hidden="false" customHeight="true" outlineLevel="0" collapsed="false">
      <c r="B555" s="44" t="str">
        <f aca="false">IF(C555="","",ROW()-9)</f>
        <v/>
      </c>
      <c r="C555" s="45"/>
      <c r="D555" s="46" t="str">
        <f aca="false">IF(C555="","",IFERROR(TEXT(C555,"MMMM"),""))</f>
        <v/>
      </c>
      <c r="E555" s="47"/>
      <c r="F555" s="48" t="str">
        <f aca="false">IF(E555="","",IFERROR(INDEX('Chart of Accounts'!$C$4:$C$200,MATCH(TEXT(E555,"@"),TEXT('Chart of Accounts'!$B$4:$B$200,"@"),0)),"⚠ Not Found"))</f>
        <v/>
      </c>
      <c r="G555" s="49"/>
      <c r="H555" s="50"/>
      <c r="I555" s="50"/>
      <c r="J555" s="47"/>
    </row>
    <row r="556" customFormat="false" ht="16.5" hidden="false" customHeight="true" outlineLevel="0" collapsed="false">
      <c r="B556" s="37" t="str">
        <f aca="false">IF(C556="","",ROW()-9)</f>
        <v/>
      </c>
      <c r="C556" s="38"/>
      <c r="D556" s="39" t="str">
        <f aca="false">IF(C556="","",IFERROR(TEXT(C556,"MMMM"),""))</f>
        <v/>
      </c>
      <c r="E556" s="40"/>
      <c r="F556" s="41" t="str">
        <f aca="false">IF(E556="","",IFERROR(INDEX('Chart of Accounts'!$C$4:$C$200,MATCH(TEXT(E556,"@"),TEXT('Chart of Accounts'!$B$4:$B$200,"@"),0)),"⚠ Not Found"))</f>
        <v/>
      </c>
      <c r="G556" s="42"/>
      <c r="H556" s="43"/>
      <c r="I556" s="43"/>
      <c r="J556" s="40"/>
    </row>
    <row r="557" customFormat="false" ht="16.5" hidden="false" customHeight="true" outlineLevel="0" collapsed="false">
      <c r="B557" s="44" t="str">
        <f aca="false">IF(C557="","",ROW()-9)</f>
        <v/>
      </c>
      <c r="C557" s="45"/>
      <c r="D557" s="46" t="str">
        <f aca="false">IF(C557="","",IFERROR(TEXT(C557,"MMMM"),""))</f>
        <v/>
      </c>
      <c r="E557" s="47"/>
      <c r="F557" s="48" t="str">
        <f aca="false">IF(E557="","",IFERROR(INDEX('Chart of Accounts'!$C$4:$C$200,MATCH(TEXT(E557,"@"),TEXT('Chart of Accounts'!$B$4:$B$200,"@"),0)),"⚠ Not Found"))</f>
        <v/>
      </c>
      <c r="G557" s="49"/>
      <c r="H557" s="50"/>
      <c r="I557" s="50"/>
      <c r="J557" s="47"/>
    </row>
    <row r="558" customFormat="false" ht="16.5" hidden="false" customHeight="true" outlineLevel="0" collapsed="false">
      <c r="B558" s="37" t="str">
        <f aca="false">IF(C558="","",ROW()-9)</f>
        <v/>
      </c>
      <c r="C558" s="38"/>
      <c r="D558" s="39" t="str">
        <f aca="false">IF(C558="","",IFERROR(TEXT(C558,"MMMM"),""))</f>
        <v/>
      </c>
      <c r="E558" s="40"/>
      <c r="F558" s="41" t="str">
        <f aca="false">IF(E558="","",IFERROR(INDEX('Chart of Accounts'!$C$4:$C$200,MATCH(TEXT(E558,"@"),TEXT('Chart of Accounts'!$B$4:$B$200,"@"),0)),"⚠ Not Found"))</f>
        <v/>
      </c>
      <c r="G558" s="42"/>
      <c r="H558" s="43"/>
      <c r="I558" s="43"/>
      <c r="J558" s="40"/>
    </row>
    <row r="559" customFormat="false" ht="16.5" hidden="false" customHeight="true" outlineLevel="0" collapsed="false">
      <c r="B559" s="44" t="str">
        <f aca="false">IF(C559="","",ROW()-9)</f>
        <v/>
      </c>
      <c r="C559" s="45"/>
      <c r="D559" s="46" t="str">
        <f aca="false">IF(C559="","",IFERROR(TEXT(C559,"MMMM"),""))</f>
        <v/>
      </c>
      <c r="E559" s="47"/>
      <c r="F559" s="48" t="str">
        <f aca="false">IF(E559="","",IFERROR(INDEX('Chart of Accounts'!$C$4:$C$200,MATCH(TEXT(E559,"@"),TEXT('Chart of Accounts'!$B$4:$B$200,"@"),0)),"⚠ Not Found"))</f>
        <v/>
      </c>
      <c r="G559" s="49"/>
      <c r="H559" s="50"/>
      <c r="I559" s="50"/>
      <c r="J559" s="47"/>
    </row>
    <row r="560" customFormat="false" ht="16.5" hidden="false" customHeight="true" outlineLevel="0" collapsed="false">
      <c r="B560" s="37" t="str">
        <f aca="false">IF(C560="","",ROW()-9)</f>
        <v/>
      </c>
      <c r="C560" s="38"/>
      <c r="D560" s="39" t="str">
        <f aca="false">IF(C560="","",IFERROR(TEXT(C560,"MMMM"),""))</f>
        <v/>
      </c>
      <c r="E560" s="40"/>
      <c r="F560" s="41" t="str">
        <f aca="false">IF(E560="","",IFERROR(INDEX('Chart of Accounts'!$C$4:$C$200,MATCH(TEXT(E560,"@"),TEXT('Chart of Accounts'!$B$4:$B$200,"@"),0)),"⚠ Not Found"))</f>
        <v/>
      </c>
      <c r="G560" s="42"/>
      <c r="H560" s="43"/>
      <c r="I560" s="43"/>
      <c r="J560" s="40"/>
    </row>
    <row r="561" customFormat="false" ht="16.5" hidden="false" customHeight="true" outlineLevel="0" collapsed="false">
      <c r="B561" s="44" t="str">
        <f aca="false">IF(C561="","",ROW()-9)</f>
        <v/>
      </c>
      <c r="C561" s="45"/>
      <c r="D561" s="46" t="str">
        <f aca="false">IF(C561="","",IFERROR(TEXT(C561,"MMMM"),""))</f>
        <v/>
      </c>
      <c r="E561" s="47"/>
      <c r="F561" s="48" t="str">
        <f aca="false">IF(E561="","",IFERROR(INDEX('Chart of Accounts'!$C$4:$C$200,MATCH(TEXT(E561,"@"),TEXT('Chart of Accounts'!$B$4:$B$200,"@"),0)),"⚠ Not Found"))</f>
        <v/>
      </c>
      <c r="G561" s="49"/>
      <c r="H561" s="50"/>
      <c r="I561" s="50"/>
      <c r="J561" s="47"/>
    </row>
    <row r="562" customFormat="false" ht="16.5" hidden="false" customHeight="true" outlineLevel="0" collapsed="false">
      <c r="B562" s="37" t="str">
        <f aca="false">IF(C562="","",ROW()-9)</f>
        <v/>
      </c>
      <c r="C562" s="38"/>
      <c r="D562" s="39" t="str">
        <f aca="false">IF(C562="","",IFERROR(TEXT(C562,"MMMM"),""))</f>
        <v/>
      </c>
      <c r="E562" s="40"/>
      <c r="F562" s="41" t="str">
        <f aca="false">IF(E562="","",IFERROR(INDEX('Chart of Accounts'!$C$4:$C$200,MATCH(TEXT(E562,"@"),TEXT('Chart of Accounts'!$B$4:$B$200,"@"),0)),"⚠ Not Found"))</f>
        <v/>
      </c>
      <c r="G562" s="42"/>
      <c r="H562" s="43"/>
      <c r="I562" s="43"/>
      <c r="J562" s="40"/>
    </row>
    <row r="563" customFormat="false" ht="16.5" hidden="false" customHeight="true" outlineLevel="0" collapsed="false">
      <c r="B563" s="44" t="str">
        <f aca="false">IF(C563="","",ROW()-9)</f>
        <v/>
      </c>
      <c r="C563" s="45"/>
      <c r="D563" s="46" t="str">
        <f aca="false">IF(C563="","",IFERROR(TEXT(C563,"MMMM"),""))</f>
        <v/>
      </c>
      <c r="E563" s="47"/>
      <c r="F563" s="48" t="str">
        <f aca="false">IF(E563="","",IFERROR(INDEX('Chart of Accounts'!$C$4:$C$200,MATCH(TEXT(E563,"@"),TEXT('Chart of Accounts'!$B$4:$B$200,"@"),0)),"⚠ Not Found"))</f>
        <v/>
      </c>
      <c r="G563" s="49"/>
      <c r="H563" s="50"/>
      <c r="I563" s="50"/>
      <c r="J563" s="47"/>
    </row>
    <row r="564" customFormat="false" ht="16.5" hidden="false" customHeight="true" outlineLevel="0" collapsed="false">
      <c r="B564" s="37" t="str">
        <f aca="false">IF(C564="","",ROW()-9)</f>
        <v/>
      </c>
      <c r="C564" s="38"/>
      <c r="D564" s="39" t="str">
        <f aca="false">IF(C564="","",IFERROR(TEXT(C564,"MMMM"),""))</f>
        <v/>
      </c>
      <c r="E564" s="40"/>
      <c r="F564" s="41" t="str">
        <f aca="false">IF(E564="","",IFERROR(INDEX('Chart of Accounts'!$C$4:$C$200,MATCH(TEXT(E564,"@"),TEXT('Chart of Accounts'!$B$4:$B$200,"@"),0)),"⚠ Not Found"))</f>
        <v/>
      </c>
      <c r="G564" s="42"/>
      <c r="H564" s="43"/>
      <c r="I564" s="43"/>
      <c r="J564" s="40"/>
    </row>
    <row r="565" customFormat="false" ht="16.5" hidden="false" customHeight="true" outlineLevel="0" collapsed="false">
      <c r="B565" s="44" t="str">
        <f aca="false">IF(C565="","",ROW()-9)</f>
        <v/>
      </c>
      <c r="C565" s="45"/>
      <c r="D565" s="46" t="str">
        <f aca="false">IF(C565="","",IFERROR(TEXT(C565,"MMMM"),""))</f>
        <v/>
      </c>
      <c r="E565" s="47"/>
      <c r="F565" s="48" t="str">
        <f aca="false">IF(E565="","",IFERROR(INDEX('Chart of Accounts'!$C$4:$C$200,MATCH(TEXT(E565,"@"),TEXT('Chart of Accounts'!$B$4:$B$200,"@"),0)),"⚠ Not Found"))</f>
        <v/>
      </c>
      <c r="G565" s="49"/>
      <c r="H565" s="50"/>
      <c r="I565" s="50"/>
      <c r="J565" s="47"/>
    </row>
    <row r="566" customFormat="false" ht="16.5" hidden="false" customHeight="true" outlineLevel="0" collapsed="false">
      <c r="B566" s="37" t="str">
        <f aca="false">IF(C566="","",ROW()-9)</f>
        <v/>
      </c>
      <c r="C566" s="38"/>
      <c r="D566" s="39" t="str">
        <f aca="false">IF(C566="","",IFERROR(TEXT(C566,"MMMM"),""))</f>
        <v/>
      </c>
      <c r="E566" s="40"/>
      <c r="F566" s="41" t="str">
        <f aca="false">IF(E566="","",IFERROR(INDEX('Chart of Accounts'!$C$4:$C$200,MATCH(TEXT(E566,"@"),TEXT('Chart of Accounts'!$B$4:$B$200,"@"),0)),"⚠ Not Found"))</f>
        <v/>
      </c>
      <c r="G566" s="42"/>
      <c r="H566" s="43"/>
      <c r="I566" s="43"/>
      <c r="J566" s="40"/>
    </row>
    <row r="567" customFormat="false" ht="16.5" hidden="false" customHeight="true" outlineLevel="0" collapsed="false">
      <c r="B567" s="44" t="str">
        <f aca="false">IF(C567="","",ROW()-9)</f>
        <v/>
      </c>
      <c r="C567" s="45"/>
      <c r="D567" s="46" t="str">
        <f aca="false">IF(C567="","",IFERROR(TEXT(C567,"MMMM"),""))</f>
        <v/>
      </c>
      <c r="E567" s="47"/>
      <c r="F567" s="48" t="str">
        <f aca="false">IF(E567="","",IFERROR(INDEX('Chart of Accounts'!$C$4:$C$200,MATCH(TEXT(E567,"@"),TEXT('Chart of Accounts'!$B$4:$B$200,"@"),0)),"⚠ Not Found"))</f>
        <v/>
      </c>
      <c r="G567" s="49"/>
      <c r="H567" s="50"/>
      <c r="I567" s="50"/>
      <c r="J567" s="47"/>
    </row>
    <row r="568" customFormat="false" ht="16.5" hidden="false" customHeight="true" outlineLevel="0" collapsed="false">
      <c r="B568" s="37" t="str">
        <f aca="false">IF(C568="","",ROW()-9)</f>
        <v/>
      </c>
      <c r="C568" s="38"/>
      <c r="D568" s="39" t="str">
        <f aca="false">IF(C568="","",IFERROR(TEXT(C568,"MMMM"),""))</f>
        <v/>
      </c>
      <c r="E568" s="40"/>
      <c r="F568" s="41" t="str">
        <f aca="false">IF(E568="","",IFERROR(INDEX('Chart of Accounts'!$C$4:$C$200,MATCH(TEXT(E568,"@"),TEXT('Chart of Accounts'!$B$4:$B$200,"@"),0)),"⚠ Not Found"))</f>
        <v/>
      </c>
      <c r="G568" s="42"/>
      <c r="H568" s="43"/>
      <c r="I568" s="43"/>
      <c r="J568" s="40"/>
    </row>
    <row r="569" customFormat="false" ht="16.5" hidden="false" customHeight="true" outlineLevel="0" collapsed="false">
      <c r="B569" s="44" t="str">
        <f aca="false">IF(C569="","",ROW()-9)</f>
        <v/>
      </c>
      <c r="C569" s="45"/>
      <c r="D569" s="46" t="str">
        <f aca="false">IF(C569="","",IFERROR(TEXT(C569,"MMMM"),""))</f>
        <v/>
      </c>
      <c r="E569" s="47"/>
      <c r="F569" s="48" t="str">
        <f aca="false">IF(E569="","",IFERROR(INDEX('Chart of Accounts'!$C$4:$C$200,MATCH(TEXT(E569,"@"),TEXT('Chart of Accounts'!$B$4:$B$200,"@"),0)),"⚠ Not Found"))</f>
        <v/>
      </c>
      <c r="G569" s="49"/>
      <c r="H569" s="50"/>
      <c r="I569" s="50"/>
      <c r="J569" s="47"/>
    </row>
    <row r="570" customFormat="false" ht="16.5" hidden="false" customHeight="true" outlineLevel="0" collapsed="false">
      <c r="B570" s="37" t="str">
        <f aca="false">IF(C570="","",ROW()-9)</f>
        <v/>
      </c>
      <c r="C570" s="38"/>
      <c r="D570" s="39" t="str">
        <f aca="false">IF(C570="","",IFERROR(TEXT(C570,"MMMM"),""))</f>
        <v/>
      </c>
      <c r="E570" s="40"/>
      <c r="F570" s="41" t="str">
        <f aca="false">IF(E570="","",IFERROR(INDEX('Chart of Accounts'!$C$4:$C$200,MATCH(TEXT(E570,"@"),TEXT('Chart of Accounts'!$B$4:$B$200,"@"),0)),"⚠ Not Found"))</f>
        <v/>
      </c>
      <c r="G570" s="42"/>
      <c r="H570" s="43"/>
      <c r="I570" s="43"/>
      <c r="J570" s="40"/>
    </row>
    <row r="571" customFormat="false" ht="16.5" hidden="false" customHeight="true" outlineLevel="0" collapsed="false">
      <c r="B571" s="44" t="str">
        <f aca="false">IF(C571="","",ROW()-9)</f>
        <v/>
      </c>
      <c r="C571" s="45"/>
      <c r="D571" s="46" t="str">
        <f aca="false">IF(C571="","",IFERROR(TEXT(C571,"MMMM"),""))</f>
        <v/>
      </c>
      <c r="E571" s="47"/>
      <c r="F571" s="48" t="str">
        <f aca="false">IF(E571="","",IFERROR(INDEX('Chart of Accounts'!$C$4:$C$200,MATCH(TEXT(E571,"@"),TEXT('Chart of Accounts'!$B$4:$B$200,"@"),0)),"⚠ Not Found"))</f>
        <v/>
      </c>
      <c r="G571" s="49"/>
      <c r="H571" s="50"/>
      <c r="I571" s="50"/>
      <c r="J571" s="47"/>
    </row>
    <row r="572" customFormat="false" ht="16.5" hidden="false" customHeight="true" outlineLevel="0" collapsed="false">
      <c r="B572" s="37" t="str">
        <f aca="false">IF(C572="","",ROW()-9)</f>
        <v/>
      </c>
      <c r="C572" s="38"/>
      <c r="D572" s="39" t="str">
        <f aca="false">IF(C572="","",IFERROR(TEXT(C572,"MMMM"),""))</f>
        <v/>
      </c>
      <c r="E572" s="40"/>
      <c r="F572" s="41" t="str">
        <f aca="false">IF(E572="","",IFERROR(INDEX('Chart of Accounts'!$C$4:$C$200,MATCH(TEXT(E572,"@"),TEXT('Chart of Accounts'!$B$4:$B$200,"@"),0)),"⚠ Not Found"))</f>
        <v/>
      </c>
      <c r="G572" s="42"/>
      <c r="H572" s="43"/>
      <c r="I572" s="43"/>
      <c r="J572" s="40"/>
    </row>
    <row r="573" customFormat="false" ht="16.5" hidden="false" customHeight="true" outlineLevel="0" collapsed="false">
      <c r="B573" s="44" t="str">
        <f aca="false">IF(C573="","",ROW()-9)</f>
        <v/>
      </c>
      <c r="C573" s="45"/>
      <c r="D573" s="46" t="str">
        <f aca="false">IF(C573="","",IFERROR(TEXT(C573,"MMMM"),""))</f>
        <v/>
      </c>
      <c r="E573" s="47"/>
      <c r="F573" s="48" t="str">
        <f aca="false">IF(E573="","",IFERROR(INDEX('Chart of Accounts'!$C$4:$C$200,MATCH(TEXT(E573,"@"),TEXT('Chart of Accounts'!$B$4:$B$200,"@"),0)),"⚠ Not Found"))</f>
        <v/>
      </c>
      <c r="G573" s="49"/>
      <c r="H573" s="50"/>
      <c r="I573" s="50"/>
      <c r="J573" s="47"/>
    </row>
    <row r="574" customFormat="false" ht="16.5" hidden="false" customHeight="true" outlineLevel="0" collapsed="false">
      <c r="B574" s="37" t="str">
        <f aca="false">IF(C574="","",ROW()-9)</f>
        <v/>
      </c>
      <c r="C574" s="38"/>
      <c r="D574" s="39" t="str">
        <f aca="false">IF(C574="","",IFERROR(TEXT(C574,"MMMM"),""))</f>
        <v/>
      </c>
      <c r="E574" s="40"/>
      <c r="F574" s="41" t="str">
        <f aca="false">IF(E574="","",IFERROR(INDEX('Chart of Accounts'!$C$4:$C$200,MATCH(TEXT(E574,"@"),TEXT('Chart of Accounts'!$B$4:$B$200,"@"),0)),"⚠ Not Found"))</f>
        <v/>
      </c>
      <c r="G574" s="42"/>
      <c r="H574" s="43"/>
      <c r="I574" s="43"/>
      <c r="J574" s="40"/>
    </row>
    <row r="575" customFormat="false" ht="16.5" hidden="false" customHeight="true" outlineLevel="0" collapsed="false">
      <c r="B575" s="44" t="str">
        <f aca="false">IF(C575="","",ROW()-9)</f>
        <v/>
      </c>
      <c r="C575" s="45"/>
      <c r="D575" s="46" t="str">
        <f aca="false">IF(C575="","",IFERROR(TEXT(C575,"MMMM"),""))</f>
        <v/>
      </c>
      <c r="E575" s="47"/>
      <c r="F575" s="48" t="str">
        <f aca="false">IF(E575="","",IFERROR(INDEX('Chart of Accounts'!$C$4:$C$200,MATCH(TEXT(E575,"@"),TEXT('Chart of Accounts'!$B$4:$B$200,"@"),0)),"⚠ Not Found"))</f>
        <v/>
      </c>
      <c r="G575" s="49"/>
      <c r="H575" s="50"/>
      <c r="I575" s="50"/>
      <c r="J575" s="47"/>
    </row>
    <row r="576" customFormat="false" ht="16.5" hidden="false" customHeight="true" outlineLevel="0" collapsed="false">
      <c r="B576" s="37" t="str">
        <f aca="false">IF(C576="","",ROW()-9)</f>
        <v/>
      </c>
      <c r="C576" s="38"/>
      <c r="D576" s="39" t="str">
        <f aca="false">IF(C576="","",IFERROR(TEXT(C576,"MMMM"),""))</f>
        <v/>
      </c>
      <c r="E576" s="40"/>
      <c r="F576" s="41" t="str">
        <f aca="false">IF(E576="","",IFERROR(INDEX('Chart of Accounts'!$C$4:$C$200,MATCH(TEXT(E576,"@"),TEXT('Chart of Accounts'!$B$4:$B$200,"@"),0)),"⚠ Not Found"))</f>
        <v/>
      </c>
      <c r="G576" s="42"/>
      <c r="H576" s="43"/>
      <c r="I576" s="43"/>
      <c r="J576" s="40"/>
    </row>
    <row r="577" customFormat="false" ht="16.5" hidden="false" customHeight="true" outlineLevel="0" collapsed="false">
      <c r="B577" s="44" t="str">
        <f aca="false">IF(C577="","",ROW()-9)</f>
        <v/>
      </c>
      <c r="C577" s="45"/>
      <c r="D577" s="46" t="str">
        <f aca="false">IF(C577="","",IFERROR(TEXT(C577,"MMMM"),""))</f>
        <v/>
      </c>
      <c r="E577" s="47"/>
      <c r="F577" s="48" t="str">
        <f aca="false">IF(E577="","",IFERROR(INDEX('Chart of Accounts'!$C$4:$C$200,MATCH(TEXT(E577,"@"),TEXT('Chart of Accounts'!$B$4:$B$200,"@"),0)),"⚠ Not Found"))</f>
        <v/>
      </c>
      <c r="G577" s="49"/>
      <c r="H577" s="50"/>
      <c r="I577" s="50"/>
      <c r="J577" s="47"/>
    </row>
    <row r="578" customFormat="false" ht="16.5" hidden="false" customHeight="true" outlineLevel="0" collapsed="false">
      <c r="B578" s="37" t="str">
        <f aca="false">IF(C578="","",ROW()-9)</f>
        <v/>
      </c>
      <c r="C578" s="38"/>
      <c r="D578" s="39" t="str">
        <f aca="false">IF(C578="","",IFERROR(TEXT(C578,"MMMM"),""))</f>
        <v/>
      </c>
      <c r="E578" s="40"/>
      <c r="F578" s="41" t="str">
        <f aca="false">IF(E578="","",IFERROR(INDEX('Chart of Accounts'!$C$4:$C$200,MATCH(TEXT(E578,"@"),TEXT('Chart of Accounts'!$B$4:$B$200,"@"),0)),"⚠ Not Found"))</f>
        <v/>
      </c>
      <c r="G578" s="42"/>
      <c r="H578" s="43"/>
      <c r="I578" s="43"/>
      <c r="J578" s="40"/>
    </row>
    <row r="579" customFormat="false" ht="16.5" hidden="false" customHeight="true" outlineLevel="0" collapsed="false">
      <c r="B579" s="44" t="str">
        <f aca="false">IF(C579="","",ROW()-9)</f>
        <v/>
      </c>
      <c r="C579" s="45"/>
      <c r="D579" s="46" t="str">
        <f aca="false">IF(C579="","",IFERROR(TEXT(C579,"MMMM"),""))</f>
        <v/>
      </c>
      <c r="E579" s="47"/>
      <c r="F579" s="48" t="str">
        <f aca="false">IF(E579="","",IFERROR(INDEX('Chart of Accounts'!$C$4:$C$200,MATCH(TEXT(E579,"@"),TEXT('Chart of Accounts'!$B$4:$B$200,"@"),0)),"⚠ Not Found"))</f>
        <v/>
      </c>
      <c r="G579" s="49"/>
      <c r="H579" s="50"/>
      <c r="I579" s="50"/>
      <c r="J579" s="47"/>
    </row>
    <row r="580" customFormat="false" ht="16.5" hidden="false" customHeight="true" outlineLevel="0" collapsed="false">
      <c r="B580" s="37" t="str">
        <f aca="false">IF(C580="","",ROW()-9)</f>
        <v/>
      </c>
      <c r="C580" s="38"/>
      <c r="D580" s="39" t="str">
        <f aca="false">IF(C580="","",IFERROR(TEXT(C580,"MMMM"),""))</f>
        <v/>
      </c>
      <c r="E580" s="40"/>
      <c r="F580" s="41" t="str">
        <f aca="false">IF(E580="","",IFERROR(INDEX('Chart of Accounts'!$C$4:$C$200,MATCH(TEXT(E580,"@"),TEXT('Chart of Accounts'!$B$4:$B$200,"@"),0)),"⚠ Not Found"))</f>
        <v/>
      </c>
      <c r="G580" s="42"/>
      <c r="H580" s="43"/>
      <c r="I580" s="43"/>
      <c r="J580" s="40"/>
    </row>
    <row r="581" customFormat="false" ht="16.5" hidden="false" customHeight="true" outlineLevel="0" collapsed="false">
      <c r="B581" s="44" t="str">
        <f aca="false">IF(C581="","",ROW()-9)</f>
        <v/>
      </c>
      <c r="C581" s="45"/>
      <c r="D581" s="46" t="str">
        <f aca="false">IF(C581="","",IFERROR(TEXT(C581,"MMMM"),""))</f>
        <v/>
      </c>
      <c r="E581" s="47"/>
      <c r="F581" s="48" t="str">
        <f aca="false">IF(E581="","",IFERROR(INDEX('Chart of Accounts'!$C$4:$C$200,MATCH(TEXT(E581,"@"),TEXT('Chart of Accounts'!$B$4:$B$200,"@"),0)),"⚠ Not Found"))</f>
        <v/>
      </c>
      <c r="G581" s="49"/>
      <c r="H581" s="50"/>
      <c r="I581" s="50"/>
      <c r="J581" s="47"/>
    </row>
    <row r="582" customFormat="false" ht="16.5" hidden="false" customHeight="true" outlineLevel="0" collapsed="false">
      <c r="B582" s="37" t="str">
        <f aca="false">IF(C582="","",ROW()-9)</f>
        <v/>
      </c>
      <c r="C582" s="38"/>
      <c r="D582" s="39" t="str">
        <f aca="false">IF(C582="","",IFERROR(TEXT(C582,"MMMM"),""))</f>
        <v/>
      </c>
      <c r="E582" s="40"/>
      <c r="F582" s="41" t="str">
        <f aca="false">IF(E582="","",IFERROR(INDEX('Chart of Accounts'!$C$4:$C$200,MATCH(TEXT(E582,"@"),TEXT('Chart of Accounts'!$B$4:$B$200,"@"),0)),"⚠ Not Found"))</f>
        <v/>
      </c>
      <c r="G582" s="42"/>
      <c r="H582" s="43"/>
      <c r="I582" s="43"/>
      <c r="J582" s="40"/>
    </row>
    <row r="583" customFormat="false" ht="16.5" hidden="false" customHeight="true" outlineLevel="0" collapsed="false">
      <c r="B583" s="44" t="str">
        <f aca="false">IF(C583="","",ROW()-9)</f>
        <v/>
      </c>
      <c r="C583" s="45"/>
      <c r="D583" s="46" t="str">
        <f aca="false">IF(C583="","",IFERROR(TEXT(C583,"MMMM"),""))</f>
        <v/>
      </c>
      <c r="E583" s="47"/>
      <c r="F583" s="48" t="str">
        <f aca="false">IF(E583="","",IFERROR(INDEX('Chart of Accounts'!$C$4:$C$200,MATCH(TEXT(E583,"@"),TEXT('Chart of Accounts'!$B$4:$B$200,"@"),0)),"⚠ Not Found"))</f>
        <v/>
      </c>
      <c r="G583" s="49"/>
      <c r="H583" s="50"/>
      <c r="I583" s="50"/>
      <c r="J583" s="47"/>
    </row>
    <row r="584" customFormat="false" ht="16.5" hidden="false" customHeight="true" outlineLevel="0" collapsed="false">
      <c r="B584" s="37" t="str">
        <f aca="false">IF(C584="","",ROW()-9)</f>
        <v/>
      </c>
      <c r="C584" s="38"/>
      <c r="D584" s="39" t="str">
        <f aca="false">IF(C584="","",IFERROR(TEXT(C584,"MMMM"),""))</f>
        <v/>
      </c>
      <c r="E584" s="40"/>
      <c r="F584" s="41" t="str">
        <f aca="false">IF(E584="","",IFERROR(INDEX('Chart of Accounts'!$C$4:$C$200,MATCH(TEXT(E584,"@"),TEXT('Chart of Accounts'!$B$4:$B$200,"@"),0)),"⚠ Not Found"))</f>
        <v/>
      </c>
      <c r="G584" s="42"/>
      <c r="H584" s="43"/>
      <c r="I584" s="43"/>
      <c r="J584" s="40"/>
    </row>
    <row r="585" customFormat="false" ht="16.5" hidden="false" customHeight="true" outlineLevel="0" collapsed="false">
      <c r="B585" s="44" t="str">
        <f aca="false">IF(C585="","",ROW()-9)</f>
        <v/>
      </c>
      <c r="C585" s="45"/>
      <c r="D585" s="46" t="str">
        <f aca="false">IF(C585="","",IFERROR(TEXT(C585,"MMMM"),""))</f>
        <v/>
      </c>
      <c r="E585" s="47"/>
      <c r="F585" s="48" t="str">
        <f aca="false">IF(E585="","",IFERROR(INDEX('Chart of Accounts'!$C$4:$C$200,MATCH(TEXT(E585,"@"),TEXT('Chart of Accounts'!$B$4:$B$200,"@"),0)),"⚠ Not Found"))</f>
        <v/>
      </c>
      <c r="G585" s="49"/>
      <c r="H585" s="50"/>
      <c r="I585" s="50"/>
      <c r="J585" s="47"/>
    </row>
    <row r="586" customFormat="false" ht="16.5" hidden="false" customHeight="true" outlineLevel="0" collapsed="false">
      <c r="B586" s="37" t="str">
        <f aca="false">IF(C586="","",ROW()-9)</f>
        <v/>
      </c>
      <c r="C586" s="38"/>
      <c r="D586" s="39" t="str">
        <f aca="false">IF(C586="","",IFERROR(TEXT(C586,"MMMM"),""))</f>
        <v/>
      </c>
      <c r="E586" s="40"/>
      <c r="F586" s="41" t="str">
        <f aca="false">IF(E586="","",IFERROR(INDEX('Chart of Accounts'!$C$4:$C$200,MATCH(TEXT(E586,"@"),TEXT('Chart of Accounts'!$B$4:$B$200,"@"),0)),"⚠ Not Found"))</f>
        <v/>
      </c>
      <c r="G586" s="42"/>
      <c r="H586" s="43"/>
      <c r="I586" s="43"/>
      <c r="J586" s="40"/>
    </row>
    <row r="587" customFormat="false" ht="16.5" hidden="false" customHeight="true" outlineLevel="0" collapsed="false">
      <c r="B587" s="44" t="str">
        <f aca="false">IF(C587="","",ROW()-9)</f>
        <v/>
      </c>
      <c r="C587" s="45"/>
      <c r="D587" s="46" t="str">
        <f aca="false">IF(C587="","",IFERROR(TEXT(C587,"MMMM"),""))</f>
        <v/>
      </c>
      <c r="E587" s="47"/>
      <c r="F587" s="48" t="str">
        <f aca="false">IF(E587="","",IFERROR(INDEX('Chart of Accounts'!$C$4:$C$200,MATCH(TEXT(E587,"@"),TEXT('Chart of Accounts'!$B$4:$B$200,"@"),0)),"⚠ Not Found"))</f>
        <v/>
      </c>
      <c r="G587" s="49"/>
      <c r="H587" s="50"/>
      <c r="I587" s="50"/>
      <c r="J587" s="47"/>
    </row>
    <row r="588" customFormat="false" ht="16.5" hidden="false" customHeight="true" outlineLevel="0" collapsed="false">
      <c r="B588" s="37" t="str">
        <f aca="false">IF(C588="","",ROW()-9)</f>
        <v/>
      </c>
      <c r="C588" s="38"/>
      <c r="D588" s="39" t="str">
        <f aca="false">IF(C588="","",IFERROR(TEXT(C588,"MMMM"),""))</f>
        <v/>
      </c>
      <c r="E588" s="40"/>
      <c r="F588" s="41" t="str">
        <f aca="false">IF(E588="","",IFERROR(INDEX('Chart of Accounts'!$C$4:$C$200,MATCH(TEXT(E588,"@"),TEXT('Chart of Accounts'!$B$4:$B$200,"@"),0)),"⚠ Not Found"))</f>
        <v/>
      </c>
      <c r="G588" s="42"/>
      <c r="H588" s="43"/>
      <c r="I588" s="43"/>
      <c r="J588" s="40"/>
    </row>
    <row r="589" customFormat="false" ht="16.5" hidden="false" customHeight="true" outlineLevel="0" collapsed="false">
      <c r="B589" s="44" t="str">
        <f aca="false">IF(C589="","",ROW()-9)</f>
        <v/>
      </c>
      <c r="C589" s="45"/>
      <c r="D589" s="46" t="str">
        <f aca="false">IF(C589="","",IFERROR(TEXT(C589,"MMMM"),""))</f>
        <v/>
      </c>
      <c r="E589" s="47"/>
      <c r="F589" s="48" t="str">
        <f aca="false">IF(E589="","",IFERROR(INDEX('Chart of Accounts'!$C$4:$C$200,MATCH(TEXT(E589,"@"),TEXT('Chart of Accounts'!$B$4:$B$200,"@"),0)),"⚠ Not Found"))</f>
        <v/>
      </c>
      <c r="G589" s="49"/>
      <c r="H589" s="50"/>
      <c r="I589" s="50"/>
      <c r="J589" s="47"/>
    </row>
    <row r="590" customFormat="false" ht="16.5" hidden="false" customHeight="true" outlineLevel="0" collapsed="false">
      <c r="B590" s="37" t="str">
        <f aca="false">IF(C590="","",ROW()-9)</f>
        <v/>
      </c>
      <c r="C590" s="38"/>
      <c r="D590" s="39" t="str">
        <f aca="false">IF(C590="","",IFERROR(TEXT(C590,"MMMM"),""))</f>
        <v/>
      </c>
      <c r="E590" s="40"/>
      <c r="F590" s="41" t="str">
        <f aca="false">IF(E590="","",IFERROR(INDEX('Chart of Accounts'!$C$4:$C$200,MATCH(TEXT(E590,"@"),TEXT('Chart of Accounts'!$B$4:$B$200,"@"),0)),"⚠ Not Found"))</f>
        <v/>
      </c>
      <c r="G590" s="42"/>
      <c r="H590" s="43"/>
      <c r="I590" s="43"/>
      <c r="J590" s="40"/>
    </row>
    <row r="591" customFormat="false" ht="16.5" hidden="false" customHeight="true" outlineLevel="0" collapsed="false">
      <c r="B591" s="44" t="str">
        <f aca="false">IF(C591="","",ROW()-9)</f>
        <v/>
      </c>
      <c r="C591" s="45"/>
      <c r="D591" s="46" t="str">
        <f aca="false">IF(C591="","",IFERROR(TEXT(C591,"MMMM"),""))</f>
        <v/>
      </c>
      <c r="E591" s="47"/>
      <c r="F591" s="48" t="str">
        <f aca="false">IF(E591="","",IFERROR(INDEX('Chart of Accounts'!$C$4:$C$200,MATCH(TEXT(E591,"@"),TEXT('Chart of Accounts'!$B$4:$B$200,"@"),0)),"⚠ Not Found"))</f>
        <v/>
      </c>
      <c r="G591" s="49"/>
      <c r="H591" s="50"/>
      <c r="I591" s="50"/>
      <c r="J591" s="47"/>
    </row>
    <row r="592" customFormat="false" ht="16.5" hidden="false" customHeight="true" outlineLevel="0" collapsed="false">
      <c r="B592" s="37" t="str">
        <f aca="false">IF(C592="","",ROW()-9)</f>
        <v/>
      </c>
      <c r="C592" s="38"/>
      <c r="D592" s="39" t="str">
        <f aca="false">IF(C592="","",IFERROR(TEXT(C592,"MMMM"),""))</f>
        <v/>
      </c>
      <c r="E592" s="40"/>
      <c r="F592" s="41" t="str">
        <f aca="false">IF(E592="","",IFERROR(INDEX('Chart of Accounts'!$C$4:$C$200,MATCH(TEXT(E592,"@"),TEXT('Chart of Accounts'!$B$4:$B$200,"@"),0)),"⚠ Not Found"))</f>
        <v/>
      </c>
      <c r="G592" s="42"/>
      <c r="H592" s="43"/>
      <c r="I592" s="43"/>
      <c r="J592" s="40"/>
    </row>
    <row r="593" customFormat="false" ht="16.5" hidden="false" customHeight="true" outlineLevel="0" collapsed="false">
      <c r="B593" s="44" t="str">
        <f aca="false">IF(C593="","",ROW()-9)</f>
        <v/>
      </c>
      <c r="C593" s="45"/>
      <c r="D593" s="46" t="str">
        <f aca="false">IF(C593="","",IFERROR(TEXT(C593,"MMMM"),""))</f>
        <v/>
      </c>
      <c r="E593" s="47"/>
      <c r="F593" s="48" t="str">
        <f aca="false">IF(E593="","",IFERROR(INDEX('Chart of Accounts'!$C$4:$C$200,MATCH(TEXT(E593,"@"),TEXT('Chart of Accounts'!$B$4:$B$200,"@"),0)),"⚠ Not Found"))</f>
        <v/>
      </c>
      <c r="G593" s="49"/>
      <c r="H593" s="50"/>
      <c r="I593" s="50"/>
      <c r="J593" s="47"/>
    </row>
    <row r="594" customFormat="false" ht="16.5" hidden="false" customHeight="true" outlineLevel="0" collapsed="false">
      <c r="B594" s="37" t="str">
        <f aca="false">IF(C594="","",ROW()-9)</f>
        <v/>
      </c>
      <c r="C594" s="38"/>
      <c r="D594" s="39" t="str">
        <f aca="false">IF(C594="","",IFERROR(TEXT(C594,"MMMM"),""))</f>
        <v/>
      </c>
      <c r="E594" s="40"/>
      <c r="F594" s="41" t="str">
        <f aca="false">IF(E594="","",IFERROR(INDEX('Chart of Accounts'!$C$4:$C$200,MATCH(TEXT(E594,"@"),TEXT('Chart of Accounts'!$B$4:$B$200,"@"),0)),"⚠ Not Found"))</f>
        <v/>
      </c>
      <c r="G594" s="42"/>
      <c r="H594" s="43"/>
      <c r="I594" s="43"/>
      <c r="J594" s="40"/>
    </row>
    <row r="595" customFormat="false" ht="16.5" hidden="false" customHeight="true" outlineLevel="0" collapsed="false">
      <c r="B595" s="44" t="str">
        <f aca="false">IF(C595="","",ROW()-9)</f>
        <v/>
      </c>
      <c r="C595" s="45"/>
      <c r="D595" s="46" t="str">
        <f aca="false">IF(C595="","",IFERROR(TEXT(C595,"MMMM"),""))</f>
        <v/>
      </c>
      <c r="E595" s="47"/>
      <c r="F595" s="48" t="str">
        <f aca="false">IF(E595="","",IFERROR(INDEX('Chart of Accounts'!$C$4:$C$200,MATCH(TEXT(E595,"@"),TEXT('Chart of Accounts'!$B$4:$B$200,"@"),0)),"⚠ Not Found"))</f>
        <v/>
      </c>
      <c r="G595" s="49"/>
      <c r="H595" s="50"/>
      <c r="I595" s="50"/>
      <c r="J595" s="47"/>
    </row>
    <row r="596" customFormat="false" ht="16.5" hidden="false" customHeight="true" outlineLevel="0" collapsed="false">
      <c r="B596" s="37" t="str">
        <f aca="false">IF(C596="","",ROW()-9)</f>
        <v/>
      </c>
      <c r="C596" s="38"/>
      <c r="D596" s="39" t="str">
        <f aca="false">IF(C596="","",IFERROR(TEXT(C596,"MMMM"),""))</f>
        <v/>
      </c>
      <c r="E596" s="40"/>
      <c r="F596" s="41" t="str">
        <f aca="false">IF(E596="","",IFERROR(INDEX('Chart of Accounts'!$C$4:$C$200,MATCH(TEXT(E596,"@"),TEXT('Chart of Accounts'!$B$4:$B$200,"@"),0)),"⚠ Not Found"))</f>
        <v/>
      </c>
      <c r="G596" s="42"/>
      <c r="H596" s="43"/>
      <c r="I596" s="43"/>
      <c r="J596" s="40"/>
    </row>
    <row r="597" customFormat="false" ht="16.5" hidden="false" customHeight="true" outlineLevel="0" collapsed="false">
      <c r="B597" s="44" t="str">
        <f aca="false">IF(C597="","",ROW()-9)</f>
        <v/>
      </c>
      <c r="C597" s="45"/>
      <c r="D597" s="46" t="str">
        <f aca="false">IF(C597="","",IFERROR(TEXT(C597,"MMMM"),""))</f>
        <v/>
      </c>
      <c r="E597" s="47"/>
      <c r="F597" s="48" t="str">
        <f aca="false">IF(E597="","",IFERROR(INDEX('Chart of Accounts'!$C$4:$C$200,MATCH(TEXT(E597,"@"),TEXT('Chart of Accounts'!$B$4:$B$200,"@"),0)),"⚠ Not Found"))</f>
        <v/>
      </c>
      <c r="G597" s="49"/>
      <c r="H597" s="50"/>
      <c r="I597" s="50"/>
      <c r="J597" s="47"/>
    </row>
    <row r="598" customFormat="false" ht="16.5" hidden="false" customHeight="true" outlineLevel="0" collapsed="false">
      <c r="B598" s="37" t="str">
        <f aca="false">IF(C598="","",ROW()-9)</f>
        <v/>
      </c>
      <c r="C598" s="38"/>
      <c r="D598" s="39" t="str">
        <f aca="false">IF(C598="","",IFERROR(TEXT(C598,"MMMM"),""))</f>
        <v/>
      </c>
      <c r="E598" s="40"/>
      <c r="F598" s="41" t="str">
        <f aca="false">IF(E598="","",IFERROR(INDEX('Chart of Accounts'!$C$4:$C$200,MATCH(TEXT(E598,"@"),TEXT('Chart of Accounts'!$B$4:$B$200,"@"),0)),"⚠ Not Found"))</f>
        <v/>
      </c>
      <c r="G598" s="42"/>
      <c r="H598" s="43"/>
      <c r="I598" s="43"/>
      <c r="J598" s="40"/>
    </row>
    <row r="599" customFormat="false" ht="16.5" hidden="false" customHeight="true" outlineLevel="0" collapsed="false">
      <c r="B599" s="44" t="str">
        <f aca="false">IF(C599="","",ROW()-9)</f>
        <v/>
      </c>
      <c r="C599" s="45"/>
      <c r="D599" s="46" t="str">
        <f aca="false">IF(C599="","",IFERROR(TEXT(C599,"MMMM"),""))</f>
        <v/>
      </c>
      <c r="E599" s="47"/>
      <c r="F599" s="48" t="str">
        <f aca="false">IF(E599="","",IFERROR(INDEX('Chart of Accounts'!$C$4:$C$200,MATCH(TEXT(E599,"@"),TEXT('Chart of Accounts'!$B$4:$B$200,"@"),0)),"⚠ Not Found"))</f>
        <v/>
      </c>
      <c r="G599" s="49"/>
      <c r="H599" s="50"/>
      <c r="I599" s="50"/>
      <c r="J599" s="47"/>
    </row>
    <row r="600" customFormat="false" ht="16.5" hidden="false" customHeight="true" outlineLevel="0" collapsed="false">
      <c r="B600" s="37" t="str">
        <f aca="false">IF(C600="","",ROW()-9)</f>
        <v/>
      </c>
      <c r="C600" s="38"/>
      <c r="D600" s="39" t="str">
        <f aca="false">IF(C600="","",IFERROR(TEXT(C600,"MMMM"),""))</f>
        <v/>
      </c>
      <c r="E600" s="40"/>
      <c r="F600" s="41" t="str">
        <f aca="false">IF(E600="","",IFERROR(INDEX('Chart of Accounts'!$C$4:$C$200,MATCH(TEXT(E600,"@"),TEXT('Chart of Accounts'!$B$4:$B$200,"@"),0)),"⚠ Not Found"))</f>
        <v/>
      </c>
      <c r="G600" s="42"/>
      <c r="H600" s="43"/>
      <c r="I600" s="43"/>
      <c r="J600" s="40"/>
    </row>
    <row r="601" customFormat="false" ht="16.5" hidden="false" customHeight="true" outlineLevel="0" collapsed="false">
      <c r="B601" s="44" t="str">
        <f aca="false">IF(C601="","",ROW()-9)</f>
        <v/>
      </c>
      <c r="C601" s="45"/>
      <c r="D601" s="46" t="str">
        <f aca="false">IF(C601="","",IFERROR(TEXT(C601,"MMMM"),""))</f>
        <v/>
      </c>
      <c r="E601" s="47"/>
      <c r="F601" s="48" t="str">
        <f aca="false">IF(E601="","",IFERROR(INDEX('Chart of Accounts'!$C$4:$C$200,MATCH(TEXT(E601,"@"),TEXT('Chart of Accounts'!$B$4:$B$200,"@"),0)),"⚠ Not Found"))</f>
        <v/>
      </c>
      <c r="G601" s="49"/>
      <c r="H601" s="50"/>
      <c r="I601" s="50"/>
      <c r="J601" s="47"/>
    </row>
    <row r="602" customFormat="false" ht="16.5" hidden="false" customHeight="true" outlineLevel="0" collapsed="false">
      <c r="B602" s="37" t="str">
        <f aca="false">IF(C602="","",ROW()-9)</f>
        <v/>
      </c>
      <c r="C602" s="38"/>
      <c r="D602" s="39" t="str">
        <f aca="false">IF(C602="","",IFERROR(TEXT(C602,"MMMM"),""))</f>
        <v/>
      </c>
      <c r="E602" s="40"/>
      <c r="F602" s="41" t="str">
        <f aca="false">IF(E602="","",IFERROR(INDEX('Chart of Accounts'!$C$4:$C$200,MATCH(TEXT(E602,"@"),TEXT('Chart of Accounts'!$B$4:$B$200,"@"),0)),"⚠ Not Found"))</f>
        <v/>
      </c>
      <c r="G602" s="42"/>
      <c r="H602" s="43"/>
      <c r="I602" s="43"/>
      <c r="J602" s="40"/>
    </row>
    <row r="603" customFormat="false" ht="16.5" hidden="false" customHeight="true" outlineLevel="0" collapsed="false">
      <c r="B603" s="44" t="str">
        <f aca="false">IF(C603="","",ROW()-9)</f>
        <v/>
      </c>
      <c r="C603" s="45"/>
      <c r="D603" s="46" t="str">
        <f aca="false">IF(C603="","",IFERROR(TEXT(C603,"MMMM"),""))</f>
        <v/>
      </c>
      <c r="E603" s="47"/>
      <c r="F603" s="48" t="str">
        <f aca="false">IF(E603="","",IFERROR(INDEX('Chart of Accounts'!$C$4:$C$200,MATCH(TEXT(E603,"@"),TEXT('Chart of Accounts'!$B$4:$B$200,"@"),0)),"⚠ Not Found"))</f>
        <v/>
      </c>
      <c r="G603" s="49"/>
      <c r="H603" s="50"/>
      <c r="I603" s="50"/>
      <c r="J603" s="47"/>
    </row>
    <row r="604" customFormat="false" ht="16.5" hidden="false" customHeight="true" outlineLevel="0" collapsed="false">
      <c r="B604" s="37" t="str">
        <f aca="false">IF(C604="","",ROW()-9)</f>
        <v/>
      </c>
      <c r="C604" s="38"/>
      <c r="D604" s="39" t="str">
        <f aca="false">IF(C604="","",IFERROR(TEXT(C604,"MMMM"),""))</f>
        <v/>
      </c>
      <c r="E604" s="40"/>
      <c r="F604" s="41" t="str">
        <f aca="false">IF(E604="","",IFERROR(INDEX('Chart of Accounts'!$C$4:$C$200,MATCH(TEXT(E604,"@"),TEXT('Chart of Accounts'!$B$4:$B$200,"@"),0)),"⚠ Not Found"))</f>
        <v/>
      </c>
      <c r="G604" s="42"/>
      <c r="H604" s="43"/>
      <c r="I604" s="43"/>
      <c r="J604" s="40"/>
    </row>
    <row r="605" customFormat="false" ht="16.5" hidden="false" customHeight="true" outlineLevel="0" collapsed="false">
      <c r="B605" s="44" t="str">
        <f aca="false">IF(C605="","",ROW()-9)</f>
        <v/>
      </c>
      <c r="C605" s="45"/>
      <c r="D605" s="46" t="str">
        <f aca="false">IF(C605="","",IFERROR(TEXT(C605,"MMMM"),""))</f>
        <v/>
      </c>
      <c r="E605" s="47"/>
      <c r="F605" s="48" t="str">
        <f aca="false">IF(E605="","",IFERROR(INDEX('Chart of Accounts'!$C$4:$C$200,MATCH(TEXT(E605,"@"),TEXT('Chart of Accounts'!$B$4:$B$200,"@"),0)),"⚠ Not Found"))</f>
        <v/>
      </c>
      <c r="G605" s="49"/>
      <c r="H605" s="50"/>
      <c r="I605" s="50"/>
      <c r="J605" s="47"/>
    </row>
    <row r="606" customFormat="false" ht="16.5" hidden="false" customHeight="true" outlineLevel="0" collapsed="false">
      <c r="B606" s="37" t="str">
        <f aca="false">IF(C606="","",ROW()-9)</f>
        <v/>
      </c>
      <c r="C606" s="38"/>
      <c r="D606" s="39" t="str">
        <f aca="false">IF(C606="","",IFERROR(TEXT(C606,"MMMM"),""))</f>
        <v/>
      </c>
      <c r="E606" s="40"/>
      <c r="F606" s="41" t="str">
        <f aca="false">IF(E606="","",IFERROR(INDEX('Chart of Accounts'!$C$4:$C$200,MATCH(TEXT(E606,"@"),TEXT('Chart of Accounts'!$B$4:$B$200,"@"),0)),"⚠ Not Found"))</f>
        <v/>
      </c>
      <c r="G606" s="42"/>
      <c r="H606" s="43"/>
      <c r="I606" s="43"/>
      <c r="J606" s="40"/>
    </row>
    <row r="607" customFormat="false" ht="16.5" hidden="false" customHeight="true" outlineLevel="0" collapsed="false">
      <c r="B607" s="44" t="str">
        <f aca="false">IF(C607="","",ROW()-9)</f>
        <v/>
      </c>
      <c r="C607" s="45"/>
      <c r="D607" s="46" t="str">
        <f aca="false">IF(C607="","",IFERROR(TEXT(C607,"MMMM"),""))</f>
        <v/>
      </c>
      <c r="E607" s="47"/>
      <c r="F607" s="48" t="str">
        <f aca="false">IF(E607="","",IFERROR(INDEX('Chart of Accounts'!$C$4:$C$200,MATCH(TEXT(E607,"@"),TEXT('Chart of Accounts'!$B$4:$B$200,"@"),0)),"⚠ Not Found"))</f>
        <v/>
      </c>
      <c r="G607" s="49"/>
      <c r="H607" s="50"/>
      <c r="I607" s="50"/>
      <c r="J607" s="47"/>
    </row>
    <row r="608" customFormat="false" ht="16.5" hidden="false" customHeight="true" outlineLevel="0" collapsed="false">
      <c r="B608" s="37" t="str">
        <f aca="false">IF(C608="","",ROW()-9)</f>
        <v/>
      </c>
      <c r="C608" s="38"/>
      <c r="D608" s="39" t="str">
        <f aca="false">IF(C608="","",IFERROR(TEXT(C608,"MMMM"),""))</f>
        <v/>
      </c>
      <c r="E608" s="40"/>
      <c r="F608" s="41" t="str">
        <f aca="false">IF(E608="","",IFERROR(INDEX('Chart of Accounts'!$C$4:$C$200,MATCH(TEXT(E608,"@"),TEXT('Chart of Accounts'!$B$4:$B$200,"@"),0)),"⚠ Not Found"))</f>
        <v/>
      </c>
      <c r="G608" s="42"/>
      <c r="H608" s="43"/>
      <c r="I608" s="43"/>
      <c r="J608" s="40"/>
    </row>
    <row r="609" customFormat="false" ht="16.5" hidden="false" customHeight="true" outlineLevel="0" collapsed="false">
      <c r="B609" s="44" t="str">
        <f aca="false">IF(C609="","",ROW()-9)</f>
        <v/>
      </c>
      <c r="C609" s="45"/>
      <c r="D609" s="46" t="str">
        <f aca="false">IF(C609="","",IFERROR(TEXT(C609,"MMMM"),""))</f>
        <v/>
      </c>
      <c r="E609" s="47"/>
      <c r="F609" s="48" t="str">
        <f aca="false">IF(E609="","",IFERROR(INDEX('Chart of Accounts'!$C$4:$C$200,MATCH(TEXT(E609,"@"),TEXT('Chart of Accounts'!$B$4:$B$200,"@"),0)),"⚠ Not Found"))</f>
        <v/>
      </c>
      <c r="G609" s="49"/>
      <c r="H609" s="50"/>
      <c r="I609" s="50"/>
      <c r="J609" s="47"/>
    </row>
    <row r="610" customFormat="false" ht="16.5" hidden="false" customHeight="true" outlineLevel="0" collapsed="false">
      <c r="B610" s="37" t="str">
        <f aca="false">IF(C610="","",ROW()-9)</f>
        <v/>
      </c>
      <c r="C610" s="38"/>
      <c r="D610" s="39" t="str">
        <f aca="false">IF(C610="","",IFERROR(TEXT(C610,"MMMM"),""))</f>
        <v/>
      </c>
      <c r="E610" s="40"/>
      <c r="F610" s="41" t="str">
        <f aca="false">IF(E610="","",IFERROR(INDEX('Chart of Accounts'!$C$4:$C$200,MATCH(TEXT(E610,"@"),TEXT('Chart of Accounts'!$B$4:$B$200,"@"),0)),"⚠ Not Found"))</f>
        <v/>
      </c>
      <c r="G610" s="42"/>
      <c r="H610" s="43"/>
      <c r="I610" s="43"/>
      <c r="J610" s="40"/>
    </row>
    <row r="611" customFormat="false" ht="16.5" hidden="false" customHeight="true" outlineLevel="0" collapsed="false">
      <c r="B611" s="44" t="str">
        <f aca="false">IF(C611="","",ROW()-9)</f>
        <v/>
      </c>
      <c r="C611" s="45"/>
      <c r="D611" s="46" t="str">
        <f aca="false">IF(C611="","",IFERROR(TEXT(C611,"MMMM"),""))</f>
        <v/>
      </c>
      <c r="E611" s="47"/>
      <c r="F611" s="48" t="str">
        <f aca="false">IF(E611="","",IFERROR(INDEX('Chart of Accounts'!$C$4:$C$200,MATCH(TEXT(E611,"@"),TEXT('Chart of Accounts'!$B$4:$B$200,"@"),0)),"⚠ Not Found"))</f>
        <v/>
      </c>
      <c r="G611" s="49"/>
      <c r="H611" s="50"/>
      <c r="I611" s="50"/>
      <c r="J611" s="47"/>
    </row>
    <row r="612" customFormat="false" ht="16.5" hidden="false" customHeight="true" outlineLevel="0" collapsed="false">
      <c r="B612" s="37" t="str">
        <f aca="false">IF(C612="","",ROW()-9)</f>
        <v/>
      </c>
      <c r="C612" s="38"/>
      <c r="D612" s="39" t="str">
        <f aca="false">IF(C612="","",IFERROR(TEXT(C612,"MMMM"),""))</f>
        <v/>
      </c>
      <c r="E612" s="40"/>
      <c r="F612" s="41" t="str">
        <f aca="false">IF(E612="","",IFERROR(INDEX('Chart of Accounts'!$C$4:$C$200,MATCH(TEXT(E612,"@"),TEXT('Chart of Accounts'!$B$4:$B$200,"@"),0)),"⚠ Not Found"))</f>
        <v/>
      </c>
      <c r="G612" s="42"/>
      <c r="H612" s="43"/>
      <c r="I612" s="43"/>
      <c r="J612" s="40"/>
    </row>
    <row r="613" customFormat="false" ht="16.5" hidden="false" customHeight="true" outlineLevel="0" collapsed="false">
      <c r="B613" s="44" t="str">
        <f aca="false">IF(C613="","",ROW()-9)</f>
        <v/>
      </c>
      <c r="C613" s="45"/>
      <c r="D613" s="46" t="str">
        <f aca="false">IF(C613="","",IFERROR(TEXT(C613,"MMMM"),""))</f>
        <v/>
      </c>
      <c r="E613" s="47"/>
      <c r="F613" s="48" t="str">
        <f aca="false">IF(E613="","",IFERROR(INDEX('Chart of Accounts'!$C$4:$C$200,MATCH(TEXT(E613,"@"),TEXT('Chart of Accounts'!$B$4:$B$200,"@"),0)),"⚠ Not Found"))</f>
        <v/>
      </c>
      <c r="G613" s="49"/>
      <c r="H613" s="50"/>
      <c r="I613" s="50"/>
      <c r="J613" s="47"/>
    </row>
    <row r="614" customFormat="false" ht="16.5" hidden="false" customHeight="true" outlineLevel="0" collapsed="false">
      <c r="B614" s="37" t="str">
        <f aca="false">IF(C614="","",ROW()-9)</f>
        <v/>
      </c>
      <c r="C614" s="38"/>
      <c r="D614" s="39" t="str">
        <f aca="false">IF(C614="","",IFERROR(TEXT(C614,"MMMM"),""))</f>
        <v/>
      </c>
      <c r="E614" s="40"/>
      <c r="F614" s="41" t="str">
        <f aca="false">IF(E614="","",IFERROR(INDEX('Chart of Accounts'!$C$4:$C$200,MATCH(TEXT(E614,"@"),TEXT('Chart of Accounts'!$B$4:$B$200,"@"),0)),"⚠ Not Found"))</f>
        <v/>
      </c>
      <c r="G614" s="42"/>
      <c r="H614" s="43"/>
      <c r="I614" s="43"/>
      <c r="J614" s="40"/>
    </row>
    <row r="615" customFormat="false" ht="16.5" hidden="false" customHeight="true" outlineLevel="0" collapsed="false">
      <c r="B615" s="44" t="str">
        <f aca="false">IF(C615="","",ROW()-9)</f>
        <v/>
      </c>
      <c r="C615" s="45"/>
      <c r="D615" s="46" t="str">
        <f aca="false">IF(C615="","",IFERROR(TEXT(C615,"MMMM"),""))</f>
        <v/>
      </c>
      <c r="E615" s="47"/>
      <c r="F615" s="48" t="str">
        <f aca="false">IF(E615="","",IFERROR(INDEX('Chart of Accounts'!$C$4:$C$200,MATCH(TEXT(E615,"@"),TEXT('Chart of Accounts'!$B$4:$B$200,"@"),0)),"⚠ Not Found"))</f>
        <v/>
      </c>
      <c r="G615" s="49"/>
      <c r="H615" s="50"/>
      <c r="I615" s="50"/>
      <c r="J615" s="47"/>
    </row>
    <row r="616" customFormat="false" ht="16.5" hidden="false" customHeight="true" outlineLevel="0" collapsed="false">
      <c r="B616" s="37" t="str">
        <f aca="false">IF(C616="","",ROW()-9)</f>
        <v/>
      </c>
      <c r="C616" s="38"/>
      <c r="D616" s="39" t="str">
        <f aca="false">IF(C616="","",IFERROR(TEXT(C616,"MMMM"),""))</f>
        <v/>
      </c>
      <c r="E616" s="40"/>
      <c r="F616" s="41" t="str">
        <f aca="false">IF(E616="","",IFERROR(INDEX('Chart of Accounts'!$C$4:$C$200,MATCH(TEXT(E616,"@"),TEXT('Chart of Accounts'!$B$4:$B$200,"@"),0)),"⚠ Not Found"))</f>
        <v/>
      </c>
      <c r="G616" s="42"/>
      <c r="H616" s="43"/>
      <c r="I616" s="43"/>
      <c r="J616" s="40"/>
    </row>
    <row r="617" customFormat="false" ht="16.5" hidden="false" customHeight="true" outlineLevel="0" collapsed="false">
      <c r="B617" s="44" t="str">
        <f aca="false">IF(C617="","",ROW()-9)</f>
        <v/>
      </c>
      <c r="C617" s="45"/>
      <c r="D617" s="46" t="str">
        <f aca="false">IF(C617="","",IFERROR(TEXT(C617,"MMMM"),""))</f>
        <v/>
      </c>
      <c r="E617" s="47"/>
      <c r="F617" s="48" t="str">
        <f aca="false">IF(E617="","",IFERROR(INDEX('Chart of Accounts'!$C$4:$C$200,MATCH(TEXT(E617,"@"),TEXT('Chart of Accounts'!$B$4:$B$200,"@"),0)),"⚠ Not Found"))</f>
        <v/>
      </c>
      <c r="G617" s="49"/>
      <c r="H617" s="50"/>
      <c r="I617" s="50"/>
      <c r="J617" s="47"/>
    </row>
    <row r="618" customFormat="false" ht="16.5" hidden="false" customHeight="true" outlineLevel="0" collapsed="false">
      <c r="B618" s="37" t="str">
        <f aca="false">IF(C618="","",ROW()-9)</f>
        <v/>
      </c>
      <c r="C618" s="38"/>
      <c r="D618" s="39" t="str">
        <f aca="false">IF(C618="","",IFERROR(TEXT(C618,"MMMM"),""))</f>
        <v/>
      </c>
      <c r="E618" s="40"/>
      <c r="F618" s="41" t="str">
        <f aca="false">IF(E618="","",IFERROR(INDEX('Chart of Accounts'!$C$4:$C$200,MATCH(TEXT(E618,"@"),TEXT('Chart of Accounts'!$B$4:$B$200,"@"),0)),"⚠ Not Found"))</f>
        <v/>
      </c>
      <c r="G618" s="42"/>
      <c r="H618" s="43"/>
      <c r="I618" s="43"/>
      <c r="J618" s="40"/>
    </row>
    <row r="619" customFormat="false" ht="16.5" hidden="false" customHeight="true" outlineLevel="0" collapsed="false">
      <c r="B619" s="44" t="str">
        <f aca="false">IF(C619="","",ROW()-9)</f>
        <v/>
      </c>
      <c r="C619" s="45"/>
      <c r="D619" s="46" t="str">
        <f aca="false">IF(C619="","",IFERROR(TEXT(C619,"MMMM"),""))</f>
        <v/>
      </c>
      <c r="E619" s="47"/>
      <c r="F619" s="48" t="str">
        <f aca="false">IF(E619="","",IFERROR(INDEX('Chart of Accounts'!$C$4:$C$200,MATCH(TEXT(E619,"@"),TEXT('Chart of Accounts'!$B$4:$B$200,"@"),0)),"⚠ Not Found"))</f>
        <v/>
      </c>
      <c r="G619" s="49"/>
      <c r="H619" s="50"/>
      <c r="I619" s="50"/>
      <c r="J619" s="47"/>
    </row>
    <row r="620" customFormat="false" ht="16.5" hidden="false" customHeight="true" outlineLevel="0" collapsed="false">
      <c r="B620" s="37" t="str">
        <f aca="false">IF(C620="","",ROW()-9)</f>
        <v/>
      </c>
      <c r="C620" s="38"/>
      <c r="D620" s="39" t="str">
        <f aca="false">IF(C620="","",IFERROR(TEXT(C620,"MMMM"),""))</f>
        <v/>
      </c>
      <c r="E620" s="40"/>
      <c r="F620" s="41" t="str">
        <f aca="false">IF(E620="","",IFERROR(INDEX('Chart of Accounts'!$C$4:$C$200,MATCH(TEXT(E620,"@"),TEXT('Chart of Accounts'!$B$4:$B$200,"@"),0)),"⚠ Not Found"))</f>
        <v/>
      </c>
      <c r="G620" s="42"/>
      <c r="H620" s="43"/>
      <c r="I620" s="43"/>
      <c r="J620" s="40"/>
    </row>
    <row r="621" customFormat="false" ht="16.5" hidden="false" customHeight="true" outlineLevel="0" collapsed="false">
      <c r="B621" s="44" t="str">
        <f aca="false">IF(C621="","",ROW()-9)</f>
        <v/>
      </c>
      <c r="C621" s="45"/>
      <c r="D621" s="46" t="str">
        <f aca="false">IF(C621="","",IFERROR(TEXT(C621,"MMMM"),""))</f>
        <v/>
      </c>
      <c r="E621" s="47"/>
      <c r="F621" s="48" t="str">
        <f aca="false">IF(E621="","",IFERROR(INDEX('Chart of Accounts'!$C$4:$C$200,MATCH(TEXT(E621,"@"),TEXT('Chart of Accounts'!$B$4:$B$200,"@"),0)),"⚠ Not Found"))</f>
        <v/>
      </c>
      <c r="G621" s="49"/>
      <c r="H621" s="50"/>
      <c r="I621" s="50"/>
      <c r="J621" s="47"/>
    </row>
    <row r="622" customFormat="false" ht="16.5" hidden="false" customHeight="true" outlineLevel="0" collapsed="false">
      <c r="B622" s="37" t="str">
        <f aca="false">IF(C622="","",ROW()-9)</f>
        <v/>
      </c>
      <c r="C622" s="38"/>
      <c r="D622" s="39" t="str">
        <f aca="false">IF(C622="","",IFERROR(TEXT(C622,"MMMM"),""))</f>
        <v/>
      </c>
      <c r="E622" s="40"/>
      <c r="F622" s="41" t="str">
        <f aca="false">IF(E622="","",IFERROR(INDEX('Chart of Accounts'!$C$4:$C$200,MATCH(TEXT(E622,"@"),TEXT('Chart of Accounts'!$B$4:$B$200,"@"),0)),"⚠ Not Found"))</f>
        <v/>
      </c>
      <c r="G622" s="42"/>
      <c r="H622" s="43"/>
      <c r="I622" s="43"/>
      <c r="J622" s="40"/>
    </row>
    <row r="623" customFormat="false" ht="16.5" hidden="false" customHeight="true" outlineLevel="0" collapsed="false">
      <c r="B623" s="44" t="str">
        <f aca="false">IF(C623="","",ROW()-9)</f>
        <v/>
      </c>
      <c r="C623" s="45"/>
      <c r="D623" s="46" t="str">
        <f aca="false">IF(C623="","",IFERROR(TEXT(C623,"MMMM"),""))</f>
        <v/>
      </c>
      <c r="E623" s="47"/>
      <c r="F623" s="48" t="str">
        <f aca="false">IF(E623="","",IFERROR(INDEX('Chart of Accounts'!$C$4:$C$200,MATCH(TEXT(E623,"@"),TEXT('Chart of Accounts'!$B$4:$B$200,"@"),0)),"⚠ Not Found"))</f>
        <v/>
      </c>
      <c r="G623" s="49"/>
      <c r="H623" s="50"/>
      <c r="I623" s="50"/>
      <c r="J623" s="47"/>
    </row>
    <row r="624" customFormat="false" ht="16.5" hidden="false" customHeight="true" outlineLevel="0" collapsed="false">
      <c r="B624" s="37" t="str">
        <f aca="false">IF(C624="","",ROW()-9)</f>
        <v/>
      </c>
      <c r="C624" s="38"/>
      <c r="D624" s="39" t="str">
        <f aca="false">IF(C624="","",IFERROR(TEXT(C624,"MMMM"),""))</f>
        <v/>
      </c>
      <c r="E624" s="40"/>
      <c r="F624" s="41" t="str">
        <f aca="false">IF(E624="","",IFERROR(INDEX('Chart of Accounts'!$C$4:$C$200,MATCH(TEXT(E624,"@"),TEXT('Chart of Accounts'!$B$4:$B$200,"@"),0)),"⚠ Not Found"))</f>
        <v/>
      </c>
      <c r="G624" s="42"/>
      <c r="H624" s="43"/>
      <c r="I624" s="43"/>
      <c r="J624" s="40"/>
    </row>
    <row r="625" customFormat="false" ht="16.5" hidden="false" customHeight="true" outlineLevel="0" collapsed="false">
      <c r="B625" s="44" t="str">
        <f aca="false">IF(C625="","",ROW()-9)</f>
        <v/>
      </c>
      <c r="C625" s="45"/>
      <c r="D625" s="46" t="str">
        <f aca="false">IF(C625="","",IFERROR(TEXT(C625,"MMMM"),""))</f>
        <v/>
      </c>
      <c r="E625" s="47"/>
      <c r="F625" s="48" t="str">
        <f aca="false">IF(E625="","",IFERROR(INDEX('Chart of Accounts'!$C$4:$C$200,MATCH(TEXT(E625,"@"),TEXT('Chart of Accounts'!$B$4:$B$200,"@"),0)),"⚠ Not Found"))</f>
        <v/>
      </c>
      <c r="G625" s="49"/>
      <c r="H625" s="50"/>
      <c r="I625" s="50"/>
      <c r="J625" s="47"/>
    </row>
    <row r="626" customFormat="false" ht="16.5" hidden="false" customHeight="true" outlineLevel="0" collapsed="false">
      <c r="B626" s="37" t="str">
        <f aca="false">IF(C626="","",ROW()-9)</f>
        <v/>
      </c>
      <c r="C626" s="38"/>
      <c r="D626" s="39" t="str">
        <f aca="false">IF(C626="","",IFERROR(TEXT(C626,"MMMM"),""))</f>
        <v/>
      </c>
      <c r="E626" s="40"/>
      <c r="F626" s="41" t="str">
        <f aca="false">IF(E626="","",IFERROR(INDEX('Chart of Accounts'!$C$4:$C$200,MATCH(TEXT(E626,"@"),TEXT('Chart of Accounts'!$B$4:$B$200,"@"),0)),"⚠ Not Found"))</f>
        <v/>
      </c>
      <c r="G626" s="42"/>
      <c r="H626" s="43"/>
      <c r="I626" s="43"/>
      <c r="J626" s="40"/>
    </row>
    <row r="627" customFormat="false" ht="16.5" hidden="false" customHeight="true" outlineLevel="0" collapsed="false">
      <c r="B627" s="44" t="str">
        <f aca="false">IF(C627="","",ROW()-9)</f>
        <v/>
      </c>
      <c r="C627" s="45"/>
      <c r="D627" s="46" t="str">
        <f aca="false">IF(C627="","",IFERROR(TEXT(C627,"MMMM"),""))</f>
        <v/>
      </c>
      <c r="E627" s="47"/>
      <c r="F627" s="48" t="str">
        <f aca="false">IF(E627="","",IFERROR(INDEX('Chart of Accounts'!$C$4:$C$200,MATCH(TEXT(E627,"@"),TEXT('Chart of Accounts'!$B$4:$B$200,"@"),0)),"⚠ Not Found"))</f>
        <v/>
      </c>
      <c r="G627" s="49"/>
      <c r="H627" s="50"/>
      <c r="I627" s="50"/>
      <c r="J627" s="47"/>
    </row>
    <row r="628" customFormat="false" ht="16.5" hidden="false" customHeight="true" outlineLevel="0" collapsed="false">
      <c r="B628" s="37" t="str">
        <f aca="false">IF(C628="","",ROW()-9)</f>
        <v/>
      </c>
      <c r="C628" s="38"/>
      <c r="D628" s="39" t="str">
        <f aca="false">IF(C628="","",IFERROR(TEXT(C628,"MMMM"),""))</f>
        <v/>
      </c>
      <c r="E628" s="40"/>
      <c r="F628" s="41" t="str">
        <f aca="false">IF(E628="","",IFERROR(INDEX('Chart of Accounts'!$C$4:$C$200,MATCH(TEXT(E628,"@"),TEXT('Chart of Accounts'!$B$4:$B$200,"@"),0)),"⚠ Not Found"))</f>
        <v/>
      </c>
      <c r="G628" s="42"/>
      <c r="H628" s="43"/>
      <c r="I628" s="43"/>
      <c r="J628" s="40"/>
    </row>
    <row r="629" customFormat="false" ht="16.5" hidden="false" customHeight="true" outlineLevel="0" collapsed="false">
      <c r="B629" s="44" t="str">
        <f aca="false">IF(C629="","",ROW()-9)</f>
        <v/>
      </c>
      <c r="C629" s="45"/>
      <c r="D629" s="46" t="str">
        <f aca="false">IF(C629="","",IFERROR(TEXT(C629,"MMMM"),""))</f>
        <v/>
      </c>
      <c r="E629" s="47"/>
      <c r="F629" s="48" t="str">
        <f aca="false">IF(E629="","",IFERROR(INDEX('Chart of Accounts'!$C$4:$C$200,MATCH(TEXT(E629,"@"),TEXT('Chart of Accounts'!$B$4:$B$200,"@"),0)),"⚠ Not Found"))</f>
        <v/>
      </c>
      <c r="G629" s="49"/>
      <c r="H629" s="50"/>
      <c r="I629" s="50"/>
      <c r="J629" s="47"/>
    </row>
    <row r="630" customFormat="false" ht="16.5" hidden="false" customHeight="true" outlineLevel="0" collapsed="false">
      <c r="B630" s="37" t="str">
        <f aca="false">IF(C630="","",ROW()-9)</f>
        <v/>
      </c>
      <c r="C630" s="38"/>
      <c r="D630" s="39" t="str">
        <f aca="false">IF(C630="","",IFERROR(TEXT(C630,"MMMM"),""))</f>
        <v/>
      </c>
      <c r="E630" s="40"/>
      <c r="F630" s="41" t="str">
        <f aca="false">IF(E630="","",IFERROR(INDEX('Chart of Accounts'!$C$4:$C$200,MATCH(TEXT(E630,"@"),TEXT('Chart of Accounts'!$B$4:$B$200,"@"),0)),"⚠ Not Found"))</f>
        <v/>
      </c>
      <c r="G630" s="42"/>
      <c r="H630" s="43"/>
      <c r="I630" s="43"/>
      <c r="J630" s="40"/>
    </row>
    <row r="631" customFormat="false" ht="16.5" hidden="false" customHeight="true" outlineLevel="0" collapsed="false">
      <c r="B631" s="44" t="str">
        <f aca="false">IF(C631="","",ROW()-9)</f>
        <v/>
      </c>
      <c r="C631" s="45"/>
      <c r="D631" s="46" t="str">
        <f aca="false">IF(C631="","",IFERROR(TEXT(C631,"MMMM"),""))</f>
        <v/>
      </c>
      <c r="E631" s="47"/>
      <c r="F631" s="48" t="str">
        <f aca="false">IF(E631="","",IFERROR(INDEX('Chart of Accounts'!$C$4:$C$200,MATCH(TEXT(E631,"@"),TEXT('Chart of Accounts'!$B$4:$B$200,"@"),0)),"⚠ Not Found"))</f>
        <v/>
      </c>
      <c r="G631" s="49"/>
      <c r="H631" s="50"/>
      <c r="I631" s="50"/>
      <c r="J631" s="47"/>
    </row>
    <row r="632" customFormat="false" ht="16.5" hidden="false" customHeight="true" outlineLevel="0" collapsed="false">
      <c r="B632" s="37" t="str">
        <f aca="false">IF(C632="","",ROW()-9)</f>
        <v/>
      </c>
      <c r="C632" s="38"/>
      <c r="D632" s="39" t="str">
        <f aca="false">IF(C632="","",IFERROR(TEXT(C632,"MMMM"),""))</f>
        <v/>
      </c>
      <c r="E632" s="40"/>
      <c r="F632" s="41" t="str">
        <f aca="false">IF(E632="","",IFERROR(INDEX('Chart of Accounts'!$C$4:$C$200,MATCH(TEXT(E632,"@"),TEXT('Chart of Accounts'!$B$4:$B$200,"@"),0)),"⚠ Not Found"))</f>
        <v/>
      </c>
      <c r="G632" s="42"/>
      <c r="H632" s="43"/>
      <c r="I632" s="43"/>
      <c r="J632" s="40"/>
    </row>
    <row r="633" customFormat="false" ht="16.5" hidden="false" customHeight="true" outlineLevel="0" collapsed="false">
      <c r="B633" s="44" t="str">
        <f aca="false">IF(C633="","",ROW()-9)</f>
        <v/>
      </c>
      <c r="C633" s="45"/>
      <c r="D633" s="46" t="str">
        <f aca="false">IF(C633="","",IFERROR(TEXT(C633,"MMMM"),""))</f>
        <v/>
      </c>
      <c r="E633" s="47"/>
      <c r="F633" s="48" t="str">
        <f aca="false">IF(E633="","",IFERROR(INDEX('Chart of Accounts'!$C$4:$C$200,MATCH(TEXT(E633,"@"),TEXT('Chart of Accounts'!$B$4:$B$200,"@"),0)),"⚠ Not Found"))</f>
        <v/>
      </c>
      <c r="G633" s="49"/>
      <c r="H633" s="50"/>
      <c r="I633" s="50"/>
      <c r="J633" s="47"/>
    </row>
    <row r="634" customFormat="false" ht="16.5" hidden="false" customHeight="true" outlineLevel="0" collapsed="false">
      <c r="B634" s="37" t="str">
        <f aca="false">IF(C634="","",ROW()-9)</f>
        <v/>
      </c>
      <c r="C634" s="38"/>
      <c r="D634" s="39" t="str">
        <f aca="false">IF(C634="","",IFERROR(TEXT(C634,"MMMM"),""))</f>
        <v/>
      </c>
      <c r="E634" s="40"/>
      <c r="F634" s="41" t="str">
        <f aca="false">IF(E634="","",IFERROR(INDEX('Chart of Accounts'!$C$4:$C$200,MATCH(TEXT(E634,"@"),TEXT('Chart of Accounts'!$B$4:$B$200,"@"),0)),"⚠ Not Found"))</f>
        <v/>
      </c>
      <c r="G634" s="42"/>
      <c r="H634" s="43"/>
      <c r="I634" s="43"/>
      <c r="J634" s="40"/>
    </row>
    <row r="635" customFormat="false" ht="16.5" hidden="false" customHeight="true" outlineLevel="0" collapsed="false">
      <c r="B635" s="44" t="str">
        <f aca="false">IF(C635="","",ROW()-9)</f>
        <v/>
      </c>
      <c r="C635" s="45"/>
      <c r="D635" s="46" t="str">
        <f aca="false">IF(C635="","",IFERROR(TEXT(C635,"MMMM"),""))</f>
        <v/>
      </c>
      <c r="E635" s="47"/>
      <c r="F635" s="48" t="str">
        <f aca="false">IF(E635="","",IFERROR(INDEX('Chart of Accounts'!$C$4:$C$200,MATCH(TEXT(E635,"@"),TEXT('Chart of Accounts'!$B$4:$B$200,"@"),0)),"⚠ Not Found"))</f>
        <v/>
      </c>
      <c r="G635" s="49"/>
      <c r="H635" s="50"/>
      <c r="I635" s="50"/>
      <c r="J635" s="47"/>
    </row>
    <row r="636" customFormat="false" ht="16.5" hidden="false" customHeight="true" outlineLevel="0" collapsed="false">
      <c r="B636" s="37" t="str">
        <f aca="false">IF(C636="","",ROW()-9)</f>
        <v/>
      </c>
      <c r="C636" s="38"/>
      <c r="D636" s="39" t="str">
        <f aca="false">IF(C636="","",IFERROR(TEXT(C636,"MMMM"),""))</f>
        <v/>
      </c>
      <c r="E636" s="40"/>
      <c r="F636" s="41" t="str">
        <f aca="false">IF(E636="","",IFERROR(INDEX('Chart of Accounts'!$C$4:$C$200,MATCH(TEXT(E636,"@"),TEXT('Chart of Accounts'!$B$4:$B$200,"@"),0)),"⚠ Not Found"))</f>
        <v/>
      </c>
      <c r="G636" s="42"/>
      <c r="H636" s="43"/>
      <c r="I636" s="43"/>
      <c r="J636" s="40"/>
    </row>
    <row r="637" customFormat="false" ht="16.5" hidden="false" customHeight="true" outlineLevel="0" collapsed="false">
      <c r="B637" s="44" t="str">
        <f aca="false">IF(C637="","",ROW()-9)</f>
        <v/>
      </c>
      <c r="C637" s="45"/>
      <c r="D637" s="46" t="str">
        <f aca="false">IF(C637="","",IFERROR(TEXT(C637,"MMMM"),""))</f>
        <v/>
      </c>
      <c r="E637" s="47"/>
      <c r="F637" s="48" t="str">
        <f aca="false">IF(E637="","",IFERROR(INDEX('Chart of Accounts'!$C$4:$C$200,MATCH(TEXT(E637,"@"),TEXT('Chart of Accounts'!$B$4:$B$200,"@"),0)),"⚠ Not Found"))</f>
        <v/>
      </c>
      <c r="G637" s="49"/>
      <c r="H637" s="50"/>
      <c r="I637" s="50"/>
      <c r="J637" s="47"/>
    </row>
    <row r="638" customFormat="false" ht="16.5" hidden="false" customHeight="true" outlineLevel="0" collapsed="false">
      <c r="B638" s="37" t="str">
        <f aca="false">IF(C638="","",ROW()-9)</f>
        <v/>
      </c>
      <c r="C638" s="38"/>
      <c r="D638" s="39" t="str">
        <f aca="false">IF(C638="","",IFERROR(TEXT(C638,"MMMM"),""))</f>
        <v/>
      </c>
      <c r="E638" s="40"/>
      <c r="F638" s="41" t="str">
        <f aca="false">IF(E638="","",IFERROR(INDEX('Chart of Accounts'!$C$4:$C$200,MATCH(TEXT(E638,"@"),TEXT('Chart of Accounts'!$B$4:$B$200,"@"),0)),"⚠ Not Found"))</f>
        <v/>
      </c>
      <c r="G638" s="42"/>
      <c r="H638" s="43"/>
      <c r="I638" s="43"/>
      <c r="J638" s="40"/>
    </row>
    <row r="639" customFormat="false" ht="16.5" hidden="false" customHeight="true" outlineLevel="0" collapsed="false">
      <c r="B639" s="44" t="str">
        <f aca="false">IF(C639="","",ROW()-9)</f>
        <v/>
      </c>
      <c r="C639" s="45"/>
      <c r="D639" s="46" t="str">
        <f aca="false">IF(C639="","",IFERROR(TEXT(C639,"MMMM"),""))</f>
        <v/>
      </c>
      <c r="E639" s="47"/>
      <c r="F639" s="48" t="str">
        <f aca="false">IF(E639="","",IFERROR(INDEX('Chart of Accounts'!$C$4:$C$200,MATCH(TEXT(E639,"@"),TEXT('Chart of Accounts'!$B$4:$B$200,"@"),0)),"⚠ Not Found"))</f>
        <v/>
      </c>
      <c r="G639" s="49"/>
      <c r="H639" s="50"/>
      <c r="I639" s="50"/>
      <c r="J639" s="47"/>
    </row>
    <row r="640" customFormat="false" ht="16.5" hidden="false" customHeight="true" outlineLevel="0" collapsed="false">
      <c r="B640" s="37" t="str">
        <f aca="false">IF(C640="","",ROW()-9)</f>
        <v/>
      </c>
      <c r="C640" s="38"/>
      <c r="D640" s="39" t="str">
        <f aca="false">IF(C640="","",IFERROR(TEXT(C640,"MMMM"),""))</f>
        <v/>
      </c>
      <c r="E640" s="40"/>
      <c r="F640" s="41" t="str">
        <f aca="false">IF(E640="","",IFERROR(INDEX('Chart of Accounts'!$C$4:$C$200,MATCH(TEXT(E640,"@"),TEXT('Chart of Accounts'!$B$4:$B$200,"@"),0)),"⚠ Not Found"))</f>
        <v/>
      </c>
      <c r="G640" s="42"/>
      <c r="H640" s="43"/>
      <c r="I640" s="43"/>
      <c r="J640" s="40"/>
    </row>
    <row r="641" customFormat="false" ht="16.5" hidden="false" customHeight="true" outlineLevel="0" collapsed="false">
      <c r="B641" s="44" t="str">
        <f aca="false">IF(C641="","",ROW()-9)</f>
        <v/>
      </c>
      <c r="C641" s="45"/>
      <c r="D641" s="46" t="str">
        <f aca="false">IF(C641="","",IFERROR(TEXT(C641,"MMMM"),""))</f>
        <v/>
      </c>
      <c r="E641" s="47"/>
      <c r="F641" s="48" t="str">
        <f aca="false">IF(E641="","",IFERROR(INDEX('Chart of Accounts'!$C$4:$C$200,MATCH(TEXT(E641,"@"),TEXT('Chart of Accounts'!$B$4:$B$200,"@"),0)),"⚠ Not Found"))</f>
        <v/>
      </c>
      <c r="G641" s="49"/>
      <c r="H641" s="50"/>
      <c r="I641" s="50"/>
      <c r="J641" s="47"/>
    </row>
    <row r="642" customFormat="false" ht="16.5" hidden="false" customHeight="true" outlineLevel="0" collapsed="false">
      <c r="B642" s="37" t="str">
        <f aca="false">IF(C642="","",ROW()-9)</f>
        <v/>
      </c>
      <c r="C642" s="38"/>
      <c r="D642" s="39" t="str">
        <f aca="false">IF(C642="","",IFERROR(TEXT(C642,"MMMM"),""))</f>
        <v/>
      </c>
      <c r="E642" s="40"/>
      <c r="F642" s="41" t="str">
        <f aca="false">IF(E642="","",IFERROR(INDEX('Chart of Accounts'!$C$4:$C$200,MATCH(TEXT(E642,"@"),TEXT('Chart of Accounts'!$B$4:$B$200,"@"),0)),"⚠ Not Found"))</f>
        <v/>
      </c>
      <c r="G642" s="42"/>
      <c r="H642" s="43"/>
      <c r="I642" s="43"/>
      <c r="J642" s="40"/>
    </row>
    <row r="643" customFormat="false" ht="16.5" hidden="false" customHeight="true" outlineLevel="0" collapsed="false">
      <c r="B643" s="44" t="str">
        <f aca="false">IF(C643="","",ROW()-9)</f>
        <v/>
      </c>
      <c r="C643" s="45"/>
      <c r="D643" s="46" t="str">
        <f aca="false">IF(C643="","",IFERROR(TEXT(C643,"MMMM"),""))</f>
        <v/>
      </c>
      <c r="E643" s="47"/>
      <c r="F643" s="48" t="str">
        <f aca="false">IF(E643="","",IFERROR(INDEX('Chart of Accounts'!$C$4:$C$200,MATCH(TEXT(E643,"@"),TEXT('Chart of Accounts'!$B$4:$B$200,"@"),0)),"⚠ Not Found"))</f>
        <v/>
      </c>
      <c r="G643" s="49"/>
      <c r="H643" s="50"/>
      <c r="I643" s="50"/>
      <c r="J643" s="47"/>
    </row>
    <row r="644" customFormat="false" ht="16.5" hidden="false" customHeight="true" outlineLevel="0" collapsed="false">
      <c r="B644" s="37" t="str">
        <f aca="false">IF(C644="","",ROW()-9)</f>
        <v/>
      </c>
      <c r="C644" s="38"/>
      <c r="D644" s="39" t="str">
        <f aca="false">IF(C644="","",IFERROR(TEXT(C644,"MMMM"),""))</f>
        <v/>
      </c>
      <c r="E644" s="40"/>
      <c r="F644" s="41" t="str">
        <f aca="false">IF(E644="","",IFERROR(INDEX('Chart of Accounts'!$C$4:$C$200,MATCH(TEXT(E644,"@"),TEXT('Chart of Accounts'!$B$4:$B$200,"@"),0)),"⚠ Not Found"))</f>
        <v/>
      </c>
      <c r="G644" s="42"/>
      <c r="H644" s="43"/>
      <c r="I644" s="43"/>
      <c r="J644" s="40"/>
    </row>
    <row r="645" customFormat="false" ht="16.5" hidden="false" customHeight="true" outlineLevel="0" collapsed="false">
      <c r="B645" s="44" t="str">
        <f aca="false">IF(C645="","",ROW()-9)</f>
        <v/>
      </c>
      <c r="C645" s="45"/>
      <c r="D645" s="46" t="str">
        <f aca="false">IF(C645="","",IFERROR(TEXT(C645,"MMMM"),""))</f>
        <v/>
      </c>
      <c r="E645" s="47"/>
      <c r="F645" s="48" t="str">
        <f aca="false">IF(E645="","",IFERROR(INDEX('Chart of Accounts'!$C$4:$C$200,MATCH(TEXT(E645,"@"),TEXT('Chart of Accounts'!$B$4:$B$200,"@"),0)),"⚠ Not Found"))</f>
        <v/>
      </c>
      <c r="G645" s="49"/>
      <c r="H645" s="50"/>
      <c r="I645" s="50"/>
      <c r="J645" s="47"/>
    </row>
    <row r="646" customFormat="false" ht="16.5" hidden="false" customHeight="true" outlineLevel="0" collapsed="false">
      <c r="B646" s="37" t="str">
        <f aca="false">IF(C646="","",ROW()-9)</f>
        <v/>
      </c>
      <c r="C646" s="38"/>
      <c r="D646" s="39" t="str">
        <f aca="false">IF(C646="","",IFERROR(TEXT(C646,"MMMM"),""))</f>
        <v/>
      </c>
      <c r="E646" s="40"/>
      <c r="F646" s="41" t="str">
        <f aca="false">IF(E646="","",IFERROR(INDEX('Chart of Accounts'!$C$4:$C$200,MATCH(TEXT(E646,"@"),TEXT('Chart of Accounts'!$B$4:$B$200,"@"),0)),"⚠ Not Found"))</f>
        <v/>
      </c>
      <c r="G646" s="42"/>
      <c r="H646" s="43"/>
      <c r="I646" s="43"/>
      <c r="J646" s="40"/>
    </row>
    <row r="647" customFormat="false" ht="16.5" hidden="false" customHeight="true" outlineLevel="0" collapsed="false">
      <c r="B647" s="44" t="str">
        <f aca="false">IF(C647="","",ROW()-9)</f>
        <v/>
      </c>
      <c r="C647" s="45"/>
      <c r="D647" s="46" t="str">
        <f aca="false">IF(C647="","",IFERROR(TEXT(C647,"MMMM"),""))</f>
        <v/>
      </c>
      <c r="E647" s="47"/>
      <c r="F647" s="48" t="str">
        <f aca="false">IF(E647="","",IFERROR(INDEX('Chart of Accounts'!$C$4:$C$200,MATCH(TEXT(E647,"@"),TEXT('Chart of Accounts'!$B$4:$B$200,"@"),0)),"⚠ Not Found"))</f>
        <v/>
      </c>
      <c r="G647" s="49"/>
      <c r="H647" s="50"/>
      <c r="I647" s="50"/>
      <c r="J647" s="47"/>
    </row>
    <row r="648" customFormat="false" ht="16.5" hidden="false" customHeight="true" outlineLevel="0" collapsed="false">
      <c r="B648" s="37" t="str">
        <f aca="false">IF(C648="","",ROW()-9)</f>
        <v/>
      </c>
      <c r="C648" s="38"/>
      <c r="D648" s="39" t="str">
        <f aca="false">IF(C648="","",IFERROR(TEXT(C648,"MMMM"),""))</f>
        <v/>
      </c>
      <c r="E648" s="40"/>
      <c r="F648" s="41" t="str">
        <f aca="false">IF(E648="","",IFERROR(INDEX('Chart of Accounts'!$C$4:$C$200,MATCH(TEXT(E648,"@"),TEXT('Chart of Accounts'!$B$4:$B$200,"@"),0)),"⚠ Not Found"))</f>
        <v/>
      </c>
      <c r="G648" s="42"/>
      <c r="H648" s="43"/>
      <c r="I648" s="43"/>
      <c r="J648" s="40"/>
    </row>
    <row r="649" customFormat="false" ht="16.5" hidden="false" customHeight="true" outlineLevel="0" collapsed="false">
      <c r="B649" s="44" t="str">
        <f aca="false">IF(C649="","",ROW()-9)</f>
        <v/>
      </c>
      <c r="C649" s="45"/>
      <c r="D649" s="46" t="str">
        <f aca="false">IF(C649="","",IFERROR(TEXT(C649,"MMMM"),""))</f>
        <v/>
      </c>
      <c r="E649" s="47"/>
      <c r="F649" s="48" t="str">
        <f aca="false">IF(E649="","",IFERROR(INDEX('Chart of Accounts'!$C$4:$C$200,MATCH(TEXT(E649,"@"),TEXT('Chart of Accounts'!$B$4:$B$200,"@"),0)),"⚠ Not Found"))</f>
        <v/>
      </c>
      <c r="G649" s="49"/>
      <c r="H649" s="50"/>
      <c r="I649" s="50"/>
      <c r="J649" s="47"/>
    </row>
    <row r="650" customFormat="false" ht="16.5" hidden="false" customHeight="true" outlineLevel="0" collapsed="false">
      <c r="B650" s="37" t="str">
        <f aca="false">IF(C650="","",ROW()-9)</f>
        <v/>
      </c>
      <c r="C650" s="38"/>
      <c r="D650" s="39" t="str">
        <f aca="false">IF(C650="","",IFERROR(TEXT(C650,"MMMM"),""))</f>
        <v/>
      </c>
      <c r="E650" s="40"/>
      <c r="F650" s="41" t="str">
        <f aca="false">IF(E650="","",IFERROR(INDEX('Chart of Accounts'!$C$4:$C$200,MATCH(TEXT(E650,"@"),TEXT('Chart of Accounts'!$B$4:$B$200,"@"),0)),"⚠ Not Found"))</f>
        <v/>
      </c>
      <c r="G650" s="42"/>
      <c r="H650" s="43"/>
      <c r="I650" s="43"/>
      <c r="J650" s="40"/>
    </row>
    <row r="651" customFormat="false" ht="16.5" hidden="false" customHeight="true" outlineLevel="0" collapsed="false">
      <c r="B651" s="44" t="str">
        <f aca="false">IF(C651="","",ROW()-9)</f>
        <v/>
      </c>
      <c r="C651" s="45"/>
      <c r="D651" s="46" t="str">
        <f aca="false">IF(C651="","",IFERROR(TEXT(C651,"MMMM"),""))</f>
        <v/>
      </c>
      <c r="E651" s="47"/>
      <c r="F651" s="48" t="str">
        <f aca="false">IF(E651="","",IFERROR(INDEX('Chart of Accounts'!$C$4:$C$200,MATCH(TEXT(E651,"@"),TEXT('Chart of Accounts'!$B$4:$B$200,"@"),0)),"⚠ Not Found"))</f>
        <v/>
      </c>
      <c r="G651" s="49"/>
      <c r="H651" s="50"/>
      <c r="I651" s="50"/>
      <c r="J651" s="47"/>
    </row>
    <row r="652" customFormat="false" ht="16.5" hidden="false" customHeight="true" outlineLevel="0" collapsed="false">
      <c r="B652" s="37" t="str">
        <f aca="false">IF(C652="","",ROW()-9)</f>
        <v/>
      </c>
      <c r="C652" s="38"/>
      <c r="D652" s="39" t="str">
        <f aca="false">IF(C652="","",IFERROR(TEXT(C652,"MMMM"),""))</f>
        <v/>
      </c>
      <c r="E652" s="40"/>
      <c r="F652" s="41" t="str">
        <f aca="false">IF(E652="","",IFERROR(INDEX('Chart of Accounts'!$C$4:$C$200,MATCH(TEXT(E652,"@"),TEXT('Chart of Accounts'!$B$4:$B$200,"@"),0)),"⚠ Not Found"))</f>
        <v/>
      </c>
      <c r="G652" s="42"/>
      <c r="H652" s="43"/>
      <c r="I652" s="43"/>
      <c r="J652" s="40"/>
    </row>
    <row r="653" customFormat="false" ht="16.5" hidden="false" customHeight="true" outlineLevel="0" collapsed="false">
      <c r="B653" s="44" t="str">
        <f aca="false">IF(C653="","",ROW()-9)</f>
        <v/>
      </c>
      <c r="C653" s="45"/>
      <c r="D653" s="46" t="str">
        <f aca="false">IF(C653="","",IFERROR(TEXT(C653,"MMMM"),""))</f>
        <v/>
      </c>
      <c r="E653" s="47"/>
      <c r="F653" s="48" t="str">
        <f aca="false">IF(E653="","",IFERROR(INDEX('Chart of Accounts'!$C$4:$C$200,MATCH(TEXT(E653,"@"),TEXT('Chart of Accounts'!$B$4:$B$200,"@"),0)),"⚠ Not Found"))</f>
        <v/>
      </c>
      <c r="G653" s="49"/>
      <c r="H653" s="50"/>
      <c r="I653" s="50"/>
      <c r="J653" s="47"/>
    </row>
    <row r="654" customFormat="false" ht="16.5" hidden="false" customHeight="true" outlineLevel="0" collapsed="false">
      <c r="B654" s="37" t="str">
        <f aca="false">IF(C654="","",ROW()-9)</f>
        <v/>
      </c>
      <c r="C654" s="38"/>
      <c r="D654" s="39" t="str">
        <f aca="false">IF(C654="","",IFERROR(TEXT(C654,"MMMM"),""))</f>
        <v/>
      </c>
      <c r="E654" s="40"/>
      <c r="F654" s="41" t="str">
        <f aca="false">IF(E654="","",IFERROR(INDEX('Chart of Accounts'!$C$4:$C$200,MATCH(TEXT(E654,"@"),TEXT('Chart of Accounts'!$B$4:$B$200,"@"),0)),"⚠ Not Found"))</f>
        <v/>
      </c>
      <c r="G654" s="42"/>
      <c r="H654" s="43"/>
      <c r="I654" s="43"/>
      <c r="J654" s="40"/>
    </row>
    <row r="655" customFormat="false" ht="16.5" hidden="false" customHeight="true" outlineLevel="0" collapsed="false">
      <c r="B655" s="44" t="str">
        <f aca="false">IF(C655="","",ROW()-9)</f>
        <v/>
      </c>
      <c r="C655" s="45"/>
      <c r="D655" s="46" t="str">
        <f aca="false">IF(C655="","",IFERROR(TEXT(C655,"MMMM"),""))</f>
        <v/>
      </c>
      <c r="E655" s="47"/>
      <c r="F655" s="48" t="str">
        <f aca="false">IF(E655="","",IFERROR(INDEX('Chart of Accounts'!$C$4:$C$200,MATCH(TEXT(E655,"@"),TEXT('Chart of Accounts'!$B$4:$B$200,"@"),0)),"⚠ Not Found"))</f>
        <v/>
      </c>
      <c r="G655" s="49"/>
      <c r="H655" s="50"/>
      <c r="I655" s="50"/>
      <c r="J655" s="47"/>
    </row>
    <row r="656" customFormat="false" ht="16.5" hidden="false" customHeight="true" outlineLevel="0" collapsed="false">
      <c r="B656" s="37" t="str">
        <f aca="false">IF(C656="","",ROW()-9)</f>
        <v/>
      </c>
      <c r="C656" s="38"/>
      <c r="D656" s="39" t="str">
        <f aca="false">IF(C656="","",IFERROR(TEXT(C656,"MMMM"),""))</f>
        <v/>
      </c>
      <c r="E656" s="40"/>
      <c r="F656" s="41" t="str">
        <f aca="false">IF(E656="","",IFERROR(INDEX('Chart of Accounts'!$C$4:$C$200,MATCH(TEXT(E656,"@"),TEXT('Chart of Accounts'!$B$4:$B$200,"@"),0)),"⚠ Not Found"))</f>
        <v/>
      </c>
      <c r="G656" s="42"/>
      <c r="H656" s="43"/>
      <c r="I656" s="43"/>
      <c r="J656" s="40"/>
    </row>
    <row r="657" customFormat="false" ht="16.5" hidden="false" customHeight="true" outlineLevel="0" collapsed="false">
      <c r="B657" s="44" t="str">
        <f aca="false">IF(C657="","",ROW()-9)</f>
        <v/>
      </c>
      <c r="C657" s="45"/>
      <c r="D657" s="46" t="str">
        <f aca="false">IF(C657="","",IFERROR(TEXT(C657,"MMMM"),""))</f>
        <v/>
      </c>
      <c r="E657" s="47"/>
      <c r="F657" s="48" t="str">
        <f aca="false">IF(E657="","",IFERROR(INDEX('Chart of Accounts'!$C$4:$C$200,MATCH(TEXT(E657,"@"),TEXT('Chart of Accounts'!$B$4:$B$200,"@"),0)),"⚠ Not Found"))</f>
        <v/>
      </c>
      <c r="G657" s="49"/>
      <c r="H657" s="50"/>
      <c r="I657" s="50"/>
      <c r="J657" s="47"/>
    </row>
    <row r="658" customFormat="false" ht="16.5" hidden="false" customHeight="true" outlineLevel="0" collapsed="false">
      <c r="B658" s="37" t="str">
        <f aca="false">IF(C658="","",ROW()-9)</f>
        <v/>
      </c>
      <c r="C658" s="38"/>
      <c r="D658" s="39" t="str">
        <f aca="false">IF(C658="","",IFERROR(TEXT(C658,"MMMM"),""))</f>
        <v/>
      </c>
      <c r="E658" s="40"/>
      <c r="F658" s="41" t="str">
        <f aca="false">IF(E658="","",IFERROR(INDEX('Chart of Accounts'!$C$4:$C$200,MATCH(TEXT(E658,"@"),TEXT('Chart of Accounts'!$B$4:$B$200,"@"),0)),"⚠ Not Found"))</f>
        <v/>
      </c>
      <c r="G658" s="42"/>
      <c r="H658" s="43"/>
      <c r="I658" s="43"/>
      <c r="J658" s="40"/>
    </row>
    <row r="659" customFormat="false" ht="16.5" hidden="false" customHeight="true" outlineLevel="0" collapsed="false">
      <c r="B659" s="44" t="str">
        <f aca="false">IF(C659="","",ROW()-9)</f>
        <v/>
      </c>
      <c r="C659" s="45"/>
      <c r="D659" s="46" t="str">
        <f aca="false">IF(C659="","",IFERROR(TEXT(C659,"MMMM"),""))</f>
        <v/>
      </c>
      <c r="E659" s="47"/>
      <c r="F659" s="48" t="str">
        <f aca="false">IF(E659="","",IFERROR(INDEX('Chart of Accounts'!$C$4:$C$200,MATCH(TEXT(E659,"@"),TEXT('Chart of Accounts'!$B$4:$B$200,"@"),0)),"⚠ Not Found"))</f>
        <v/>
      </c>
      <c r="G659" s="49"/>
      <c r="H659" s="50"/>
      <c r="I659" s="50"/>
      <c r="J659" s="47"/>
    </row>
    <row r="660" customFormat="false" ht="16.5" hidden="false" customHeight="true" outlineLevel="0" collapsed="false">
      <c r="B660" s="37" t="str">
        <f aca="false">IF(C660="","",ROW()-9)</f>
        <v/>
      </c>
      <c r="C660" s="38"/>
      <c r="D660" s="39" t="str">
        <f aca="false">IF(C660="","",IFERROR(TEXT(C660,"MMMM"),""))</f>
        <v/>
      </c>
      <c r="E660" s="40"/>
      <c r="F660" s="41" t="str">
        <f aca="false">IF(E660="","",IFERROR(INDEX('Chart of Accounts'!$C$4:$C$200,MATCH(TEXT(E660,"@"),TEXT('Chart of Accounts'!$B$4:$B$200,"@"),0)),"⚠ Not Found"))</f>
        <v/>
      </c>
      <c r="G660" s="42"/>
      <c r="H660" s="43"/>
      <c r="I660" s="43"/>
      <c r="J660" s="40"/>
    </row>
    <row r="661" customFormat="false" ht="16.5" hidden="false" customHeight="true" outlineLevel="0" collapsed="false">
      <c r="B661" s="44" t="str">
        <f aca="false">IF(C661="","",ROW()-9)</f>
        <v/>
      </c>
      <c r="C661" s="45"/>
      <c r="D661" s="46" t="str">
        <f aca="false">IF(C661="","",IFERROR(TEXT(C661,"MMMM"),""))</f>
        <v/>
      </c>
      <c r="E661" s="47"/>
      <c r="F661" s="48" t="str">
        <f aca="false">IF(E661="","",IFERROR(INDEX('Chart of Accounts'!$C$4:$C$200,MATCH(TEXT(E661,"@"),TEXT('Chart of Accounts'!$B$4:$B$200,"@"),0)),"⚠ Not Found"))</f>
        <v/>
      </c>
      <c r="G661" s="49"/>
      <c r="H661" s="50"/>
      <c r="I661" s="50"/>
      <c r="J661" s="47"/>
    </row>
    <row r="662" customFormat="false" ht="16.5" hidden="false" customHeight="true" outlineLevel="0" collapsed="false">
      <c r="B662" s="37" t="str">
        <f aca="false">IF(C662="","",ROW()-9)</f>
        <v/>
      </c>
      <c r="C662" s="38"/>
      <c r="D662" s="39" t="str">
        <f aca="false">IF(C662="","",IFERROR(TEXT(C662,"MMMM"),""))</f>
        <v/>
      </c>
      <c r="E662" s="40"/>
      <c r="F662" s="41" t="str">
        <f aca="false">IF(E662="","",IFERROR(INDEX('Chart of Accounts'!$C$4:$C$200,MATCH(TEXT(E662,"@"),TEXT('Chart of Accounts'!$B$4:$B$200,"@"),0)),"⚠ Not Found"))</f>
        <v/>
      </c>
      <c r="G662" s="42"/>
      <c r="H662" s="43"/>
      <c r="I662" s="43"/>
      <c r="J662" s="40"/>
    </row>
    <row r="663" customFormat="false" ht="16.5" hidden="false" customHeight="true" outlineLevel="0" collapsed="false">
      <c r="B663" s="44" t="str">
        <f aca="false">IF(C663="","",ROW()-9)</f>
        <v/>
      </c>
      <c r="C663" s="45"/>
      <c r="D663" s="46" t="str">
        <f aca="false">IF(C663="","",IFERROR(TEXT(C663,"MMMM"),""))</f>
        <v/>
      </c>
      <c r="E663" s="47"/>
      <c r="F663" s="48" t="str">
        <f aca="false">IF(E663="","",IFERROR(INDEX('Chart of Accounts'!$C$4:$C$200,MATCH(TEXT(E663,"@"),TEXT('Chart of Accounts'!$B$4:$B$200,"@"),0)),"⚠ Not Found"))</f>
        <v/>
      </c>
      <c r="G663" s="49"/>
      <c r="H663" s="50"/>
      <c r="I663" s="50"/>
      <c r="J663" s="47"/>
    </row>
    <row r="664" customFormat="false" ht="16.5" hidden="false" customHeight="true" outlineLevel="0" collapsed="false">
      <c r="B664" s="37" t="str">
        <f aca="false">IF(C664="","",ROW()-9)</f>
        <v/>
      </c>
      <c r="C664" s="38"/>
      <c r="D664" s="39" t="str">
        <f aca="false">IF(C664="","",IFERROR(TEXT(C664,"MMMM"),""))</f>
        <v/>
      </c>
      <c r="E664" s="40"/>
      <c r="F664" s="41" t="str">
        <f aca="false">IF(E664="","",IFERROR(INDEX('Chart of Accounts'!$C$4:$C$200,MATCH(TEXT(E664,"@"),TEXT('Chart of Accounts'!$B$4:$B$200,"@"),0)),"⚠ Not Found"))</f>
        <v/>
      </c>
      <c r="G664" s="42"/>
      <c r="H664" s="43"/>
      <c r="I664" s="43"/>
      <c r="J664" s="40"/>
    </row>
    <row r="665" customFormat="false" ht="16.5" hidden="false" customHeight="true" outlineLevel="0" collapsed="false">
      <c r="B665" s="44" t="str">
        <f aca="false">IF(C665="","",ROW()-9)</f>
        <v/>
      </c>
      <c r="C665" s="45"/>
      <c r="D665" s="46" t="str">
        <f aca="false">IF(C665="","",IFERROR(TEXT(C665,"MMMM"),""))</f>
        <v/>
      </c>
      <c r="E665" s="47"/>
      <c r="F665" s="48" t="str">
        <f aca="false">IF(E665="","",IFERROR(INDEX('Chart of Accounts'!$C$4:$C$200,MATCH(TEXT(E665,"@"),TEXT('Chart of Accounts'!$B$4:$B$200,"@"),0)),"⚠ Not Found"))</f>
        <v/>
      </c>
      <c r="G665" s="49"/>
      <c r="H665" s="50"/>
      <c r="I665" s="50"/>
      <c r="J665" s="47"/>
    </row>
    <row r="666" customFormat="false" ht="16.5" hidden="false" customHeight="true" outlineLevel="0" collapsed="false">
      <c r="B666" s="37" t="str">
        <f aca="false">IF(C666="","",ROW()-9)</f>
        <v/>
      </c>
      <c r="C666" s="38"/>
      <c r="D666" s="39" t="str">
        <f aca="false">IF(C666="","",IFERROR(TEXT(C666,"MMMM"),""))</f>
        <v/>
      </c>
      <c r="E666" s="40"/>
      <c r="F666" s="41" t="str">
        <f aca="false">IF(E666="","",IFERROR(INDEX('Chart of Accounts'!$C$4:$C$200,MATCH(TEXT(E666,"@"),TEXT('Chart of Accounts'!$B$4:$B$200,"@"),0)),"⚠ Not Found"))</f>
        <v/>
      </c>
      <c r="G666" s="42"/>
      <c r="H666" s="43"/>
      <c r="I666" s="43"/>
      <c r="J666" s="40"/>
    </row>
    <row r="667" customFormat="false" ht="16.5" hidden="false" customHeight="true" outlineLevel="0" collapsed="false">
      <c r="B667" s="44" t="str">
        <f aca="false">IF(C667="","",ROW()-9)</f>
        <v/>
      </c>
      <c r="C667" s="45"/>
      <c r="D667" s="46" t="str">
        <f aca="false">IF(C667="","",IFERROR(TEXT(C667,"MMMM"),""))</f>
        <v/>
      </c>
      <c r="E667" s="47"/>
      <c r="F667" s="48" t="str">
        <f aca="false">IF(E667="","",IFERROR(INDEX('Chart of Accounts'!$C$4:$C$200,MATCH(TEXT(E667,"@"),TEXT('Chart of Accounts'!$B$4:$B$200,"@"),0)),"⚠ Not Found"))</f>
        <v/>
      </c>
      <c r="G667" s="49"/>
      <c r="H667" s="50"/>
      <c r="I667" s="50"/>
      <c r="J667" s="47"/>
    </row>
    <row r="668" customFormat="false" ht="16.5" hidden="false" customHeight="true" outlineLevel="0" collapsed="false">
      <c r="B668" s="37" t="str">
        <f aca="false">IF(C668="","",ROW()-9)</f>
        <v/>
      </c>
      <c r="C668" s="38"/>
      <c r="D668" s="39" t="str">
        <f aca="false">IF(C668="","",IFERROR(TEXT(C668,"MMMM"),""))</f>
        <v/>
      </c>
      <c r="E668" s="40"/>
      <c r="F668" s="41" t="str">
        <f aca="false">IF(E668="","",IFERROR(INDEX('Chart of Accounts'!$C$4:$C$200,MATCH(TEXT(E668,"@"),TEXT('Chart of Accounts'!$B$4:$B$200,"@"),0)),"⚠ Not Found"))</f>
        <v/>
      </c>
      <c r="G668" s="42"/>
      <c r="H668" s="43"/>
      <c r="I668" s="43"/>
      <c r="J668" s="40"/>
    </row>
    <row r="669" customFormat="false" ht="16.5" hidden="false" customHeight="true" outlineLevel="0" collapsed="false">
      <c r="B669" s="44" t="str">
        <f aca="false">IF(C669="","",ROW()-9)</f>
        <v/>
      </c>
      <c r="C669" s="45"/>
      <c r="D669" s="46" t="str">
        <f aca="false">IF(C669="","",IFERROR(TEXT(C669,"MMMM"),""))</f>
        <v/>
      </c>
      <c r="E669" s="47"/>
      <c r="F669" s="48" t="str">
        <f aca="false">IF(E669="","",IFERROR(INDEX('Chart of Accounts'!$C$4:$C$200,MATCH(TEXT(E669,"@"),TEXT('Chart of Accounts'!$B$4:$B$200,"@"),0)),"⚠ Not Found"))</f>
        <v/>
      </c>
      <c r="G669" s="49"/>
      <c r="H669" s="50"/>
      <c r="I669" s="50"/>
      <c r="J669" s="47"/>
    </row>
    <row r="670" customFormat="false" ht="16.5" hidden="false" customHeight="true" outlineLevel="0" collapsed="false">
      <c r="B670" s="37" t="str">
        <f aca="false">IF(C670="","",ROW()-9)</f>
        <v/>
      </c>
      <c r="C670" s="38"/>
      <c r="D670" s="39" t="str">
        <f aca="false">IF(C670="","",IFERROR(TEXT(C670,"MMMM"),""))</f>
        <v/>
      </c>
      <c r="E670" s="40"/>
      <c r="F670" s="41" t="str">
        <f aca="false">IF(E670="","",IFERROR(INDEX('Chart of Accounts'!$C$4:$C$200,MATCH(TEXT(E670,"@"),TEXT('Chart of Accounts'!$B$4:$B$200,"@"),0)),"⚠ Not Found"))</f>
        <v/>
      </c>
      <c r="G670" s="42"/>
      <c r="H670" s="43"/>
      <c r="I670" s="43"/>
      <c r="J670" s="40"/>
    </row>
    <row r="671" customFormat="false" ht="16.5" hidden="false" customHeight="true" outlineLevel="0" collapsed="false">
      <c r="B671" s="44" t="str">
        <f aca="false">IF(C671="","",ROW()-9)</f>
        <v/>
      </c>
      <c r="C671" s="45"/>
      <c r="D671" s="46" t="str">
        <f aca="false">IF(C671="","",IFERROR(TEXT(C671,"MMMM"),""))</f>
        <v/>
      </c>
      <c r="E671" s="47"/>
      <c r="F671" s="48" t="str">
        <f aca="false">IF(E671="","",IFERROR(INDEX('Chart of Accounts'!$C$4:$C$200,MATCH(TEXT(E671,"@"),TEXT('Chart of Accounts'!$B$4:$B$200,"@"),0)),"⚠ Not Found"))</f>
        <v/>
      </c>
      <c r="G671" s="49"/>
      <c r="H671" s="50"/>
      <c r="I671" s="50"/>
      <c r="J671" s="47"/>
    </row>
    <row r="672" customFormat="false" ht="16.5" hidden="false" customHeight="true" outlineLevel="0" collapsed="false">
      <c r="B672" s="37" t="str">
        <f aca="false">IF(C672="","",ROW()-9)</f>
        <v/>
      </c>
      <c r="C672" s="38"/>
      <c r="D672" s="39" t="str">
        <f aca="false">IF(C672="","",IFERROR(TEXT(C672,"MMMM"),""))</f>
        <v/>
      </c>
      <c r="E672" s="40"/>
      <c r="F672" s="41" t="str">
        <f aca="false">IF(E672="","",IFERROR(INDEX('Chart of Accounts'!$C$4:$C$200,MATCH(TEXT(E672,"@"),TEXT('Chart of Accounts'!$B$4:$B$200,"@"),0)),"⚠ Not Found"))</f>
        <v/>
      </c>
      <c r="G672" s="42"/>
      <c r="H672" s="43"/>
      <c r="I672" s="43"/>
      <c r="J672" s="40"/>
    </row>
    <row r="673" customFormat="false" ht="16.5" hidden="false" customHeight="true" outlineLevel="0" collapsed="false">
      <c r="B673" s="44" t="str">
        <f aca="false">IF(C673="","",ROW()-9)</f>
        <v/>
      </c>
      <c r="C673" s="45"/>
      <c r="D673" s="46" t="str">
        <f aca="false">IF(C673="","",IFERROR(TEXT(C673,"MMMM"),""))</f>
        <v/>
      </c>
      <c r="E673" s="47"/>
      <c r="F673" s="48" t="str">
        <f aca="false">IF(E673="","",IFERROR(INDEX('Chart of Accounts'!$C$4:$C$200,MATCH(TEXT(E673,"@"),TEXT('Chart of Accounts'!$B$4:$B$200,"@"),0)),"⚠ Not Found"))</f>
        <v/>
      </c>
      <c r="G673" s="49"/>
      <c r="H673" s="50"/>
      <c r="I673" s="50"/>
      <c r="J673" s="47"/>
    </row>
    <row r="674" customFormat="false" ht="16.5" hidden="false" customHeight="true" outlineLevel="0" collapsed="false">
      <c r="B674" s="37" t="str">
        <f aca="false">IF(C674="","",ROW()-9)</f>
        <v/>
      </c>
      <c r="C674" s="38"/>
      <c r="D674" s="39" t="str">
        <f aca="false">IF(C674="","",IFERROR(TEXT(C674,"MMMM"),""))</f>
        <v/>
      </c>
      <c r="E674" s="40"/>
      <c r="F674" s="41" t="str">
        <f aca="false">IF(E674="","",IFERROR(INDEX('Chart of Accounts'!$C$4:$C$200,MATCH(TEXT(E674,"@"),TEXT('Chart of Accounts'!$B$4:$B$200,"@"),0)),"⚠ Not Found"))</f>
        <v/>
      </c>
      <c r="G674" s="42"/>
      <c r="H674" s="43"/>
      <c r="I674" s="43"/>
      <c r="J674" s="40"/>
    </row>
    <row r="675" customFormat="false" ht="16.5" hidden="false" customHeight="true" outlineLevel="0" collapsed="false">
      <c r="B675" s="44" t="str">
        <f aca="false">IF(C675="","",ROW()-9)</f>
        <v/>
      </c>
      <c r="C675" s="45"/>
      <c r="D675" s="46" t="str">
        <f aca="false">IF(C675="","",IFERROR(TEXT(C675,"MMMM"),""))</f>
        <v/>
      </c>
      <c r="E675" s="47"/>
      <c r="F675" s="48" t="str">
        <f aca="false">IF(E675="","",IFERROR(INDEX('Chart of Accounts'!$C$4:$C$200,MATCH(TEXT(E675,"@"),TEXT('Chart of Accounts'!$B$4:$B$200,"@"),0)),"⚠ Not Found"))</f>
        <v/>
      </c>
      <c r="G675" s="49"/>
      <c r="H675" s="50"/>
      <c r="I675" s="50"/>
      <c r="J675" s="47"/>
    </row>
    <row r="676" customFormat="false" ht="16.5" hidden="false" customHeight="true" outlineLevel="0" collapsed="false">
      <c r="B676" s="37" t="str">
        <f aca="false">IF(C676="","",ROW()-9)</f>
        <v/>
      </c>
      <c r="C676" s="38"/>
      <c r="D676" s="39" t="str">
        <f aca="false">IF(C676="","",IFERROR(TEXT(C676,"MMMM"),""))</f>
        <v/>
      </c>
      <c r="E676" s="40"/>
      <c r="F676" s="41" t="str">
        <f aca="false">IF(E676="","",IFERROR(INDEX('Chart of Accounts'!$C$4:$C$200,MATCH(TEXT(E676,"@"),TEXT('Chart of Accounts'!$B$4:$B$200,"@"),0)),"⚠ Not Found"))</f>
        <v/>
      </c>
      <c r="G676" s="42"/>
      <c r="H676" s="43"/>
      <c r="I676" s="43"/>
      <c r="J676" s="40"/>
    </row>
    <row r="677" customFormat="false" ht="16.5" hidden="false" customHeight="true" outlineLevel="0" collapsed="false">
      <c r="B677" s="44" t="str">
        <f aca="false">IF(C677="","",ROW()-9)</f>
        <v/>
      </c>
      <c r="C677" s="45"/>
      <c r="D677" s="46" t="str">
        <f aca="false">IF(C677="","",IFERROR(TEXT(C677,"MMMM"),""))</f>
        <v/>
      </c>
      <c r="E677" s="47"/>
      <c r="F677" s="48" t="str">
        <f aca="false">IF(E677="","",IFERROR(INDEX('Chart of Accounts'!$C$4:$C$200,MATCH(TEXT(E677,"@"),TEXT('Chart of Accounts'!$B$4:$B$200,"@"),0)),"⚠ Not Found"))</f>
        <v/>
      </c>
      <c r="G677" s="49"/>
      <c r="H677" s="50"/>
      <c r="I677" s="50"/>
      <c r="J677" s="47"/>
    </row>
    <row r="678" customFormat="false" ht="16.5" hidden="false" customHeight="true" outlineLevel="0" collapsed="false">
      <c r="B678" s="37" t="str">
        <f aca="false">IF(C678="","",ROW()-9)</f>
        <v/>
      </c>
      <c r="C678" s="38"/>
      <c r="D678" s="39" t="str">
        <f aca="false">IF(C678="","",IFERROR(TEXT(C678,"MMMM"),""))</f>
        <v/>
      </c>
      <c r="E678" s="40"/>
      <c r="F678" s="41" t="str">
        <f aca="false">IF(E678="","",IFERROR(INDEX('Chart of Accounts'!$C$4:$C$200,MATCH(TEXT(E678,"@"),TEXT('Chart of Accounts'!$B$4:$B$200,"@"),0)),"⚠ Not Found"))</f>
        <v/>
      </c>
      <c r="G678" s="42"/>
      <c r="H678" s="43"/>
      <c r="I678" s="43"/>
      <c r="J678" s="40"/>
    </row>
    <row r="679" customFormat="false" ht="16.5" hidden="false" customHeight="true" outlineLevel="0" collapsed="false">
      <c r="B679" s="44" t="str">
        <f aca="false">IF(C679="","",ROW()-9)</f>
        <v/>
      </c>
      <c r="C679" s="45"/>
      <c r="D679" s="46" t="str">
        <f aca="false">IF(C679="","",IFERROR(TEXT(C679,"MMMM"),""))</f>
        <v/>
      </c>
      <c r="E679" s="47"/>
      <c r="F679" s="48" t="str">
        <f aca="false">IF(E679="","",IFERROR(INDEX('Chart of Accounts'!$C$4:$C$200,MATCH(TEXT(E679,"@"),TEXT('Chart of Accounts'!$B$4:$B$200,"@"),0)),"⚠ Not Found"))</f>
        <v/>
      </c>
      <c r="G679" s="49"/>
      <c r="H679" s="50"/>
      <c r="I679" s="50"/>
      <c r="J679" s="47"/>
    </row>
    <row r="680" customFormat="false" ht="16.5" hidden="false" customHeight="true" outlineLevel="0" collapsed="false">
      <c r="B680" s="37" t="str">
        <f aca="false">IF(C680="","",ROW()-9)</f>
        <v/>
      </c>
      <c r="C680" s="38"/>
      <c r="D680" s="39" t="str">
        <f aca="false">IF(C680="","",IFERROR(TEXT(C680,"MMMM"),""))</f>
        <v/>
      </c>
      <c r="E680" s="40"/>
      <c r="F680" s="41" t="str">
        <f aca="false">IF(E680="","",IFERROR(INDEX('Chart of Accounts'!$C$4:$C$200,MATCH(TEXT(E680,"@"),TEXT('Chart of Accounts'!$B$4:$B$200,"@"),0)),"⚠ Not Found"))</f>
        <v/>
      </c>
      <c r="G680" s="42"/>
      <c r="H680" s="43"/>
      <c r="I680" s="43"/>
      <c r="J680" s="40"/>
    </row>
    <row r="681" customFormat="false" ht="16.5" hidden="false" customHeight="true" outlineLevel="0" collapsed="false">
      <c r="B681" s="44" t="str">
        <f aca="false">IF(C681="","",ROW()-9)</f>
        <v/>
      </c>
      <c r="C681" s="45"/>
      <c r="D681" s="46" t="str">
        <f aca="false">IF(C681="","",IFERROR(TEXT(C681,"MMMM"),""))</f>
        <v/>
      </c>
      <c r="E681" s="47"/>
      <c r="F681" s="48" t="str">
        <f aca="false">IF(E681="","",IFERROR(INDEX('Chart of Accounts'!$C$4:$C$200,MATCH(TEXT(E681,"@"),TEXT('Chart of Accounts'!$B$4:$B$200,"@"),0)),"⚠ Not Found"))</f>
        <v/>
      </c>
      <c r="G681" s="49"/>
      <c r="H681" s="50"/>
      <c r="I681" s="50"/>
      <c r="J681" s="47"/>
    </row>
    <row r="682" customFormat="false" ht="16.5" hidden="false" customHeight="true" outlineLevel="0" collapsed="false">
      <c r="B682" s="37" t="str">
        <f aca="false">IF(C682="","",ROW()-9)</f>
        <v/>
      </c>
      <c r="C682" s="38"/>
      <c r="D682" s="39" t="str">
        <f aca="false">IF(C682="","",IFERROR(TEXT(C682,"MMMM"),""))</f>
        <v/>
      </c>
      <c r="E682" s="40"/>
      <c r="F682" s="41" t="str">
        <f aca="false">IF(E682="","",IFERROR(INDEX('Chart of Accounts'!$C$4:$C$200,MATCH(TEXT(E682,"@"),TEXT('Chart of Accounts'!$B$4:$B$200,"@"),0)),"⚠ Not Found"))</f>
        <v/>
      </c>
      <c r="G682" s="42"/>
      <c r="H682" s="43"/>
      <c r="I682" s="43"/>
      <c r="J682" s="40"/>
    </row>
    <row r="683" customFormat="false" ht="16.5" hidden="false" customHeight="true" outlineLevel="0" collapsed="false">
      <c r="B683" s="44" t="str">
        <f aca="false">IF(C683="","",ROW()-9)</f>
        <v/>
      </c>
      <c r="C683" s="45"/>
      <c r="D683" s="46" t="str">
        <f aca="false">IF(C683="","",IFERROR(TEXT(C683,"MMMM"),""))</f>
        <v/>
      </c>
      <c r="E683" s="47"/>
      <c r="F683" s="48" t="str">
        <f aca="false">IF(E683="","",IFERROR(INDEX('Chart of Accounts'!$C$4:$C$200,MATCH(TEXT(E683,"@"),TEXT('Chart of Accounts'!$B$4:$B$200,"@"),0)),"⚠ Not Found"))</f>
        <v/>
      </c>
      <c r="G683" s="49"/>
      <c r="H683" s="50"/>
      <c r="I683" s="50"/>
      <c r="J683" s="47"/>
    </row>
    <row r="684" customFormat="false" ht="16.5" hidden="false" customHeight="true" outlineLevel="0" collapsed="false">
      <c r="B684" s="37" t="str">
        <f aca="false">IF(C684="","",ROW()-9)</f>
        <v/>
      </c>
      <c r="C684" s="38"/>
      <c r="D684" s="39" t="str">
        <f aca="false">IF(C684="","",IFERROR(TEXT(C684,"MMMM"),""))</f>
        <v/>
      </c>
      <c r="E684" s="40"/>
      <c r="F684" s="41" t="str">
        <f aca="false">IF(E684="","",IFERROR(INDEX('Chart of Accounts'!$C$4:$C$200,MATCH(TEXT(E684,"@"),TEXT('Chart of Accounts'!$B$4:$B$200,"@"),0)),"⚠ Not Found"))</f>
        <v/>
      </c>
      <c r="G684" s="42"/>
      <c r="H684" s="43"/>
      <c r="I684" s="43"/>
      <c r="J684" s="40"/>
    </row>
    <row r="685" customFormat="false" ht="16.5" hidden="false" customHeight="true" outlineLevel="0" collapsed="false">
      <c r="B685" s="44" t="str">
        <f aca="false">IF(C685="","",ROW()-9)</f>
        <v/>
      </c>
      <c r="C685" s="45"/>
      <c r="D685" s="46" t="str">
        <f aca="false">IF(C685="","",IFERROR(TEXT(C685,"MMMM"),""))</f>
        <v/>
      </c>
      <c r="E685" s="47"/>
      <c r="F685" s="48" t="str">
        <f aca="false">IF(E685="","",IFERROR(INDEX('Chart of Accounts'!$C$4:$C$200,MATCH(TEXT(E685,"@"),TEXT('Chart of Accounts'!$B$4:$B$200,"@"),0)),"⚠ Not Found"))</f>
        <v/>
      </c>
      <c r="G685" s="49"/>
      <c r="H685" s="50"/>
      <c r="I685" s="50"/>
      <c r="J685" s="47"/>
    </row>
    <row r="686" customFormat="false" ht="16.5" hidden="false" customHeight="true" outlineLevel="0" collapsed="false">
      <c r="B686" s="37" t="str">
        <f aca="false">IF(C686="","",ROW()-9)</f>
        <v/>
      </c>
      <c r="C686" s="38"/>
      <c r="D686" s="39" t="str">
        <f aca="false">IF(C686="","",IFERROR(TEXT(C686,"MMMM"),""))</f>
        <v/>
      </c>
      <c r="E686" s="40"/>
      <c r="F686" s="41" t="str">
        <f aca="false">IF(E686="","",IFERROR(INDEX('Chart of Accounts'!$C$4:$C$200,MATCH(TEXT(E686,"@"),TEXT('Chart of Accounts'!$B$4:$B$200,"@"),0)),"⚠ Not Found"))</f>
        <v/>
      </c>
      <c r="G686" s="42"/>
      <c r="H686" s="43"/>
      <c r="I686" s="43"/>
      <c r="J686" s="40"/>
    </row>
    <row r="687" customFormat="false" ht="16.5" hidden="false" customHeight="true" outlineLevel="0" collapsed="false">
      <c r="B687" s="44" t="str">
        <f aca="false">IF(C687="","",ROW()-9)</f>
        <v/>
      </c>
      <c r="C687" s="45"/>
      <c r="D687" s="46" t="str">
        <f aca="false">IF(C687="","",IFERROR(TEXT(C687,"MMMM"),""))</f>
        <v/>
      </c>
      <c r="E687" s="47"/>
      <c r="F687" s="48" t="str">
        <f aca="false">IF(E687="","",IFERROR(INDEX('Chart of Accounts'!$C$4:$C$200,MATCH(TEXT(E687,"@"),TEXT('Chart of Accounts'!$B$4:$B$200,"@"),0)),"⚠ Not Found"))</f>
        <v/>
      </c>
      <c r="G687" s="49"/>
      <c r="H687" s="50"/>
      <c r="I687" s="50"/>
      <c r="J687" s="47"/>
    </row>
    <row r="688" customFormat="false" ht="16.5" hidden="false" customHeight="true" outlineLevel="0" collapsed="false">
      <c r="B688" s="37" t="str">
        <f aca="false">IF(C688="","",ROW()-9)</f>
        <v/>
      </c>
      <c r="C688" s="38"/>
      <c r="D688" s="39" t="str">
        <f aca="false">IF(C688="","",IFERROR(TEXT(C688,"MMMM"),""))</f>
        <v/>
      </c>
      <c r="E688" s="40"/>
      <c r="F688" s="41" t="str">
        <f aca="false">IF(E688="","",IFERROR(INDEX('Chart of Accounts'!$C$4:$C$200,MATCH(TEXT(E688,"@"),TEXT('Chart of Accounts'!$B$4:$B$200,"@"),0)),"⚠ Not Found"))</f>
        <v/>
      </c>
      <c r="G688" s="42"/>
      <c r="H688" s="43"/>
      <c r="I688" s="43"/>
      <c r="J688" s="40"/>
    </row>
    <row r="689" customFormat="false" ht="16.5" hidden="false" customHeight="true" outlineLevel="0" collapsed="false">
      <c r="B689" s="44" t="str">
        <f aca="false">IF(C689="","",ROW()-9)</f>
        <v/>
      </c>
      <c r="C689" s="45"/>
      <c r="D689" s="46" t="str">
        <f aca="false">IF(C689="","",IFERROR(TEXT(C689,"MMMM"),""))</f>
        <v/>
      </c>
      <c r="E689" s="47"/>
      <c r="F689" s="48" t="str">
        <f aca="false">IF(E689="","",IFERROR(INDEX('Chart of Accounts'!$C$4:$C$200,MATCH(TEXT(E689,"@"),TEXT('Chart of Accounts'!$B$4:$B$200,"@"),0)),"⚠ Not Found"))</f>
        <v/>
      </c>
      <c r="G689" s="49"/>
      <c r="H689" s="50"/>
      <c r="I689" s="50"/>
      <c r="J689" s="47"/>
    </row>
    <row r="690" customFormat="false" ht="16.5" hidden="false" customHeight="true" outlineLevel="0" collapsed="false">
      <c r="B690" s="37" t="str">
        <f aca="false">IF(C690="","",ROW()-9)</f>
        <v/>
      </c>
      <c r="C690" s="38"/>
      <c r="D690" s="39" t="str">
        <f aca="false">IF(C690="","",IFERROR(TEXT(C690,"MMMM"),""))</f>
        <v/>
      </c>
      <c r="E690" s="40"/>
      <c r="F690" s="41" t="str">
        <f aca="false">IF(E690="","",IFERROR(INDEX('Chart of Accounts'!$C$4:$C$200,MATCH(TEXT(E690,"@"),TEXT('Chart of Accounts'!$B$4:$B$200,"@"),0)),"⚠ Not Found"))</f>
        <v/>
      </c>
      <c r="G690" s="42"/>
      <c r="H690" s="43"/>
      <c r="I690" s="43"/>
      <c r="J690" s="40"/>
    </row>
    <row r="691" customFormat="false" ht="16.5" hidden="false" customHeight="true" outlineLevel="0" collapsed="false">
      <c r="B691" s="44" t="str">
        <f aca="false">IF(C691="","",ROW()-9)</f>
        <v/>
      </c>
      <c r="C691" s="45"/>
      <c r="D691" s="46" t="str">
        <f aca="false">IF(C691="","",IFERROR(TEXT(C691,"MMMM"),""))</f>
        <v/>
      </c>
      <c r="E691" s="47"/>
      <c r="F691" s="48" t="str">
        <f aca="false">IF(E691="","",IFERROR(INDEX('Chart of Accounts'!$C$4:$C$200,MATCH(TEXT(E691,"@"),TEXT('Chart of Accounts'!$B$4:$B$200,"@"),0)),"⚠ Not Found"))</f>
        <v/>
      </c>
      <c r="G691" s="49"/>
      <c r="H691" s="50"/>
      <c r="I691" s="50"/>
      <c r="J691" s="47"/>
    </row>
    <row r="692" customFormat="false" ht="16.5" hidden="false" customHeight="true" outlineLevel="0" collapsed="false">
      <c r="B692" s="37" t="str">
        <f aca="false">IF(C692="","",ROW()-9)</f>
        <v/>
      </c>
      <c r="C692" s="38"/>
      <c r="D692" s="39" t="str">
        <f aca="false">IF(C692="","",IFERROR(TEXT(C692,"MMMM"),""))</f>
        <v/>
      </c>
      <c r="E692" s="40"/>
      <c r="F692" s="41" t="str">
        <f aca="false">IF(E692="","",IFERROR(INDEX('Chart of Accounts'!$C$4:$C$200,MATCH(TEXT(E692,"@"),TEXT('Chart of Accounts'!$B$4:$B$200,"@"),0)),"⚠ Not Found"))</f>
        <v/>
      </c>
      <c r="G692" s="42"/>
      <c r="H692" s="43"/>
      <c r="I692" s="43"/>
      <c r="J692" s="40"/>
    </row>
    <row r="693" customFormat="false" ht="16.5" hidden="false" customHeight="true" outlineLevel="0" collapsed="false">
      <c r="B693" s="44" t="str">
        <f aca="false">IF(C693="","",ROW()-9)</f>
        <v/>
      </c>
      <c r="C693" s="45"/>
      <c r="D693" s="46" t="str">
        <f aca="false">IF(C693="","",IFERROR(TEXT(C693,"MMMM"),""))</f>
        <v/>
      </c>
      <c r="E693" s="47"/>
      <c r="F693" s="48" t="str">
        <f aca="false">IF(E693="","",IFERROR(INDEX('Chart of Accounts'!$C$4:$C$200,MATCH(TEXT(E693,"@"),TEXT('Chart of Accounts'!$B$4:$B$200,"@"),0)),"⚠ Not Found"))</f>
        <v/>
      </c>
      <c r="G693" s="49"/>
      <c r="H693" s="50"/>
      <c r="I693" s="50"/>
      <c r="J693" s="47"/>
    </row>
    <row r="694" customFormat="false" ht="16.5" hidden="false" customHeight="true" outlineLevel="0" collapsed="false">
      <c r="B694" s="37" t="str">
        <f aca="false">IF(C694="","",ROW()-9)</f>
        <v/>
      </c>
      <c r="C694" s="38"/>
      <c r="D694" s="39" t="str">
        <f aca="false">IF(C694="","",IFERROR(TEXT(C694,"MMMM"),""))</f>
        <v/>
      </c>
      <c r="E694" s="40"/>
      <c r="F694" s="41" t="str">
        <f aca="false">IF(E694="","",IFERROR(INDEX('Chart of Accounts'!$C$4:$C$200,MATCH(TEXT(E694,"@"),TEXT('Chart of Accounts'!$B$4:$B$200,"@"),0)),"⚠ Not Found"))</f>
        <v/>
      </c>
      <c r="G694" s="42"/>
      <c r="H694" s="43"/>
      <c r="I694" s="43"/>
      <c r="J694" s="40"/>
    </row>
    <row r="695" customFormat="false" ht="16.5" hidden="false" customHeight="true" outlineLevel="0" collapsed="false">
      <c r="B695" s="44" t="str">
        <f aca="false">IF(C695="","",ROW()-9)</f>
        <v/>
      </c>
      <c r="C695" s="45"/>
      <c r="D695" s="46" t="str">
        <f aca="false">IF(C695="","",IFERROR(TEXT(C695,"MMMM"),""))</f>
        <v/>
      </c>
      <c r="E695" s="47"/>
      <c r="F695" s="48" t="str">
        <f aca="false">IF(E695="","",IFERROR(INDEX('Chart of Accounts'!$C$4:$C$200,MATCH(TEXT(E695,"@"),TEXT('Chart of Accounts'!$B$4:$B$200,"@"),0)),"⚠ Not Found"))</f>
        <v/>
      </c>
      <c r="G695" s="49"/>
      <c r="H695" s="50"/>
      <c r="I695" s="50"/>
      <c r="J695" s="47"/>
    </row>
    <row r="696" customFormat="false" ht="16.5" hidden="false" customHeight="true" outlineLevel="0" collapsed="false">
      <c r="B696" s="37" t="str">
        <f aca="false">IF(C696="","",ROW()-9)</f>
        <v/>
      </c>
      <c r="C696" s="38"/>
      <c r="D696" s="39" t="str">
        <f aca="false">IF(C696="","",IFERROR(TEXT(C696,"MMMM"),""))</f>
        <v/>
      </c>
      <c r="E696" s="40"/>
      <c r="F696" s="41" t="str">
        <f aca="false">IF(E696="","",IFERROR(INDEX('Chart of Accounts'!$C$4:$C$200,MATCH(TEXT(E696,"@"),TEXT('Chart of Accounts'!$B$4:$B$200,"@"),0)),"⚠ Not Found"))</f>
        <v/>
      </c>
      <c r="G696" s="42"/>
      <c r="H696" s="43"/>
      <c r="I696" s="43"/>
      <c r="J696" s="40"/>
    </row>
    <row r="697" customFormat="false" ht="16.5" hidden="false" customHeight="true" outlineLevel="0" collapsed="false">
      <c r="B697" s="44" t="str">
        <f aca="false">IF(C697="","",ROW()-9)</f>
        <v/>
      </c>
      <c r="C697" s="45"/>
      <c r="D697" s="46" t="str">
        <f aca="false">IF(C697="","",IFERROR(TEXT(C697,"MMMM"),""))</f>
        <v/>
      </c>
      <c r="E697" s="47"/>
      <c r="F697" s="48" t="str">
        <f aca="false">IF(E697="","",IFERROR(INDEX('Chart of Accounts'!$C$4:$C$200,MATCH(TEXT(E697,"@"),TEXT('Chart of Accounts'!$B$4:$B$200,"@"),0)),"⚠ Not Found"))</f>
        <v/>
      </c>
      <c r="G697" s="49"/>
      <c r="H697" s="50"/>
      <c r="I697" s="50"/>
      <c r="J697" s="47"/>
    </row>
    <row r="698" customFormat="false" ht="16.5" hidden="false" customHeight="true" outlineLevel="0" collapsed="false">
      <c r="B698" s="37" t="str">
        <f aca="false">IF(C698="","",ROW()-9)</f>
        <v/>
      </c>
      <c r="C698" s="38"/>
      <c r="D698" s="39" t="str">
        <f aca="false">IF(C698="","",IFERROR(TEXT(C698,"MMMM"),""))</f>
        <v/>
      </c>
      <c r="E698" s="40"/>
      <c r="F698" s="41" t="str">
        <f aca="false">IF(E698="","",IFERROR(INDEX('Chart of Accounts'!$C$4:$C$200,MATCH(TEXT(E698,"@"),TEXT('Chart of Accounts'!$B$4:$B$200,"@"),0)),"⚠ Not Found"))</f>
        <v/>
      </c>
      <c r="G698" s="42"/>
      <c r="H698" s="43"/>
      <c r="I698" s="43"/>
      <c r="J698" s="40"/>
    </row>
    <row r="699" customFormat="false" ht="16.5" hidden="false" customHeight="true" outlineLevel="0" collapsed="false">
      <c r="B699" s="44" t="str">
        <f aca="false">IF(C699="","",ROW()-9)</f>
        <v/>
      </c>
      <c r="C699" s="45"/>
      <c r="D699" s="46" t="str">
        <f aca="false">IF(C699="","",IFERROR(TEXT(C699,"MMMM"),""))</f>
        <v/>
      </c>
      <c r="E699" s="47"/>
      <c r="F699" s="48" t="str">
        <f aca="false">IF(E699="","",IFERROR(INDEX('Chart of Accounts'!$C$4:$C$200,MATCH(TEXT(E699,"@"),TEXT('Chart of Accounts'!$B$4:$B$200,"@"),0)),"⚠ Not Found"))</f>
        <v/>
      </c>
      <c r="G699" s="49"/>
      <c r="H699" s="50"/>
      <c r="I699" s="50"/>
      <c r="J699" s="47"/>
    </row>
    <row r="700" customFormat="false" ht="16.5" hidden="false" customHeight="true" outlineLevel="0" collapsed="false">
      <c r="B700" s="37" t="str">
        <f aca="false">IF(C700="","",ROW()-9)</f>
        <v/>
      </c>
      <c r="C700" s="38"/>
      <c r="D700" s="39" t="str">
        <f aca="false">IF(C700="","",IFERROR(TEXT(C700,"MMMM"),""))</f>
        <v/>
      </c>
      <c r="E700" s="40"/>
      <c r="F700" s="41" t="str">
        <f aca="false">IF(E700="","",IFERROR(INDEX('Chart of Accounts'!$C$4:$C$200,MATCH(TEXT(E700,"@"),TEXT('Chart of Accounts'!$B$4:$B$200,"@"),0)),"⚠ Not Found"))</f>
        <v/>
      </c>
      <c r="G700" s="42"/>
      <c r="H700" s="43"/>
      <c r="I700" s="43"/>
      <c r="J700" s="40"/>
    </row>
    <row r="701" customFormat="false" ht="16.5" hidden="false" customHeight="true" outlineLevel="0" collapsed="false">
      <c r="B701" s="44" t="str">
        <f aca="false">IF(C701="","",ROW()-9)</f>
        <v/>
      </c>
      <c r="C701" s="45"/>
      <c r="D701" s="46" t="str">
        <f aca="false">IF(C701="","",IFERROR(TEXT(C701,"MMMM"),""))</f>
        <v/>
      </c>
      <c r="E701" s="47"/>
      <c r="F701" s="48" t="str">
        <f aca="false">IF(E701="","",IFERROR(INDEX('Chart of Accounts'!$C$4:$C$200,MATCH(TEXT(E701,"@"),TEXT('Chart of Accounts'!$B$4:$B$200,"@"),0)),"⚠ Not Found"))</f>
        <v/>
      </c>
      <c r="G701" s="49"/>
      <c r="H701" s="50"/>
      <c r="I701" s="50"/>
      <c r="J701" s="47"/>
    </row>
    <row r="702" customFormat="false" ht="16.5" hidden="false" customHeight="true" outlineLevel="0" collapsed="false">
      <c r="B702" s="37" t="str">
        <f aca="false">IF(C702="","",ROW()-9)</f>
        <v/>
      </c>
      <c r="C702" s="38"/>
      <c r="D702" s="39" t="str">
        <f aca="false">IF(C702="","",IFERROR(TEXT(C702,"MMMM"),""))</f>
        <v/>
      </c>
      <c r="E702" s="40"/>
      <c r="F702" s="41" t="str">
        <f aca="false">IF(E702="","",IFERROR(INDEX('Chart of Accounts'!$C$4:$C$200,MATCH(TEXT(E702,"@"),TEXT('Chart of Accounts'!$B$4:$B$200,"@"),0)),"⚠ Not Found"))</f>
        <v/>
      </c>
      <c r="G702" s="42"/>
      <c r="H702" s="43"/>
      <c r="I702" s="43"/>
      <c r="J702" s="40"/>
    </row>
    <row r="703" customFormat="false" ht="16.5" hidden="false" customHeight="true" outlineLevel="0" collapsed="false">
      <c r="B703" s="44" t="str">
        <f aca="false">IF(C703="","",ROW()-9)</f>
        <v/>
      </c>
      <c r="C703" s="45"/>
      <c r="D703" s="46" t="str">
        <f aca="false">IF(C703="","",IFERROR(TEXT(C703,"MMMM"),""))</f>
        <v/>
      </c>
      <c r="E703" s="47"/>
      <c r="F703" s="48" t="str">
        <f aca="false">IF(E703="","",IFERROR(INDEX('Chart of Accounts'!$C$4:$C$200,MATCH(TEXT(E703,"@"),TEXT('Chart of Accounts'!$B$4:$B$200,"@"),0)),"⚠ Not Found"))</f>
        <v/>
      </c>
      <c r="G703" s="49"/>
      <c r="H703" s="50"/>
      <c r="I703" s="50"/>
      <c r="J703" s="47"/>
    </row>
    <row r="704" customFormat="false" ht="16.5" hidden="false" customHeight="true" outlineLevel="0" collapsed="false">
      <c r="B704" s="37" t="str">
        <f aca="false">IF(C704="","",ROW()-9)</f>
        <v/>
      </c>
      <c r="C704" s="38"/>
      <c r="D704" s="39" t="str">
        <f aca="false">IF(C704="","",IFERROR(TEXT(C704,"MMMM"),""))</f>
        <v/>
      </c>
      <c r="E704" s="40"/>
      <c r="F704" s="41" t="str">
        <f aca="false">IF(E704="","",IFERROR(INDEX('Chart of Accounts'!$C$4:$C$200,MATCH(TEXT(E704,"@"),TEXT('Chart of Accounts'!$B$4:$B$200,"@"),0)),"⚠ Not Found"))</f>
        <v/>
      </c>
      <c r="G704" s="42"/>
      <c r="H704" s="43"/>
      <c r="I704" s="43"/>
      <c r="J704" s="40"/>
    </row>
    <row r="705" customFormat="false" ht="16.5" hidden="false" customHeight="true" outlineLevel="0" collapsed="false">
      <c r="B705" s="44" t="str">
        <f aca="false">IF(C705="","",ROW()-9)</f>
        <v/>
      </c>
      <c r="C705" s="45"/>
      <c r="D705" s="46" t="str">
        <f aca="false">IF(C705="","",IFERROR(TEXT(C705,"MMMM"),""))</f>
        <v/>
      </c>
      <c r="E705" s="47"/>
      <c r="F705" s="48" t="str">
        <f aca="false">IF(E705="","",IFERROR(INDEX('Chart of Accounts'!$C$4:$C$200,MATCH(TEXT(E705,"@"),TEXT('Chart of Accounts'!$B$4:$B$200,"@"),0)),"⚠ Not Found"))</f>
        <v/>
      </c>
      <c r="G705" s="49"/>
      <c r="H705" s="50"/>
      <c r="I705" s="50"/>
      <c r="J705" s="47"/>
    </row>
    <row r="706" customFormat="false" ht="16.5" hidden="false" customHeight="true" outlineLevel="0" collapsed="false">
      <c r="B706" s="37" t="str">
        <f aca="false">IF(C706="","",ROW()-9)</f>
        <v/>
      </c>
      <c r="C706" s="38"/>
      <c r="D706" s="39" t="str">
        <f aca="false">IF(C706="","",IFERROR(TEXT(C706,"MMMM"),""))</f>
        <v/>
      </c>
      <c r="E706" s="40"/>
      <c r="F706" s="41" t="str">
        <f aca="false">IF(E706="","",IFERROR(INDEX('Chart of Accounts'!$C$4:$C$200,MATCH(TEXT(E706,"@"),TEXT('Chart of Accounts'!$B$4:$B$200,"@"),0)),"⚠ Not Found"))</f>
        <v/>
      </c>
      <c r="G706" s="42"/>
      <c r="H706" s="43"/>
      <c r="I706" s="43"/>
      <c r="J706" s="40"/>
    </row>
    <row r="707" customFormat="false" ht="16.5" hidden="false" customHeight="true" outlineLevel="0" collapsed="false">
      <c r="B707" s="44" t="str">
        <f aca="false">IF(C707="","",ROW()-9)</f>
        <v/>
      </c>
      <c r="C707" s="45"/>
      <c r="D707" s="46" t="str">
        <f aca="false">IF(C707="","",IFERROR(TEXT(C707,"MMMM"),""))</f>
        <v/>
      </c>
      <c r="E707" s="47"/>
      <c r="F707" s="48" t="str">
        <f aca="false">IF(E707="","",IFERROR(INDEX('Chart of Accounts'!$C$4:$C$200,MATCH(TEXT(E707,"@"),TEXT('Chart of Accounts'!$B$4:$B$200,"@"),0)),"⚠ Not Found"))</f>
        <v/>
      </c>
      <c r="G707" s="49"/>
      <c r="H707" s="50"/>
      <c r="I707" s="50"/>
      <c r="J707" s="47"/>
    </row>
    <row r="708" customFormat="false" ht="16.5" hidden="false" customHeight="true" outlineLevel="0" collapsed="false">
      <c r="B708" s="37" t="str">
        <f aca="false">IF(C708="","",ROW()-9)</f>
        <v/>
      </c>
      <c r="C708" s="38"/>
      <c r="D708" s="39" t="str">
        <f aca="false">IF(C708="","",IFERROR(TEXT(C708,"MMMM"),""))</f>
        <v/>
      </c>
      <c r="E708" s="40"/>
      <c r="F708" s="41" t="str">
        <f aca="false">IF(E708="","",IFERROR(INDEX('Chart of Accounts'!$C$4:$C$200,MATCH(TEXT(E708,"@"),TEXT('Chart of Accounts'!$B$4:$B$200,"@"),0)),"⚠ Not Found"))</f>
        <v/>
      </c>
      <c r="G708" s="42"/>
      <c r="H708" s="43"/>
      <c r="I708" s="43"/>
      <c r="J708" s="40"/>
    </row>
    <row r="709" customFormat="false" ht="16.5" hidden="false" customHeight="true" outlineLevel="0" collapsed="false">
      <c r="B709" s="44" t="str">
        <f aca="false">IF(C709="","",ROW()-9)</f>
        <v/>
      </c>
      <c r="C709" s="45"/>
      <c r="D709" s="46" t="str">
        <f aca="false">IF(C709="","",IFERROR(TEXT(C709,"MMMM"),""))</f>
        <v/>
      </c>
      <c r="E709" s="47"/>
      <c r="F709" s="48" t="str">
        <f aca="false">IF(E709="","",IFERROR(INDEX('Chart of Accounts'!$C$4:$C$200,MATCH(TEXT(E709,"@"),TEXT('Chart of Accounts'!$B$4:$B$200,"@"),0)),"⚠ Not Found"))</f>
        <v/>
      </c>
      <c r="G709" s="49"/>
      <c r="H709" s="50"/>
      <c r="I709" s="50"/>
      <c r="J709" s="47"/>
    </row>
    <row r="710" customFormat="false" ht="16.5" hidden="false" customHeight="true" outlineLevel="0" collapsed="false">
      <c r="B710" s="37" t="str">
        <f aca="false">IF(C710="","",ROW()-9)</f>
        <v/>
      </c>
      <c r="C710" s="38"/>
      <c r="D710" s="39" t="str">
        <f aca="false">IF(C710="","",IFERROR(TEXT(C710,"MMMM"),""))</f>
        <v/>
      </c>
      <c r="E710" s="40"/>
      <c r="F710" s="41" t="str">
        <f aca="false">IF(E710="","",IFERROR(INDEX('Chart of Accounts'!$C$4:$C$200,MATCH(TEXT(E710,"@"),TEXT('Chart of Accounts'!$B$4:$B$200,"@"),0)),"⚠ Not Found"))</f>
        <v/>
      </c>
      <c r="G710" s="42"/>
      <c r="H710" s="43"/>
      <c r="I710" s="43"/>
      <c r="J710" s="40"/>
    </row>
    <row r="711" customFormat="false" ht="16.5" hidden="false" customHeight="true" outlineLevel="0" collapsed="false">
      <c r="B711" s="44" t="str">
        <f aca="false">IF(C711="","",ROW()-9)</f>
        <v/>
      </c>
      <c r="C711" s="45"/>
      <c r="D711" s="46" t="str">
        <f aca="false">IF(C711="","",IFERROR(TEXT(C711,"MMMM"),""))</f>
        <v/>
      </c>
      <c r="E711" s="47"/>
      <c r="F711" s="48" t="str">
        <f aca="false">IF(E711="","",IFERROR(INDEX('Chart of Accounts'!$C$4:$C$200,MATCH(TEXT(E711,"@"),TEXT('Chart of Accounts'!$B$4:$B$200,"@"),0)),"⚠ Not Found"))</f>
        <v/>
      </c>
      <c r="G711" s="49"/>
      <c r="H711" s="50"/>
      <c r="I711" s="50"/>
      <c r="J711" s="47"/>
    </row>
    <row r="712" customFormat="false" ht="16.5" hidden="false" customHeight="true" outlineLevel="0" collapsed="false">
      <c r="B712" s="37" t="str">
        <f aca="false">IF(C712="","",ROW()-9)</f>
        <v/>
      </c>
      <c r="C712" s="38"/>
      <c r="D712" s="39" t="str">
        <f aca="false">IF(C712="","",IFERROR(TEXT(C712,"MMMM"),""))</f>
        <v/>
      </c>
      <c r="E712" s="40"/>
      <c r="F712" s="41" t="str">
        <f aca="false">IF(E712="","",IFERROR(INDEX('Chart of Accounts'!$C$4:$C$200,MATCH(TEXT(E712,"@"),TEXT('Chart of Accounts'!$B$4:$B$200,"@"),0)),"⚠ Not Found"))</f>
        <v/>
      </c>
      <c r="G712" s="42"/>
      <c r="H712" s="43"/>
      <c r="I712" s="43"/>
      <c r="J712" s="40"/>
    </row>
    <row r="713" customFormat="false" ht="16.5" hidden="false" customHeight="true" outlineLevel="0" collapsed="false">
      <c r="B713" s="44" t="str">
        <f aca="false">IF(C713="","",ROW()-9)</f>
        <v/>
      </c>
      <c r="C713" s="45"/>
      <c r="D713" s="46" t="str">
        <f aca="false">IF(C713="","",IFERROR(TEXT(C713,"MMMM"),""))</f>
        <v/>
      </c>
      <c r="E713" s="47"/>
      <c r="F713" s="48" t="str">
        <f aca="false">IF(E713="","",IFERROR(INDEX('Chart of Accounts'!$C$4:$C$200,MATCH(TEXT(E713,"@"),TEXT('Chart of Accounts'!$B$4:$B$200,"@"),0)),"⚠ Not Found"))</f>
        <v/>
      </c>
      <c r="G713" s="49"/>
      <c r="H713" s="50"/>
      <c r="I713" s="50"/>
      <c r="J713" s="47"/>
    </row>
    <row r="714" customFormat="false" ht="16.5" hidden="false" customHeight="true" outlineLevel="0" collapsed="false">
      <c r="B714" s="37" t="str">
        <f aca="false">IF(C714="","",ROW()-9)</f>
        <v/>
      </c>
      <c r="C714" s="38"/>
      <c r="D714" s="39" t="str">
        <f aca="false">IF(C714="","",IFERROR(TEXT(C714,"MMMM"),""))</f>
        <v/>
      </c>
      <c r="E714" s="40"/>
      <c r="F714" s="41" t="str">
        <f aca="false">IF(E714="","",IFERROR(INDEX('Chart of Accounts'!$C$4:$C$200,MATCH(TEXT(E714,"@"),TEXT('Chart of Accounts'!$B$4:$B$200,"@"),0)),"⚠ Not Found"))</f>
        <v/>
      </c>
      <c r="G714" s="42"/>
      <c r="H714" s="43"/>
      <c r="I714" s="43"/>
      <c r="J714" s="40"/>
    </row>
    <row r="715" customFormat="false" ht="16.5" hidden="false" customHeight="true" outlineLevel="0" collapsed="false">
      <c r="B715" s="44" t="str">
        <f aca="false">IF(C715="","",ROW()-9)</f>
        <v/>
      </c>
      <c r="C715" s="45"/>
      <c r="D715" s="46" t="str">
        <f aca="false">IF(C715="","",IFERROR(TEXT(C715,"MMMM"),""))</f>
        <v/>
      </c>
      <c r="E715" s="47"/>
      <c r="F715" s="48" t="str">
        <f aca="false">IF(E715="","",IFERROR(INDEX('Chart of Accounts'!$C$4:$C$200,MATCH(TEXT(E715,"@"),TEXT('Chart of Accounts'!$B$4:$B$200,"@"),0)),"⚠ Not Found"))</f>
        <v/>
      </c>
      <c r="G715" s="49"/>
      <c r="H715" s="50"/>
      <c r="I715" s="50"/>
      <c r="J715" s="47"/>
    </row>
    <row r="716" customFormat="false" ht="16.5" hidden="false" customHeight="true" outlineLevel="0" collapsed="false">
      <c r="B716" s="37" t="str">
        <f aca="false">IF(C716="","",ROW()-9)</f>
        <v/>
      </c>
      <c r="C716" s="38"/>
      <c r="D716" s="39" t="str">
        <f aca="false">IF(C716="","",IFERROR(TEXT(C716,"MMMM"),""))</f>
        <v/>
      </c>
      <c r="E716" s="40"/>
      <c r="F716" s="41" t="str">
        <f aca="false">IF(E716="","",IFERROR(INDEX('Chart of Accounts'!$C$4:$C$200,MATCH(TEXT(E716,"@"),TEXT('Chart of Accounts'!$B$4:$B$200,"@"),0)),"⚠ Not Found"))</f>
        <v/>
      </c>
      <c r="G716" s="42"/>
      <c r="H716" s="43"/>
      <c r="I716" s="43"/>
      <c r="J716" s="40"/>
    </row>
    <row r="717" customFormat="false" ht="16.5" hidden="false" customHeight="true" outlineLevel="0" collapsed="false">
      <c r="B717" s="44" t="str">
        <f aca="false">IF(C717="","",ROW()-9)</f>
        <v/>
      </c>
      <c r="C717" s="45"/>
      <c r="D717" s="46" t="str">
        <f aca="false">IF(C717="","",IFERROR(TEXT(C717,"MMMM"),""))</f>
        <v/>
      </c>
      <c r="E717" s="47"/>
      <c r="F717" s="48" t="str">
        <f aca="false">IF(E717="","",IFERROR(INDEX('Chart of Accounts'!$C$4:$C$200,MATCH(TEXT(E717,"@"),TEXT('Chart of Accounts'!$B$4:$B$200,"@"),0)),"⚠ Not Found"))</f>
        <v/>
      </c>
      <c r="G717" s="49"/>
      <c r="H717" s="50"/>
      <c r="I717" s="50"/>
      <c r="J717" s="47"/>
    </row>
    <row r="718" customFormat="false" ht="16.5" hidden="false" customHeight="true" outlineLevel="0" collapsed="false">
      <c r="B718" s="37" t="str">
        <f aca="false">IF(C718="","",ROW()-9)</f>
        <v/>
      </c>
      <c r="C718" s="38"/>
      <c r="D718" s="39" t="str">
        <f aca="false">IF(C718="","",IFERROR(TEXT(C718,"MMMM"),""))</f>
        <v/>
      </c>
      <c r="E718" s="40"/>
      <c r="F718" s="41" t="str">
        <f aca="false">IF(E718="","",IFERROR(INDEX('Chart of Accounts'!$C$4:$C$200,MATCH(TEXT(E718,"@"),TEXT('Chart of Accounts'!$B$4:$B$200,"@"),0)),"⚠ Not Found"))</f>
        <v/>
      </c>
      <c r="G718" s="42"/>
      <c r="H718" s="43"/>
      <c r="I718" s="43"/>
      <c r="J718" s="40"/>
    </row>
    <row r="719" customFormat="false" ht="16.5" hidden="false" customHeight="true" outlineLevel="0" collapsed="false">
      <c r="B719" s="44" t="str">
        <f aca="false">IF(C719="","",ROW()-9)</f>
        <v/>
      </c>
      <c r="C719" s="45"/>
      <c r="D719" s="46" t="str">
        <f aca="false">IF(C719="","",IFERROR(TEXT(C719,"MMMM"),""))</f>
        <v/>
      </c>
      <c r="E719" s="47"/>
      <c r="F719" s="48" t="str">
        <f aca="false">IF(E719="","",IFERROR(INDEX('Chart of Accounts'!$C$4:$C$200,MATCH(TEXT(E719,"@"),TEXT('Chart of Accounts'!$B$4:$B$200,"@"),0)),"⚠ Not Found"))</f>
        <v/>
      </c>
      <c r="G719" s="49"/>
      <c r="H719" s="50"/>
      <c r="I719" s="50"/>
      <c r="J719" s="47"/>
    </row>
    <row r="720" customFormat="false" ht="16.5" hidden="false" customHeight="true" outlineLevel="0" collapsed="false">
      <c r="B720" s="37" t="str">
        <f aca="false">IF(C720="","",ROW()-9)</f>
        <v/>
      </c>
      <c r="C720" s="38"/>
      <c r="D720" s="39" t="str">
        <f aca="false">IF(C720="","",IFERROR(TEXT(C720,"MMMM"),""))</f>
        <v/>
      </c>
      <c r="E720" s="40"/>
      <c r="F720" s="41" t="str">
        <f aca="false">IF(E720="","",IFERROR(INDEX('Chart of Accounts'!$C$4:$C$200,MATCH(TEXT(E720,"@"),TEXT('Chart of Accounts'!$B$4:$B$200,"@"),0)),"⚠ Not Found"))</f>
        <v/>
      </c>
      <c r="G720" s="42"/>
      <c r="H720" s="43"/>
      <c r="I720" s="43"/>
      <c r="J720" s="40"/>
    </row>
    <row r="721" customFormat="false" ht="16.5" hidden="false" customHeight="true" outlineLevel="0" collapsed="false">
      <c r="B721" s="44" t="str">
        <f aca="false">IF(C721="","",ROW()-9)</f>
        <v/>
      </c>
      <c r="C721" s="45"/>
      <c r="D721" s="46" t="str">
        <f aca="false">IF(C721="","",IFERROR(TEXT(C721,"MMMM"),""))</f>
        <v/>
      </c>
      <c r="E721" s="47"/>
      <c r="F721" s="48" t="str">
        <f aca="false">IF(E721="","",IFERROR(INDEX('Chart of Accounts'!$C$4:$C$200,MATCH(TEXT(E721,"@"),TEXT('Chart of Accounts'!$B$4:$B$200,"@"),0)),"⚠ Not Found"))</f>
        <v/>
      </c>
      <c r="G721" s="49"/>
      <c r="H721" s="50"/>
      <c r="I721" s="50"/>
      <c r="J721" s="47"/>
    </row>
    <row r="722" customFormat="false" ht="16.5" hidden="false" customHeight="true" outlineLevel="0" collapsed="false">
      <c r="B722" s="37" t="str">
        <f aca="false">IF(C722="","",ROW()-9)</f>
        <v/>
      </c>
      <c r="C722" s="38"/>
      <c r="D722" s="39" t="str">
        <f aca="false">IF(C722="","",IFERROR(TEXT(C722,"MMMM"),""))</f>
        <v/>
      </c>
      <c r="E722" s="40"/>
      <c r="F722" s="41" t="str">
        <f aca="false">IF(E722="","",IFERROR(INDEX('Chart of Accounts'!$C$4:$C$200,MATCH(TEXT(E722,"@"),TEXT('Chart of Accounts'!$B$4:$B$200,"@"),0)),"⚠ Not Found"))</f>
        <v/>
      </c>
      <c r="G722" s="42"/>
      <c r="H722" s="43"/>
      <c r="I722" s="43"/>
      <c r="J722" s="40"/>
    </row>
    <row r="723" customFormat="false" ht="16.5" hidden="false" customHeight="true" outlineLevel="0" collapsed="false">
      <c r="B723" s="44" t="str">
        <f aca="false">IF(C723="","",ROW()-9)</f>
        <v/>
      </c>
      <c r="C723" s="45"/>
      <c r="D723" s="46" t="str">
        <f aca="false">IF(C723="","",IFERROR(TEXT(C723,"MMMM"),""))</f>
        <v/>
      </c>
      <c r="E723" s="47"/>
      <c r="F723" s="48" t="str">
        <f aca="false">IF(E723="","",IFERROR(INDEX('Chart of Accounts'!$C$4:$C$200,MATCH(TEXT(E723,"@"),TEXT('Chart of Accounts'!$B$4:$B$200,"@"),0)),"⚠ Not Found"))</f>
        <v/>
      </c>
      <c r="G723" s="49"/>
      <c r="H723" s="50"/>
      <c r="I723" s="50"/>
      <c r="J723" s="47"/>
    </row>
    <row r="724" customFormat="false" ht="16.5" hidden="false" customHeight="true" outlineLevel="0" collapsed="false">
      <c r="B724" s="37" t="str">
        <f aca="false">IF(C724="","",ROW()-9)</f>
        <v/>
      </c>
      <c r="C724" s="38"/>
      <c r="D724" s="39" t="str">
        <f aca="false">IF(C724="","",IFERROR(TEXT(C724,"MMMM"),""))</f>
        <v/>
      </c>
      <c r="E724" s="40"/>
      <c r="F724" s="41" t="str">
        <f aca="false">IF(E724="","",IFERROR(INDEX('Chart of Accounts'!$C$4:$C$200,MATCH(TEXT(E724,"@"),TEXT('Chart of Accounts'!$B$4:$B$200,"@"),0)),"⚠ Not Found"))</f>
        <v/>
      </c>
      <c r="G724" s="42"/>
      <c r="H724" s="43"/>
      <c r="I724" s="43"/>
      <c r="J724" s="40"/>
    </row>
    <row r="725" customFormat="false" ht="16.5" hidden="false" customHeight="true" outlineLevel="0" collapsed="false">
      <c r="B725" s="44" t="str">
        <f aca="false">IF(C725="","",ROW()-9)</f>
        <v/>
      </c>
      <c r="C725" s="45"/>
      <c r="D725" s="46" t="str">
        <f aca="false">IF(C725="","",IFERROR(TEXT(C725,"MMMM"),""))</f>
        <v/>
      </c>
      <c r="E725" s="47"/>
      <c r="F725" s="48" t="str">
        <f aca="false">IF(E725="","",IFERROR(INDEX('Chart of Accounts'!$C$4:$C$200,MATCH(TEXT(E725,"@"),TEXT('Chart of Accounts'!$B$4:$B$200,"@"),0)),"⚠ Not Found"))</f>
        <v/>
      </c>
      <c r="G725" s="49"/>
      <c r="H725" s="50"/>
      <c r="I725" s="50"/>
      <c r="J725" s="47"/>
    </row>
    <row r="726" customFormat="false" ht="16.5" hidden="false" customHeight="true" outlineLevel="0" collapsed="false">
      <c r="B726" s="37" t="str">
        <f aca="false">IF(C726="","",ROW()-9)</f>
        <v/>
      </c>
      <c r="C726" s="38"/>
      <c r="D726" s="39" t="str">
        <f aca="false">IF(C726="","",IFERROR(TEXT(C726,"MMMM"),""))</f>
        <v/>
      </c>
      <c r="E726" s="40"/>
      <c r="F726" s="41" t="str">
        <f aca="false">IF(E726="","",IFERROR(INDEX('Chart of Accounts'!$C$4:$C$200,MATCH(TEXT(E726,"@"),TEXT('Chart of Accounts'!$B$4:$B$200,"@"),0)),"⚠ Not Found"))</f>
        <v/>
      </c>
      <c r="G726" s="42"/>
      <c r="H726" s="43"/>
      <c r="I726" s="43"/>
      <c r="J726" s="40"/>
    </row>
    <row r="727" customFormat="false" ht="16.5" hidden="false" customHeight="true" outlineLevel="0" collapsed="false">
      <c r="B727" s="44" t="str">
        <f aca="false">IF(C727="","",ROW()-9)</f>
        <v/>
      </c>
      <c r="C727" s="45"/>
      <c r="D727" s="46" t="str">
        <f aca="false">IF(C727="","",IFERROR(TEXT(C727,"MMMM"),""))</f>
        <v/>
      </c>
      <c r="E727" s="47"/>
      <c r="F727" s="48" t="str">
        <f aca="false">IF(E727="","",IFERROR(INDEX('Chart of Accounts'!$C$4:$C$200,MATCH(TEXT(E727,"@"),TEXT('Chart of Accounts'!$B$4:$B$200,"@"),0)),"⚠ Not Found"))</f>
        <v/>
      </c>
      <c r="G727" s="49"/>
      <c r="H727" s="50"/>
      <c r="I727" s="50"/>
      <c r="J727" s="47"/>
    </row>
    <row r="728" customFormat="false" ht="16.5" hidden="false" customHeight="true" outlineLevel="0" collapsed="false">
      <c r="B728" s="37" t="str">
        <f aca="false">IF(C728="","",ROW()-9)</f>
        <v/>
      </c>
      <c r="C728" s="38"/>
      <c r="D728" s="39" t="str">
        <f aca="false">IF(C728="","",IFERROR(TEXT(C728,"MMMM"),""))</f>
        <v/>
      </c>
      <c r="E728" s="40"/>
      <c r="F728" s="41" t="str">
        <f aca="false">IF(E728="","",IFERROR(INDEX('Chart of Accounts'!$C$4:$C$200,MATCH(TEXT(E728,"@"),TEXT('Chart of Accounts'!$B$4:$B$200,"@"),0)),"⚠ Not Found"))</f>
        <v/>
      </c>
      <c r="G728" s="42"/>
      <c r="H728" s="43"/>
      <c r="I728" s="43"/>
      <c r="J728" s="40"/>
    </row>
    <row r="729" customFormat="false" ht="16.5" hidden="false" customHeight="true" outlineLevel="0" collapsed="false">
      <c r="B729" s="44" t="str">
        <f aca="false">IF(C729="","",ROW()-9)</f>
        <v/>
      </c>
      <c r="C729" s="45"/>
      <c r="D729" s="46" t="str">
        <f aca="false">IF(C729="","",IFERROR(TEXT(C729,"MMMM"),""))</f>
        <v/>
      </c>
      <c r="E729" s="47"/>
      <c r="F729" s="48" t="str">
        <f aca="false">IF(E729="","",IFERROR(INDEX('Chart of Accounts'!$C$4:$C$200,MATCH(TEXT(E729,"@"),TEXT('Chart of Accounts'!$B$4:$B$200,"@"),0)),"⚠ Not Found"))</f>
        <v/>
      </c>
      <c r="G729" s="49"/>
      <c r="H729" s="50"/>
      <c r="I729" s="50"/>
      <c r="J729" s="47"/>
    </row>
    <row r="730" customFormat="false" ht="16.5" hidden="false" customHeight="true" outlineLevel="0" collapsed="false">
      <c r="B730" s="37" t="str">
        <f aca="false">IF(C730="","",ROW()-9)</f>
        <v/>
      </c>
      <c r="C730" s="38"/>
      <c r="D730" s="39" t="str">
        <f aca="false">IF(C730="","",IFERROR(TEXT(C730,"MMMM"),""))</f>
        <v/>
      </c>
      <c r="E730" s="40"/>
      <c r="F730" s="41" t="str">
        <f aca="false">IF(E730="","",IFERROR(INDEX('Chart of Accounts'!$C$4:$C$200,MATCH(TEXT(E730,"@"),TEXT('Chart of Accounts'!$B$4:$B$200,"@"),0)),"⚠ Not Found"))</f>
        <v/>
      </c>
      <c r="G730" s="42"/>
      <c r="H730" s="43"/>
      <c r="I730" s="43"/>
      <c r="J730" s="40"/>
    </row>
    <row r="731" customFormat="false" ht="16.5" hidden="false" customHeight="true" outlineLevel="0" collapsed="false">
      <c r="B731" s="44" t="str">
        <f aca="false">IF(C731="","",ROW()-9)</f>
        <v/>
      </c>
      <c r="C731" s="45"/>
      <c r="D731" s="46" t="str">
        <f aca="false">IF(C731="","",IFERROR(TEXT(C731,"MMMM"),""))</f>
        <v/>
      </c>
      <c r="E731" s="47"/>
      <c r="F731" s="48" t="str">
        <f aca="false">IF(E731="","",IFERROR(INDEX('Chart of Accounts'!$C$4:$C$200,MATCH(TEXT(E731,"@"),TEXT('Chart of Accounts'!$B$4:$B$200,"@"),0)),"⚠ Not Found"))</f>
        <v/>
      </c>
      <c r="G731" s="49"/>
      <c r="H731" s="50"/>
      <c r="I731" s="50"/>
      <c r="J731" s="47"/>
    </row>
    <row r="732" customFormat="false" ht="16.5" hidden="false" customHeight="true" outlineLevel="0" collapsed="false">
      <c r="B732" s="37" t="str">
        <f aca="false">IF(C732="","",ROW()-9)</f>
        <v/>
      </c>
      <c r="C732" s="38"/>
      <c r="D732" s="39" t="str">
        <f aca="false">IF(C732="","",IFERROR(TEXT(C732,"MMMM"),""))</f>
        <v/>
      </c>
      <c r="E732" s="40"/>
      <c r="F732" s="41" t="str">
        <f aca="false">IF(E732="","",IFERROR(INDEX('Chart of Accounts'!$C$4:$C$200,MATCH(TEXT(E732,"@"),TEXT('Chart of Accounts'!$B$4:$B$200,"@"),0)),"⚠ Not Found"))</f>
        <v/>
      </c>
      <c r="G732" s="42"/>
      <c r="H732" s="43"/>
      <c r="I732" s="43"/>
      <c r="J732" s="40"/>
    </row>
    <row r="733" customFormat="false" ht="16.5" hidden="false" customHeight="true" outlineLevel="0" collapsed="false">
      <c r="B733" s="44" t="str">
        <f aca="false">IF(C733="","",ROW()-9)</f>
        <v/>
      </c>
      <c r="C733" s="45"/>
      <c r="D733" s="46" t="str">
        <f aca="false">IF(C733="","",IFERROR(TEXT(C733,"MMMM"),""))</f>
        <v/>
      </c>
      <c r="E733" s="47"/>
      <c r="F733" s="48" t="str">
        <f aca="false">IF(E733="","",IFERROR(INDEX('Chart of Accounts'!$C$4:$C$200,MATCH(TEXT(E733,"@"),TEXT('Chart of Accounts'!$B$4:$B$200,"@"),0)),"⚠ Not Found"))</f>
        <v/>
      </c>
      <c r="G733" s="49"/>
      <c r="H733" s="50"/>
      <c r="I733" s="50"/>
      <c r="J733" s="47"/>
    </row>
    <row r="734" customFormat="false" ht="16.5" hidden="false" customHeight="true" outlineLevel="0" collapsed="false">
      <c r="B734" s="37" t="str">
        <f aca="false">IF(C734="","",ROW()-9)</f>
        <v/>
      </c>
      <c r="C734" s="38"/>
      <c r="D734" s="39" t="str">
        <f aca="false">IF(C734="","",IFERROR(TEXT(C734,"MMMM"),""))</f>
        <v/>
      </c>
      <c r="E734" s="40"/>
      <c r="F734" s="41" t="str">
        <f aca="false">IF(E734="","",IFERROR(INDEX('Chart of Accounts'!$C$4:$C$200,MATCH(TEXT(E734,"@"),TEXT('Chart of Accounts'!$B$4:$B$200,"@"),0)),"⚠ Not Found"))</f>
        <v/>
      </c>
      <c r="G734" s="42"/>
      <c r="H734" s="43"/>
      <c r="I734" s="43"/>
      <c r="J734" s="40"/>
    </row>
    <row r="735" customFormat="false" ht="16.5" hidden="false" customHeight="true" outlineLevel="0" collapsed="false">
      <c r="B735" s="44" t="str">
        <f aca="false">IF(C735="","",ROW()-9)</f>
        <v/>
      </c>
      <c r="C735" s="45"/>
      <c r="D735" s="46" t="str">
        <f aca="false">IF(C735="","",IFERROR(TEXT(C735,"MMMM"),""))</f>
        <v/>
      </c>
      <c r="E735" s="47"/>
      <c r="F735" s="48" t="str">
        <f aca="false">IF(E735="","",IFERROR(INDEX('Chart of Accounts'!$C$4:$C$200,MATCH(TEXT(E735,"@"),TEXT('Chart of Accounts'!$B$4:$B$200,"@"),0)),"⚠ Not Found"))</f>
        <v/>
      </c>
      <c r="G735" s="49"/>
      <c r="H735" s="50"/>
      <c r="I735" s="50"/>
      <c r="J735" s="47"/>
    </row>
    <row r="736" customFormat="false" ht="16.5" hidden="false" customHeight="true" outlineLevel="0" collapsed="false">
      <c r="B736" s="37" t="str">
        <f aca="false">IF(C736="","",ROW()-9)</f>
        <v/>
      </c>
      <c r="C736" s="38"/>
      <c r="D736" s="39" t="str">
        <f aca="false">IF(C736="","",IFERROR(TEXT(C736,"MMMM"),""))</f>
        <v/>
      </c>
      <c r="E736" s="40"/>
      <c r="F736" s="41" t="str">
        <f aca="false">IF(E736="","",IFERROR(INDEX('Chart of Accounts'!$C$4:$C$200,MATCH(TEXT(E736,"@"),TEXT('Chart of Accounts'!$B$4:$B$200,"@"),0)),"⚠ Not Found"))</f>
        <v/>
      </c>
      <c r="G736" s="42"/>
      <c r="H736" s="43"/>
      <c r="I736" s="43"/>
      <c r="J736" s="40"/>
    </row>
    <row r="737" customFormat="false" ht="16.5" hidden="false" customHeight="true" outlineLevel="0" collapsed="false">
      <c r="B737" s="44" t="str">
        <f aca="false">IF(C737="","",ROW()-9)</f>
        <v/>
      </c>
      <c r="C737" s="45"/>
      <c r="D737" s="46" t="str">
        <f aca="false">IF(C737="","",IFERROR(TEXT(C737,"MMMM"),""))</f>
        <v/>
      </c>
      <c r="E737" s="47"/>
      <c r="F737" s="48" t="str">
        <f aca="false">IF(E737="","",IFERROR(INDEX('Chart of Accounts'!$C$4:$C$200,MATCH(TEXT(E737,"@"),TEXT('Chart of Accounts'!$B$4:$B$200,"@"),0)),"⚠ Not Found"))</f>
        <v/>
      </c>
      <c r="G737" s="49"/>
      <c r="H737" s="50"/>
      <c r="I737" s="50"/>
      <c r="J737" s="47"/>
    </row>
    <row r="738" customFormat="false" ht="16.5" hidden="false" customHeight="true" outlineLevel="0" collapsed="false">
      <c r="B738" s="37" t="str">
        <f aca="false">IF(C738="","",ROW()-9)</f>
        <v/>
      </c>
      <c r="C738" s="38"/>
      <c r="D738" s="39" t="str">
        <f aca="false">IF(C738="","",IFERROR(TEXT(C738,"MMMM"),""))</f>
        <v/>
      </c>
      <c r="E738" s="40"/>
      <c r="F738" s="41" t="str">
        <f aca="false">IF(E738="","",IFERROR(INDEX('Chart of Accounts'!$C$4:$C$200,MATCH(TEXT(E738,"@"),TEXT('Chart of Accounts'!$B$4:$B$200,"@"),0)),"⚠ Not Found"))</f>
        <v/>
      </c>
      <c r="G738" s="42"/>
      <c r="H738" s="43"/>
      <c r="I738" s="43"/>
      <c r="J738" s="40"/>
    </row>
    <row r="739" customFormat="false" ht="16.5" hidden="false" customHeight="true" outlineLevel="0" collapsed="false">
      <c r="B739" s="44" t="str">
        <f aca="false">IF(C739="","",ROW()-9)</f>
        <v/>
      </c>
      <c r="C739" s="45"/>
      <c r="D739" s="46" t="str">
        <f aca="false">IF(C739="","",IFERROR(TEXT(C739,"MMMM"),""))</f>
        <v/>
      </c>
      <c r="E739" s="47"/>
      <c r="F739" s="48" t="str">
        <f aca="false">IF(E739="","",IFERROR(INDEX('Chart of Accounts'!$C$4:$C$200,MATCH(TEXT(E739,"@"),TEXT('Chart of Accounts'!$B$4:$B$200,"@"),0)),"⚠ Not Found"))</f>
        <v/>
      </c>
      <c r="G739" s="49"/>
      <c r="H739" s="50"/>
      <c r="I739" s="50"/>
      <c r="J739" s="47"/>
    </row>
    <row r="740" customFormat="false" ht="16.5" hidden="false" customHeight="true" outlineLevel="0" collapsed="false">
      <c r="B740" s="37" t="str">
        <f aca="false">IF(C740="","",ROW()-9)</f>
        <v/>
      </c>
      <c r="C740" s="38"/>
      <c r="D740" s="39" t="str">
        <f aca="false">IF(C740="","",IFERROR(TEXT(C740,"MMMM"),""))</f>
        <v/>
      </c>
      <c r="E740" s="40"/>
      <c r="F740" s="41" t="str">
        <f aca="false">IF(E740="","",IFERROR(INDEX('Chart of Accounts'!$C$4:$C$200,MATCH(TEXT(E740,"@"),TEXT('Chart of Accounts'!$B$4:$B$200,"@"),0)),"⚠ Not Found"))</f>
        <v/>
      </c>
      <c r="G740" s="42"/>
      <c r="H740" s="43"/>
      <c r="I740" s="43"/>
      <c r="J740" s="40"/>
    </row>
    <row r="741" customFormat="false" ht="16.5" hidden="false" customHeight="true" outlineLevel="0" collapsed="false">
      <c r="B741" s="44" t="str">
        <f aca="false">IF(C741="","",ROW()-9)</f>
        <v/>
      </c>
      <c r="C741" s="45"/>
      <c r="D741" s="46" t="str">
        <f aca="false">IF(C741="","",IFERROR(TEXT(C741,"MMMM"),""))</f>
        <v/>
      </c>
      <c r="E741" s="47"/>
      <c r="F741" s="48" t="str">
        <f aca="false">IF(E741="","",IFERROR(INDEX('Chart of Accounts'!$C$4:$C$200,MATCH(TEXT(E741,"@"),TEXT('Chart of Accounts'!$B$4:$B$200,"@"),0)),"⚠ Not Found"))</f>
        <v/>
      </c>
      <c r="G741" s="49"/>
      <c r="H741" s="50"/>
      <c r="I741" s="50"/>
      <c r="J741" s="47"/>
    </row>
    <row r="742" customFormat="false" ht="16.5" hidden="false" customHeight="true" outlineLevel="0" collapsed="false">
      <c r="B742" s="37" t="str">
        <f aca="false">IF(C742="","",ROW()-9)</f>
        <v/>
      </c>
      <c r="C742" s="38"/>
      <c r="D742" s="39" t="str">
        <f aca="false">IF(C742="","",IFERROR(TEXT(C742,"MMMM"),""))</f>
        <v/>
      </c>
      <c r="E742" s="40"/>
      <c r="F742" s="41" t="str">
        <f aca="false">IF(E742="","",IFERROR(INDEX('Chart of Accounts'!$C$4:$C$200,MATCH(TEXT(E742,"@"),TEXT('Chart of Accounts'!$B$4:$B$200,"@"),0)),"⚠ Not Found"))</f>
        <v/>
      </c>
      <c r="G742" s="42"/>
      <c r="H742" s="43"/>
      <c r="I742" s="43"/>
      <c r="J742" s="40"/>
    </row>
    <row r="743" customFormat="false" ht="16.5" hidden="false" customHeight="true" outlineLevel="0" collapsed="false">
      <c r="B743" s="44" t="str">
        <f aca="false">IF(C743="","",ROW()-9)</f>
        <v/>
      </c>
      <c r="C743" s="45"/>
      <c r="D743" s="46" t="str">
        <f aca="false">IF(C743="","",IFERROR(TEXT(C743,"MMMM"),""))</f>
        <v/>
      </c>
      <c r="E743" s="47"/>
      <c r="F743" s="48" t="str">
        <f aca="false">IF(E743="","",IFERROR(INDEX('Chart of Accounts'!$C$4:$C$200,MATCH(TEXT(E743,"@"),TEXT('Chart of Accounts'!$B$4:$B$200,"@"),0)),"⚠ Not Found"))</f>
        <v/>
      </c>
      <c r="G743" s="49"/>
      <c r="H743" s="50"/>
      <c r="I743" s="50"/>
      <c r="J743" s="47"/>
    </row>
    <row r="744" customFormat="false" ht="16.5" hidden="false" customHeight="true" outlineLevel="0" collapsed="false">
      <c r="B744" s="37" t="str">
        <f aca="false">IF(C744="","",ROW()-9)</f>
        <v/>
      </c>
      <c r="C744" s="38"/>
      <c r="D744" s="39" t="str">
        <f aca="false">IF(C744="","",IFERROR(TEXT(C744,"MMMM"),""))</f>
        <v/>
      </c>
      <c r="E744" s="40"/>
      <c r="F744" s="41" t="str">
        <f aca="false">IF(E744="","",IFERROR(INDEX('Chart of Accounts'!$C$4:$C$200,MATCH(TEXT(E744,"@"),TEXT('Chart of Accounts'!$B$4:$B$200,"@"),0)),"⚠ Not Found"))</f>
        <v/>
      </c>
      <c r="G744" s="42"/>
      <c r="H744" s="43"/>
      <c r="I744" s="43"/>
      <c r="J744" s="40"/>
    </row>
    <row r="745" customFormat="false" ht="16.5" hidden="false" customHeight="true" outlineLevel="0" collapsed="false">
      <c r="B745" s="44" t="str">
        <f aca="false">IF(C745="","",ROW()-9)</f>
        <v/>
      </c>
      <c r="C745" s="45"/>
      <c r="D745" s="46" t="str">
        <f aca="false">IF(C745="","",IFERROR(TEXT(C745,"MMMM"),""))</f>
        <v/>
      </c>
      <c r="E745" s="47"/>
      <c r="F745" s="48" t="str">
        <f aca="false">IF(E745="","",IFERROR(INDEX('Chart of Accounts'!$C$4:$C$200,MATCH(TEXT(E745,"@"),TEXT('Chart of Accounts'!$B$4:$B$200,"@"),0)),"⚠ Not Found"))</f>
        <v/>
      </c>
      <c r="G745" s="49"/>
      <c r="H745" s="50"/>
      <c r="I745" s="50"/>
      <c r="J745" s="47"/>
    </row>
    <row r="746" customFormat="false" ht="16.5" hidden="false" customHeight="true" outlineLevel="0" collapsed="false">
      <c r="B746" s="37" t="str">
        <f aca="false">IF(C746="","",ROW()-9)</f>
        <v/>
      </c>
      <c r="C746" s="38"/>
      <c r="D746" s="39" t="str">
        <f aca="false">IF(C746="","",IFERROR(TEXT(C746,"MMMM"),""))</f>
        <v/>
      </c>
      <c r="E746" s="40"/>
      <c r="F746" s="41" t="str">
        <f aca="false">IF(E746="","",IFERROR(INDEX('Chart of Accounts'!$C$4:$C$200,MATCH(TEXT(E746,"@"),TEXT('Chart of Accounts'!$B$4:$B$200,"@"),0)),"⚠ Not Found"))</f>
        <v/>
      </c>
      <c r="G746" s="42"/>
      <c r="H746" s="43"/>
      <c r="I746" s="43"/>
      <c r="J746" s="40"/>
    </row>
    <row r="747" customFormat="false" ht="16.5" hidden="false" customHeight="true" outlineLevel="0" collapsed="false">
      <c r="B747" s="44" t="str">
        <f aca="false">IF(C747="","",ROW()-9)</f>
        <v/>
      </c>
      <c r="C747" s="45"/>
      <c r="D747" s="46" t="str">
        <f aca="false">IF(C747="","",IFERROR(TEXT(C747,"MMMM"),""))</f>
        <v/>
      </c>
      <c r="E747" s="47"/>
      <c r="F747" s="48" t="str">
        <f aca="false">IF(E747="","",IFERROR(INDEX('Chart of Accounts'!$C$4:$C$200,MATCH(TEXT(E747,"@"),TEXT('Chart of Accounts'!$B$4:$B$200,"@"),0)),"⚠ Not Found"))</f>
        <v/>
      </c>
      <c r="G747" s="49"/>
      <c r="H747" s="50"/>
      <c r="I747" s="50"/>
      <c r="J747" s="47"/>
    </row>
    <row r="748" customFormat="false" ht="16.5" hidden="false" customHeight="true" outlineLevel="0" collapsed="false">
      <c r="B748" s="37" t="str">
        <f aca="false">IF(C748="","",ROW()-9)</f>
        <v/>
      </c>
      <c r="C748" s="38"/>
      <c r="D748" s="39" t="str">
        <f aca="false">IF(C748="","",IFERROR(TEXT(C748,"MMMM"),""))</f>
        <v/>
      </c>
      <c r="E748" s="40"/>
      <c r="F748" s="41" t="str">
        <f aca="false">IF(E748="","",IFERROR(INDEX('Chart of Accounts'!$C$4:$C$200,MATCH(TEXT(E748,"@"),TEXT('Chart of Accounts'!$B$4:$B$200,"@"),0)),"⚠ Not Found"))</f>
        <v/>
      </c>
      <c r="G748" s="42"/>
      <c r="H748" s="43"/>
      <c r="I748" s="43"/>
      <c r="J748" s="40"/>
    </row>
    <row r="749" customFormat="false" ht="16.5" hidden="false" customHeight="true" outlineLevel="0" collapsed="false">
      <c r="B749" s="44" t="str">
        <f aca="false">IF(C749="","",ROW()-9)</f>
        <v/>
      </c>
      <c r="C749" s="45"/>
      <c r="D749" s="46" t="str">
        <f aca="false">IF(C749="","",IFERROR(TEXT(C749,"MMMM"),""))</f>
        <v/>
      </c>
      <c r="E749" s="47"/>
      <c r="F749" s="48" t="str">
        <f aca="false">IF(E749="","",IFERROR(INDEX('Chart of Accounts'!$C$4:$C$200,MATCH(TEXT(E749,"@"),TEXT('Chart of Accounts'!$B$4:$B$200,"@"),0)),"⚠ Not Found"))</f>
        <v/>
      </c>
      <c r="G749" s="49"/>
      <c r="H749" s="50"/>
      <c r="I749" s="50"/>
      <c r="J749" s="47"/>
    </row>
    <row r="750" customFormat="false" ht="16.5" hidden="false" customHeight="true" outlineLevel="0" collapsed="false">
      <c r="B750" s="37" t="str">
        <f aca="false">IF(C750="","",ROW()-9)</f>
        <v/>
      </c>
      <c r="C750" s="38"/>
      <c r="D750" s="39" t="str">
        <f aca="false">IF(C750="","",IFERROR(TEXT(C750,"MMMM"),""))</f>
        <v/>
      </c>
      <c r="E750" s="40"/>
      <c r="F750" s="41" t="str">
        <f aca="false">IF(E750="","",IFERROR(INDEX('Chart of Accounts'!$C$4:$C$200,MATCH(TEXT(E750,"@"),TEXT('Chart of Accounts'!$B$4:$B$200,"@"),0)),"⚠ Not Found"))</f>
        <v/>
      </c>
      <c r="G750" s="42"/>
      <c r="H750" s="43"/>
      <c r="I750" s="43"/>
      <c r="J750" s="40"/>
    </row>
    <row r="751" customFormat="false" ht="16.5" hidden="false" customHeight="true" outlineLevel="0" collapsed="false">
      <c r="B751" s="44" t="str">
        <f aca="false">IF(C751="","",ROW()-9)</f>
        <v/>
      </c>
      <c r="C751" s="45"/>
      <c r="D751" s="46" t="str">
        <f aca="false">IF(C751="","",IFERROR(TEXT(C751,"MMMM"),""))</f>
        <v/>
      </c>
      <c r="E751" s="47"/>
      <c r="F751" s="48" t="str">
        <f aca="false">IF(E751="","",IFERROR(INDEX('Chart of Accounts'!$C$4:$C$200,MATCH(TEXT(E751,"@"),TEXT('Chart of Accounts'!$B$4:$B$200,"@"),0)),"⚠ Not Found"))</f>
        <v/>
      </c>
      <c r="G751" s="49"/>
      <c r="H751" s="50"/>
      <c r="I751" s="50"/>
      <c r="J751" s="47"/>
    </row>
    <row r="752" customFormat="false" ht="16.5" hidden="false" customHeight="true" outlineLevel="0" collapsed="false">
      <c r="B752" s="37" t="str">
        <f aca="false">IF(C752="","",ROW()-9)</f>
        <v/>
      </c>
      <c r="C752" s="38"/>
      <c r="D752" s="39" t="str">
        <f aca="false">IF(C752="","",IFERROR(TEXT(C752,"MMMM"),""))</f>
        <v/>
      </c>
      <c r="E752" s="40"/>
      <c r="F752" s="41" t="str">
        <f aca="false">IF(E752="","",IFERROR(INDEX('Chart of Accounts'!$C$4:$C$200,MATCH(TEXT(E752,"@"),TEXT('Chart of Accounts'!$B$4:$B$200,"@"),0)),"⚠ Not Found"))</f>
        <v/>
      </c>
      <c r="G752" s="42"/>
      <c r="H752" s="43"/>
      <c r="I752" s="43"/>
      <c r="J752" s="40"/>
    </row>
    <row r="753" customFormat="false" ht="16.5" hidden="false" customHeight="true" outlineLevel="0" collapsed="false">
      <c r="B753" s="44" t="str">
        <f aca="false">IF(C753="","",ROW()-9)</f>
        <v/>
      </c>
      <c r="C753" s="45"/>
      <c r="D753" s="46" t="str">
        <f aca="false">IF(C753="","",IFERROR(TEXT(C753,"MMMM"),""))</f>
        <v/>
      </c>
      <c r="E753" s="47"/>
      <c r="F753" s="48" t="str">
        <f aca="false">IF(E753="","",IFERROR(INDEX('Chart of Accounts'!$C$4:$C$200,MATCH(TEXT(E753,"@"),TEXT('Chart of Accounts'!$B$4:$B$200,"@"),0)),"⚠ Not Found"))</f>
        <v/>
      </c>
      <c r="G753" s="49"/>
      <c r="H753" s="50"/>
      <c r="I753" s="50"/>
      <c r="J753" s="47"/>
    </row>
    <row r="754" customFormat="false" ht="16.5" hidden="false" customHeight="true" outlineLevel="0" collapsed="false">
      <c r="B754" s="37" t="str">
        <f aca="false">IF(C754="","",ROW()-9)</f>
        <v/>
      </c>
      <c r="C754" s="38"/>
      <c r="D754" s="39" t="str">
        <f aca="false">IF(C754="","",IFERROR(TEXT(C754,"MMMM"),""))</f>
        <v/>
      </c>
      <c r="E754" s="40"/>
      <c r="F754" s="41" t="str">
        <f aca="false">IF(E754="","",IFERROR(INDEX('Chart of Accounts'!$C$4:$C$200,MATCH(TEXT(E754,"@"),TEXT('Chart of Accounts'!$B$4:$B$200,"@"),0)),"⚠ Not Found"))</f>
        <v/>
      </c>
      <c r="G754" s="42"/>
      <c r="H754" s="43"/>
      <c r="I754" s="43"/>
      <c r="J754" s="40"/>
    </row>
    <row r="755" customFormat="false" ht="16.5" hidden="false" customHeight="true" outlineLevel="0" collapsed="false">
      <c r="B755" s="44" t="str">
        <f aca="false">IF(C755="","",ROW()-9)</f>
        <v/>
      </c>
      <c r="C755" s="45"/>
      <c r="D755" s="46" t="str">
        <f aca="false">IF(C755="","",IFERROR(TEXT(C755,"MMMM"),""))</f>
        <v/>
      </c>
      <c r="E755" s="47"/>
      <c r="F755" s="48" t="str">
        <f aca="false">IF(E755="","",IFERROR(INDEX('Chart of Accounts'!$C$4:$C$200,MATCH(TEXT(E755,"@"),TEXT('Chart of Accounts'!$B$4:$B$200,"@"),0)),"⚠ Not Found"))</f>
        <v/>
      </c>
      <c r="G755" s="49"/>
      <c r="H755" s="50"/>
      <c r="I755" s="50"/>
      <c r="J755" s="47"/>
    </row>
    <row r="756" customFormat="false" ht="16.5" hidden="false" customHeight="true" outlineLevel="0" collapsed="false">
      <c r="B756" s="37" t="str">
        <f aca="false">IF(C756="","",ROW()-9)</f>
        <v/>
      </c>
      <c r="C756" s="38"/>
      <c r="D756" s="39" t="str">
        <f aca="false">IF(C756="","",IFERROR(TEXT(C756,"MMMM"),""))</f>
        <v/>
      </c>
      <c r="E756" s="40"/>
      <c r="F756" s="41" t="str">
        <f aca="false">IF(E756="","",IFERROR(INDEX('Chart of Accounts'!$C$4:$C$200,MATCH(TEXT(E756,"@"),TEXT('Chart of Accounts'!$B$4:$B$200,"@"),0)),"⚠ Not Found"))</f>
        <v/>
      </c>
      <c r="G756" s="42"/>
      <c r="H756" s="43"/>
      <c r="I756" s="43"/>
      <c r="J756" s="40"/>
    </row>
    <row r="757" customFormat="false" ht="16.5" hidden="false" customHeight="true" outlineLevel="0" collapsed="false">
      <c r="B757" s="44" t="str">
        <f aca="false">IF(C757="","",ROW()-9)</f>
        <v/>
      </c>
      <c r="C757" s="45"/>
      <c r="D757" s="46" t="str">
        <f aca="false">IF(C757="","",IFERROR(TEXT(C757,"MMMM"),""))</f>
        <v/>
      </c>
      <c r="E757" s="47"/>
      <c r="F757" s="48" t="str">
        <f aca="false">IF(E757="","",IFERROR(INDEX('Chart of Accounts'!$C$4:$C$200,MATCH(TEXT(E757,"@"),TEXT('Chart of Accounts'!$B$4:$B$200,"@"),0)),"⚠ Not Found"))</f>
        <v/>
      </c>
      <c r="G757" s="49"/>
      <c r="H757" s="50"/>
      <c r="I757" s="50"/>
      <c r="J757" s="47"/>
    </row>
    <row r="758" customFormat="false" ht="16.5" hidden="false" customHeight="true" outlineLevel="0" collapsed="false">
      <c r="B758" s="37" t="str">
        <f aca="false">IF(C758="","",ROW()-9)</f>
        <v/>
      </c>
      <c r="C758" s="38"/>
      <c r="D758" s="39" t="str">
        <f aca="false">IF(C758="","",IFERROR(TEXT(C758,"MMMM"),""))</f>
        <v/>
      </c>
      <c r="E758" s="40"/>
      <c r="F758" s="41" t="str">
        <f aca="false">IF(E758="","",IFERROR(INDEX('Chart of Accounts'!$C$4:$C$200,MATCH(TEXT(E758,"@"),TEXT('Chart of Accounts'!$B$4:$B$200,"@"),0)),"⚠ Not Found"))</f>
        <v/>
      </c>
      <c r="G758" s="42"/>
      <c r="H758" s="43"/>
      <c r="I758" s="43"/>
      <c r="J758" s="40"/>
    </row>
    <row r="759" customFormat="false" ht="16.5" hidden="false" customHeight="true" outlineLevel="0" collapsed="false">
      <c r="B759" s="44" t="str">
        <f aca="false">IF(C759="","",ROW()-9)</f>
        <v/>
      </c>
      <c r="C759" s="45"/>
      <c r="D759" s="46" t="str">
        <f aca="false">IF(C759="","",IFERROR(TEXT(C759,"MMMM"),""))</f>
        <v/>
      </c>
      <c r="E759" s="47"/>
      <c r="F759" s="48" t="str">
        <f aca="false">IF(E759="","",IFERROR(INDEX('Chart of Accounts'!$C$4:$C$200,MATCH(TEXT(E759,"@"),TEXT('Chart of Accounts'!$B$4:$B$200,"@"),0)),"⚠ Not Found"))</f>
        <v/>
      </c>
      <c r="G759" s="49"/>
      <c r="H759" s="50"/>
      <c r="I759" s="50"/>
      <c r="J759" s="47"/>
    </row>
    <row r="760" customFormat="false" ht="16.5" hidden="false" customHeight="true" outlineLevel="0" collapsed="false">
      <c r="B760" s="37" t="str">
        <f aca="false">IF(C760="","",ROW()-9)</f>
        <v/>
      </c>
      <c r="C760" s="38"/>
      <c r="D760" s="39" t="str">
        <f aca="false">IF(C760="","",IFERROR(TEXT(C760,"MMMM"),""))</f>
        <v/>
      </c>
      <c r="E760" s="40"/>
      <c r="F760" s="41" t="str">
        <f aca="false">IF(E760="","",IFERROR(INDEX('Chart of Accounts'!$C$4:$C$200,MATCH(TEXT(E760,"@"),TEXT('Chart of Accounts'!$B$4:$B$200,"@"),0)),"⚠ Not Found"))</f>
        <v/>
      </c>
      <c r="G760" s="42"/>
      <c r="H760" s="43"/>
      <c r="I760" s="43"/>
      <c r="J760" s="40"/>
    </row>
    <row r="761" customFormat="false" ht="16.5" hidden="false" customHeight="true" outlineLevel="0" collapsed="false">
      <c r="B761" s="44" t="str">
        <f aca="false">IF(C761="","",ROW()-9)</f>
        <v/>
      </c>
      <c r="C761" s="45"/>
      <c r="D761" s="46" t="str">
        <f aca="false">IF(C761="","",IFERROR(TEXT(C761,"MMMM"),""))</f>
        <v/>
      </c>
      <c r="E761" s="47"/>
      <c r="F761" s="48" t="str">
        <f aca="false">IF(E761="","",IFERROR(INDEX('Chart of Accounts'!$C$4:$C$200,MATCH(TEXT(E761,"@"),TEXT('Chart of Accounts'!$B$4:$B$200,"@"),0)),"⚠ Not Found"))</f>
        <v/>
      </c>
      <c r="G761" s="49"/>
      <c r="H761" s="50"/>
      <c r="I761" s="50"/>
      <c r="J761" s="47"/>
    </row>
    <row r="762" customFormat="false" ht="16.5" hidden="false" customHeight="true" outlineLevel="0" collapsed="false">
      <c r="B762" s="37" t="str">
        <f aca="false">IF(C762="","",ROW()-9)</f>
        <v/>
      </c>
      <c r="C762" s="38"/>
      <c r="D762" s="39" t="str">
        <f aca="false">IF(C762="","",IFERROR(TEXT(C762,"MMMM"),""))</f>
        <v/>
      </c>
      <c r="E762" s="40"/>
      <c r="F762" s="41" t="str">
        <f aca="false">IF(E762="","",IFERROR(INDEX('Chart of Accounts'!$C$4:$C$200,MATCH(TEXT(E762,"@"),TEXT('Chart of Accounts'!$B$4:$B$200,"@"),0)),"⚠ Not Found"))</f>
        <v/>
      </c>
      <c r="G762" s="42"/>
      <c r="H762" s="43"/>
      <c r="I762" s="43"/>
      <c r="J762" s="40"/>
    </row>
    <row r="763" customFormat="false" ht="16.5" hidden="false" customHeight="true" outlineLevel="0" collapsed="false">
      <c r="B763" s="44" t="str">
        <f aca="false">IF(C763="","",ROW()-9)</f>
        <v/>
      </c>
      <c r="C763" s="45"/>
      <c r="D763" s="46" t="str">
        <f aca="false">IF(C763="","",IFERROR(TEXT(C763,"MMMM"),""))</f>
        <v/>
      </c>
      <c r="E763" s="47"/>
      <c r="F763" s="48" t="str">
        <f aca="false">IF(E763="","",IFERROR(INDEX('Chart of Accounts'!$C$4:$C$200,MATCH(TEXT(E763,"@"),TEXT('Chart of Accounts'!$B$4:$B$200,"@"),0)),"⚠ Not Found"))</f>
        <v/>
      </c>
      <c r="G763" s="49"/>
      <c r="H763" s="50"/>
      <c r="I763" s="50"/>
      <c r="J763" s="47"/>
    </row>
    <row r="764" customFormat="false" ht="16.5" hidden="false" customHeight="true" outlineLevel="0" collapsed="false">
      <c r="B764" s="37" t="str">
        <f aca="false">IF(C764="","",ROW()-9)</f>
        <v/>
      </c>
      <c r="C764" s="38"/>
      <c r="D764" s="39" t="str">
        <f aca="false">IF(C764="","",IFERROR(TEXT(C764,"MMMM"),""))</f>
        <v/>
      </c>
      <c r="E764" s="40"/>
      <c r="F764" s="41" t="str">
        <f aca="false">IF(E764="","",IFERROR(INDEX('Chart of Accounts'!$C$4:$C$200,MATCH(TEXT(E764,"@"),TEXT('Chart of Accounts'!$B$4:$B$200,"@"),0)),"⚠ Not Found"))</f>
        <v/>
      </c>
      <c r="G764" s="42"/>
      <c r="H764" s="43"/>
      <c r="I764" s="43"/>
      <c r="J764" s="40"/>
    </row>
    <row r="765" customFormat="false" ht="16.5" hidden="false" customHeight="true" outlineLevel="0" collapsed="false">
      <c r="B765" s="44" t="str">
        <f aca="false">IF(C765="","",ROW()-9)</f>
        <v/>
      </c>
      <c r="C765" s="45"/>
      <c r="D765" s="46" t="str">
        <f aca="false">IF(C765="","",IFERROR(TEXT(C765,"MMMM"),""))</f>
        <v/>
      </c>
      <c r="E765" s="47"/>
      <c r="F765" s="48" t="str">
        <f aca="false">IF(E765="","",IFERROR(INDEX('Chart of Accounts'!$C$4:$C$200,MATCH(TEXT(E765,"@"),TEXT('Chart of Accounts'!$B$4:$B$200,"@"),0)),"⚠ Not Found"))</f>
        <v/>
      </c>
      <c r="G765" s="49"/>
      <c r="H765" s="50"/>
      <c r="I765" s="50"/>
      <c r="J765" s="47"/>
    </row>
    <row r="766" customFormat="false" ht="16.5" hidden="false" customHeight="true" outlineLevel="0" collapsed="false">
      <c r="B766" s="37" t="str">
        <f aca="false">IF(C766="","",ROW()-9)</f>
        <v/>
      </c>
      <c r="C766" s="38"/>
      <c r="D766" s="39" t="str">
        <f aca="false">IF(C766="","",IFERROR(TEXT(C766,"MMMM"),""))</f>
        <v/>
      </c>
      <c r="E766" s="40"/>
      <c r="F766" s="41" t="str">
        <f aca="false">IF(E766="","",IFERROR(INDEX('Chart of Accounts'!$C$4:$C$200,MATCH(TEXT(E766,"@"),TEXT('Chart of Accounts'!$B$4:$B$200,"@"),0)),"⚠ Not Found"))</f>
        <v/>
      </c>
      <c r="G766" s="42"/>
      <c r="H766" s="43"/>
      <c r="I766" s="43"/>
      <c r="J766" s="40"/>
    </row>
    <row r="767" customFormat="false" ht="16.5" hidden="false" customHeight="true" outlineLevel="0" collapsed="false">
      <c r="B767" s="44" t="str">
        <f aca="false">IF(C767="","",ROW()-9)</f>
        <v/>
      </c>
      <c r="C767" s="45"/>
      <c r="D767" s="46" t="str">
        <f aca="false">IF(C767="","",IFERROR(TEXT(C767,"MMMM"),""))</f>
        <v/>
      </c>
      <c r="E767" s="47"/>
      <c r="F767" s="48" t="str">
        <f aca="false">IF(E767="","",IFERROR(INDEX('Chart of Accounts'!$C$4:$C$200,MATCH(TEXT(E767,"@"),TEXT('Chart of Accounts'!$B$4:$B$200,"@"),0)),"⚠ Not Found"))</f>
        <v/>
      </c>
      <c r="G767" s="49"/>
      <c r="H767" s="50"/>
      <c r="I767" s="50"/>
      <c r="J767" s="47"/>
    </row>
    <row r="768" customFormat="false" ht="16.5" hidden="false" customHeight="true" outlineLevel="0" collapsed="false">
      <c r="B768" s="37" t="str">
        <f aca="false">IF(C768="","",ROW()-9)</f>
        <v/>
      </c>
      <c r="C768" s="38"/>
      <c r="D768" s="39" t="str">
        <f aca="false">IF(C768="","",IFERROR(TEXT(C768,"MMMM"),""))</f>
        <v/>
      </c>
      <c r="E768" s="40"/>
      <c r="F768" s="41" t="str">
        <f aca="false">IF(E768="","",IFERROR(INDEX('Chart of Accounts'!$C$4:$C$200,MATCH(TEXT(E768,"@"),TEXT('Chart of Accounts'!$B$4:$B$200,"@"),0)),"⚠ Not Found"))</f>
        <v/>
      </c>
      <c r="G768" s="42"/>
      <c r="H768" s="43"/>
      <c r="I768" s="43"/>
      <c r="J768" s="40"/>
    </row>
    <row r="769" customFormat="false" ht="16.5" hidden="false" customHeight="true" outlineLevel="0" collapsed="false">
      <c r="B769" s="44" t="str">
        <f aca="false">IF(C769="","",ROW()-9)</f>
        <v/>
      </c>
      <c r="C769" s="45"/>
      <c r="D769" s="46" t="str">
        <f aca="false">IF(C769="","",IFERROR(TEXT(C769,"MMMM"),""))</f>
        <v/>
      </c>
      <c r="E769" s="47"/>
      <c r="F769" s="48" t="str">
        <f aca="false">IF(E769="","",IFERROR(INDEX('Chart of Accounts'!$C$4:$C$200,MATCH(TEXT(E769,"@"),TEXT('Chart of Accounts'!$B$4:$B$200,"@"),0)),"⚠ Not Found"))</f>
        <v/>
      </c>
      <c r="G769" s="49"/>
      <c r="H769" s="50"/>
      <c r="I769" s="50"/>
      <c r="J769" s="47"/>
    </row>
    <row r="770" customFormat="false" ht="16.5" hidden="false" customHeight="true" outlineLevel="0" collapsed="false">
      <c r="B770" s="37" t="str">
        <f aca="false">IF(C770="","",ROW()-9)</f>
        <v/>
      </c>
      <c r="C770" s="38"/>
      <c r="D770" s="39" t="str">
        <f aca="false">IF(C770="","",IFERROR(TEXT(C770,"MMMM"),""))</f>
        <v/>
      </c>
      <c r="E770" s="40"/>
      <c r="F770" s="41" t="str">
        <f aca="false">IF(E770="","",IFERROR(INDEX('Chart of Accounts'!$C$4:$C$200,MATCH(TEXT(E770,"@"),TEXT('Chart of Accounts'!$B$4:$B$200,"@"),0)),"⚠ Not Found"))</f>
        <v/>
      </c>
      <c r="G770" s="42"/>
      <c r="H770" s="43"/>
      <c r="I770" s="43"/>
      <c r="J770" s="40"/>
    </row>
    <row r="771" customFormat="false" ht="16.5" hidden="false" customHeight="true" outlineLevel="0" collapsed="false">
      <c r="B771" s="44" t="str">
        <f aca="false">IF(C771="","",ROW()-9)</f>
        <v/>
      </c>
      <c r="C771" s="45"/>
      <c r="D771" s="46" t="str">
        <f aca="false">IF(C771="","",IFERROR(TEXT(C771,"MMMM"),""))</f>
        <v/>
      </c>
      <c r="E771" s="47"/>
      <c r="F771" s="48" t="str">
        <f aca="false">IF(E771="","",IFERROR(INDEX('Chart of Accounts'!$C$4:$C$200,MATCH(TEXT(E771,"@"),TEXT('Chart of Accounts'!$B$4:$B$200,"@"),0)),"⚠ Not Found"))</f>
        <v/>
      </c>
      <c r="G771" s="49"/>
      <c r="H771" s="50"/>
      <c r="I771" s="50"/>
      <c r="J771" s="47"/>
    </row>
    <row r="772" customFormat="false" ht="16.5" hidden="false" customHeight="true" outlineLevel="0" collapsed="false">
      <c r="B772" s="37" t="str">
        <f aca="false">IF(C772="","",ROW()-9)</f>
        <v/>
      </c>
      <c r="C772" s="38"/>
      <c r="D772" s="39" t="str">
        <f aca="false">IF(C772="","",IFERROR(TEXT(C772,"MMMM"),""))</f>
        <v/>
      </c>
      <c r="E772" s="40"/>
      <c r="F772" s="41" t="str">
        <f aca="false">IF(E772="","",IFERROR(INDEX('Chart of Accounts'!$C$4:$C$200,MATCH(TEXT(E772,"@"),TEXT('Chart of Accounts'!$B$4:$B$200,"@"),0)),"⚠ Not Found"))</f>
        <v/>
      </c>
      <c r="G772" s="42"/>
      <c r="H772" s="43"/>
      <c r="I772" s="43"/>
      <c r="J772" s="40"/>
    </row>
    <row r="773" customFormat="false" ht="16.5" hidden="false" customHeight="true" outlineLevel="0" collapsed="false">
      <c r="B773" s="44" t="str">
        <f aca="false">IF(C773="","",ROW()-9)</f>
        <v/>
      </c>
      <c r="C773" s="45"/>
      <c r="D773" s="46" t="str">
        <f aca="false">IF(C773="","",IFERROR(TEXT(C773,"MMMM"),""))</f>
        <v/>
      </c>
      <c r="E773" s="47"/>
      <c r="F773" s="48" t="str">
        <f aca="false">IF(E773="","",IFERROR(INDEX('Chart of Accounts'!$C$4:$C$200,MATCH(TEXT(E773,"@"),TEXT('Chart of Accounts'!$B$4:$B$200,"@"),0)),"⚠ Not Found"))</f>
        <v/>
      </c>
      <c r="G773" s="49"/>
      <c r="H773" s="50"/>
      <c r="I773" s="50"/>
      <c r="J773" s="47"/>
    </row>
    <row r="774" customFormat="false" ht="16.5" hidden="false" customHeight="true" outlineLevel="0" collapsed="false">
      <c r="B774" s="37" t="str">
        <f aca="false">IF(C774="","",ROW()-9)</f>
        <v/>
      </c>
      <c r="C774" s="38"/>
      <c r="D774" s="39" t="str">
        <f aca="false">IF(C774="","",IFERROR(TEXT(C774,"MMMM"),""))</f>
        <v/>
      </c>
      <c r="E774" s="40"/>
      <c r="F774" s="41" t="str">
        <f aca="false">IF(E774="","",IFERROR(INDEX('Chart of Accounts'!$C$4:$C$200,MATCH(TEXT(E774,"@"),TEXT('Chart of Accounts'!$B$4:$B$200,"@"),0)),"⚠ Not Found"))</f>
        <v/>
      </c>
      <c r="G774" s="42"/>
      <c r="H774" s="43"/>
      <c r="I774" s="43"/>
      <c r="J774" s="40"/>
    </row>
    <row r="775" customFormat="false" ht="16.5" hidden="false" customHeight="true" outlineLevel="0" collapsed="false">
      <c r="B775" s="44" t="str">
        <f aca="false">IF(C775="","",ROW()-9)</f>
        <v/>
      </c>
      <c r="C775" s="45"/>
      <c r="D775" s="46" t="str">
        <f aca="false">IF(C775="","",IFERROR(TEXT(C775,"MMMM"),""))</f>
        <v/>
      </c>
      <c r="E775" s="47"/>
      <c r="F775" s="48" t="str">
        <f aca="false">IF(E775="","",IFERROR(INDEX('Chart of Accounts'!$C$4:$C$200,MATCH(TEXT(E775,"@"),TEXT('Chart of Accounts'!$B$4:$B$200,"@"),0)),"⚠ Not Found"))</f>
        <v/>
      </c>
      <c r="G775" s="49"/>
      <c r="H775" s="50"/>
      <c r="I775" s="50"/>
      <c r="J775" s="47"/>
    </row>
    <row r="776" customFormat="false" ht="16.5" hidden="false" customHeight="true" outlineLevel="0" collapsed="false">
      <c r="B776" s="37" t="str">
        <f aca="false">IF(C776="","",ROW()-9)</f>
        <v/>
      </c>
      <c r="C776" s="38"/>
      <c r="D776" s="39" t="str">
        <f aca="false">IF(C776="","",IFERROR(TEXT(C776,"MMMM"),""))</f>
        <v/>
      </c>
      <c r="E776" s="40"/>
      <c r="F776" s="41" t="str">
        <f aca="false">IF(E776="","",IFERROR(INDEX('Chart of Accounts'!$C$4:$C$200,MATCH(TEXT(E776,"@"),TEXT('Chart of Accounts'!$B$4:$B$200,"@"),0)),"⚠ Not Found"))</f>
        <v/>
      </c>
      <c r="G776" s="42"/>
      <c r="H776" s="43"/>
      <c r="I776" s="43"/>
      <c r="J776" s="40"/>
    </row>
    <row r="777" customFormat="false" ht="16.5" hidden="false" customHeight="true" outlineLevel="0" collapsed="false">
      <c r="B777" s="44" t="str">
        <f aca="false">IF(C777="","",ROW()-9)</f>
        <v/>
      </c>
      <c r="C777" s="45"/>
      <c r="D777" s="46" t="str">
        <f aca="false">IF(C777="","",IFERROR(TEXT(C777,"MMMM"),""))</f>
        <v/>
      </c>
      <c r="E777" s="47"/>
      <c r="F777" s="48" t="str">
        <f aca="false">IF(E777="","",IFERROR(INDEX('Chart of Accounts'!$C$4:$C$200,MATCH(TEXT(E777,"@"),TEXT('Chart of Accounts'!$B$4:$B$200,"@"),0)),"⚠ Not Found"))</f>
        <v/>
      </c>
      <c r="G777" s="49"/>
      <c r="H777" s="50"/>
      <c r="I777" s="50"/>
      <c r="J777" s="47"/>
    </row>
    <row r="778" customFormat="false" ht="16.5" hidden="false" customHeight="true" outlineLevel="0" collapsed="false">
      <c r="B778" s="37" t="str">
        <f aca="false">IF(C778="","",ROW()-9)</f>
        <v/>
      </c>
      <c r="C778" s="38"/>
      <c r="D778" s="39" t="str">
        <f aca="false">IF(C778="","",IFERROR(TEXT(C778,"MMMM"),""))</f>
        <v/>
      </c>
      <c r="E778" s="40"/>
      <c r="F778" s="41" t="str">
        <f aca="false">IF(E778="","",IFERROR(INDEX('Chart of Accounts'!$C$4:$C$200,MATCH(TEXT(E778,"@"),TEXT('Chart of Accounts'!$B$4:$B$200,"@"),0)),"⚠ Not Found"))</f>
        <v/>
      </c>
      <c r="G778" s="42"/>
      <c r="H778" s="43"/>
      <c r="I778" s="43"/>
      <c r="J778" s="40"/>
    </row>
    <row r="779" customFormat="false" ht="16.5" hidden="false" customHeight="true" outlineLevel="0" collapsed="false">
      <c r="B779" s="44" t="str">
        <f aca="false">IF(C779="","",ROW()-9)</f>
        <v/>
      </c>
      <c r="C779" s="45"/>
      <c r="D779" s="46" t="str">
        <f aca="false">IF(C779="","",IFERROR(TEXT(C779,"MMMM"),""))</f>
        <v/>
      </c>
      <c r="E779" s="47"/>
      <c r="F779" s="48" t="str">
        <f aca="false">IF(E779="","",IFERROR(INDEX('Chart of Accounts'!$C$4:$C$200,MATCH(TEXT(E779,"@"),TEXT('Chart of Accounts'!$B$4:$B$200,"@"),0)),"⚠ Not Found"))</f>
        <v/>
      </c>
      <c r="G779" s="49"/>
      <c r="H779" s="50"/>
      <c r="I779" s="50"/>
      <c r="J779" s="47"/>
    </row>
    <row r="780" customFormat="false" ht="16.5" hidden="false" customHeight="true" outlineLevel="0" collapsed="false">
      <c r="B780" s="37" t="str">
        <f aca="false">IF(C780="","",ROW()-9)</f>
        <v/>
      </c>
      <c r="C780" s="38"/>
      <c r="D780" s="39" t="str">
        <f aca="false">IF(C780="","",IFERROR(TEXT(C780,"MMMM"),""))</f>
        <v/>
      </c>
      <c r="E780" s="40"/>
      <c r="F780" s="41" t="str">
        <f aca="false">IF(E780="","",IFERROR(INDEX('Chart of Accounts'!$C$4:$C$200,MATCH(TEXT(E780,"@"),TEXT('Chart of Accounts'!$B$4:$B$200,"@"),0)),"⚠ Not Found"))</f>
        <v/>
      </c>
      <c r="G780" s="42"/>
      <c r="H780" s="43"/>
      <c r="I780" s="43"/>
      <c r="J780" s="40"/>
    </row>
    <row r="781" customFormat="false" ht="16.5" hidden="false" customHeight="true" outlineLevel="0" collapsed="false">
      <c r="B781" s="44" t="str">
        <f aca="false">IF(C781="","",ROW()-9)</f>
        <v/>
      </c>
      <c r="C781" s="45"/>
      <c r="D781" s="46" t="str">
        <f aca="false">IF(C781="","",IFERROR(TEXT(C781,"MMMM"),""))</f>
        <v/>
      </c>
      <c r="E781" s="47"/>
      <c r="F781" s="48" t="str">
        <f aca="false">IF(E781="","",IFERROR(INDEX('Chart of Accounts'!$C$4:$C$200,MATCH(TEXT(E781,"@"),TEXT('Chart of Accounts'!$B$4:$B$200,"@"),0)),"⚠ Not Found"))</f>
        <v/>
      </c>
      <c r="G781" s="49"/>
      <c r="H781" s="50"/>
      <c r="I781" s="50"/>
      <c r="J781" s="47"/>
    </row>
    <row r="782" customFormat="false" ht="16.5" hidden="false" customHeight="true" outlineLevel="0" collapsed="false">
      <c r="B782" s="37" t="str">
        <f aca="false">IF(C782="","",ROW()-9)</f>
        <v/>
      </c>
      <c r="C782" s="38"/>
      <c r="D782" s="39" t="str">
        <f aca="false">IF(C782="","",IFERROR(TEXT(C782,"MMMM"),""))</f>
        <v/>
      </c>
      <c r="E782" s="40"/>
      <c r="F782" s="41" t="str">
        <f aca="false">IF(E782="","",IFERROR(INDEX('Chart of Accounts'!$C$4:$C$200,MATCH(TEXT(E782,"@"),TEXT('Chart of Accounts'!$B$4:$B$200,"@"),0)),"⚠ Not Found"))</f>
        <v/>
      </c>
      <c r="G782" s="42"/>
      <c r="H782" s="43"/>
      <c r="I782" s="43"/>
      <c r="J782" s="40"/>
    </row>
    <row r="783" customFormat="false" ht="16.5" hidden="false" customHeight="true" outlineLevel="0" collapsed="false">
      <c r="B783" s="44" t="str">
        <f aca="false">IF(C783="","",ROW()-9)</f>
        <v/>
      </c>
      <c r="C783" s="45"/>
      <c r="D783" s="46" t="str">
        <f aca="false">IF(C783="","",IFERROR(TEXT(C783,"MMMM"),""))</f>
        <v/>
      </c>
      <c r="E783" s="47"/>
      <c r="F783" s="48" t="str">
        <f aca="false">IF(E783="","",IFERROR(INDEX('Chart of Accounts'!$C$4:$C$200,MATCH(TEXT(E783,"@"),TEXT('Chart of Accounts'!$B$4:$B$200,"@"),0)),"⚠ Not Found"))</f>
        <v/>
      </c>
      <c r="G783" s="49"/>
      <c r="H783" s="50"/>
      <c r="I783" s="50"/>
      <c r="J783" s="47"/>
    </row>
    <row r="784" customFormat="false" ht="16.5" hidden="false" customHeight="true" outlineLevel="0" collapsed="false">
      <c r="B784" s="37" t="str">
        <f aca="false">IF(C784="","",ROW()-9)</f>
        <v/>
      </c>
      <c r="C784" s="38"/>
      <c r="D784" s="39" t="str">
        <f aca="false">IF(C784="","",IFERROR(TEXT(C784,"MMMM"),""))</f>
        <v/>
      </c>
      <c r="E784" s="40"/>
      <c r="F784" s="41" t="str">
        <f aca="false">IF(E784="","",IFERROR(INDEX('Chart of Accounts'!$C$4:$C$200,MATCH(TEXT(E784,"@"),TEXT('Chart of Accounts'!$B$4:$B$200,"@"),0)),"⚠ Not Found"))</f>
        <v/>
      </c>
      <c r="G784" s="42"/>
      <c r="H784" s="43"/>
      <c r="I784" s="43"/>
      <c r="J784" s="40"/>
    </row>
    <row r="785" customFormat="false" ht="16.5" hidden="false" customHeight="true" outlineLevel="0" collapsed="false">
      <c r="B785" s="44" t="str">
        <f aca="false">IF(C785="","",ROW()-9)</f>
        <v/>
      </c>
      <c r="C785" s="45"/>
      <c r="D785" s="46" t="str">
        <f aca="false">IF(C785="","",IFERROR(TEXT(C785,"MMMM"),""))</f>
        <v/>
      </c>
      <c r="E785" s="47"/>
      <c r="F785" s="48" t="str">
        <f aca="false">IF(E785="","",IFERROR(INDEX('Chart of Accounts'!$C$4:$C$200,MATCH(TEXT(E785,"@"),TEXT('Chart of Accounts'!$B$4:$B$200,"@"),0)),"⚠ Not Found"))</f>
        <v/>
      </c>
      <c r="G785" s="49"/>
      <c r="H785" s="50"/>
      <c r="I785" s="50"/>
      <c r="J785" s="47"/>
    </row>
    <row r="786" customFormat="false" ht="16.5" hidden="false" customHeight="true" outlineLevel="0" collapsed="false">
      <c r="B786" s="37" t="str">
        <f aca="false">IF(C786="","",ROW()-9)</f>
        <v/>
      </c>
      <c r="C786" s="38"/>
      <c r="D786" s="39" t="str">
        <f aca="false">IF(C786="","",IFERROR(TEXT(C786,"MMMM"),""))</f>
        <v/>
      </c>
      <c r="E786" s="40"/>
      <c r="F786" s="41" t="str">
        <f aca="false">IF(E786="","",IFERROR(INDEX('Chart of Accounts'!$C$4:$C$200,MATCH(TEXT(E786,"@"),TEXT('Chart of Accounts'!$B$4:$B$200,"@"),0)),"⚠ Not Found"))</f>
        <v/>
      </c>
      <c r="G786" s="42"/>
      <c r="H786" s="43"/>
      <c r="I786" s="43"/>
      <c r="J786" s="40"/>
    </row>
    <row r="787" customFormat="false" ht="16.5" hidden="false" customHeight="true" outlineLevel="0" collapsed="false">
      <c r="B787" s="44" t="str">
        <f aca="false">IF(C787="","",ROW()-9)</f>
        <v/>
      </c>
      <c r="C787" s="45"/>
      <c r="D787" s="46" t="str">
        <f aca="false">IF(C787="","",IFERROR(TEXT(C787,"MMMM"),""))</f>
        <v/>
      </c>
      <c r="E787" s="47"/>
      <c r="F787" s="48" t="str">
        <f aca="false">IF(E787="","",IFERROR(INDEX('Chart of Accounts'!$C$4:$C$200,MATCH(TEXT(E787,"@"),TEXT('Chart of Accounts'!$B$4:$B$200,"@"),0)),"⚠ Not Found"))</f>
        <v/>
      </c>
      <c r="G787" s="49"/>
      <c r="H787" s="50"/>
      <c r="I787" s="50"/>
      <c r="J787" s="47"/>
    </row>
    <row r="788" customFormat="false" ht="16.5" hidden="false" customHeight="true" outlineLevel="0" collapsed="false">
      <c r="B788" s="37" t="str">
        <f aca="false">IF(C788="","",ROW()-9)</f>
        <v/>
      </c>
      <c r="C788" s="38"/>
      <c r="D788" s="39" t="str">
        <f aca="false">IF(C788="","",IFERROR(TEXT(C788,"MMMM"),""))</f>
        <v/>
      </c>
      <c r="E788" s="40"/>
      <c r="F788" s="41" t="str">
        <f aca="false">IF(E788="","",IFERROR(INDEX('Chart of Accounts'!$C$4:$C$200,MATCH(TEXT(E788,"@"),TEXT('Chart of Accounts'!$B$4:$B$200,"@"),0)),"⚠ Not Found"))</f>
        <v/>
      </c>
      <c r="G788" s="42"/>
      <c r="H788" s="43"/>
      <c r="I788" s="43"/>
      <c r="J788" s="40"/>
    </row>
    <row r="789" customFormat="false" ht="16.5" hidden="false" customHeight="true" outlineLevel="0" collapsed="false">
      <c r="B789" s="44" t="str">
        <f aca="false">IF(C789="","",ROW()-9)</f>
        <v/>
      </c>
      <c r="C789" s="45"/>
      <c r="D789" s="46" t="str">
        <f aca="false">IF(C789="","",IFERROR(TEXT(C789,"MMMM"),""))</f>
        <v/>
      </c>
      <c r="E789" s="47"/>
      <c r="F789" s="48" t="str">
        <f aca="false">IF(E789="","",IFERROR(INDEX('Chart of Accounts'!$C$4:$C$200,MATCH(TEXT(E789,"@"),TEXT('Chart of Accounts'!$B$4:$B$200,"@"),0)),"⚠ Not Found"))</f>
        <v/>
      </c>
      <c r="G789" s="49"/>
      <c r="H789" s="50"/>
      <c r="I789" s="50"/>
      <c r="J789" s="47"/>
    </row>
    <row r="790" customFormat="false" ht="16.5" hidden="false" customHeight="true" outlineLevel="0" collapsed="false">
      <c r="B790" s="37" t="str">
        <f aca="false">IF(C790="","",ROW()-9)</f>
        <v/>
      </c>
      <c r="C790" s="38"/>
      <c r="D790" s="39" t="str">
        <f aca="false">IF(C790="","",IFERROR(TEXT(C790,"MMMM"),""))</f>
        <v/>
      </c>
      <c r="E790" s="40"/>
      <c r="F790" s="41" t="str">
        <f aca="false">IF(E790="","",IFERROR(INDEX('Chart of Accounts'!$C$4:$C$200,MATCH(TEXT(E790,"@"),TEXT('Chart of Accounts'!$B$4:$B$200,"@"),0)),"⚠ Not Found"))</f>
        <v/>
      </c>
      <c r="G790" s="42"/>
      <c r="H790" s="43"/>
      <c r="I790" s="43"/>
      <c r="J790" s="40"/>
    </row>
    <row r="791" customFormat="false" ht="16.5" hidden="false" customHeight="true" outlineLevel="0" collapsed="false">
      <c r="B791" s="44" t="str">
        <f aca="false">IF(C791="","",ROW()-9)</f>
        <v/>
      </c>
      <c r="C791" s="45"/>
      <c r="D791" s="46" t="str">
        <f aca="false">IF(C791="","",IFERROR(TEXT(C791,"MMMM"),""))</f>
        <v/>
      </c>
      <c r="E791" s="47"/>
      <c r="F791" s="48" t="str">
        <f aca="false">IF(E791="","",IFERROR(INDEX('Chart of Accounts'!$C$4:$C$200,MATCH(TEXT(E791,"@"),TEXT('Chart of Accounts'!$B$4:$B$200,"@"),0)),"⚠ Not Found"))</f>
        <v/>
      </c>
      <c r="G791" s="49"/>
      <c r="H791" s="50"/>
      <c r="I791" s="50"/>
      <c r="J791" s="47"/>
    </row>
    <row r="792" customFormat="false" ht="16.5" hidden="false" customHeight="true" outlineLevel="0" collapsed="false">
      <c r="B792" s="37" t="str">
        <f aca="false">IF(C792="","",ROW()-9)</f>
        <v/>
      </c>
      <c r="C792" s="38"/>
      <c r="D792" s="39" t="str">
        <f aca="false">IF(C792="","",IFERROR(TEXT(C792,"MMMM"),""))</f>
        <v/>
      </c>
      <c r="E792" s="40"/>
      <c r="F792" s="41" t="str">
        <f aca="false">IF(E792="","",IFERROR(INDEX('Chart of Accounts'!$C$4:$C$200,MATCH(TEXT(E792,"@"),TEXT('Chart of Accounts'!$B$4:$B$200,"@"),0)),"⚠ Not Found"))</f>
        <v/>
      </c>
      <c r="G792" s="42"/>
      <c r="H792" s="43"/>
      <c r="I792" s="43"/>
      <c r="J792" s="40"/>
    </row>
    <row r="793" customFormat="false" ht="16.5" hidden="false" customHeight="true" outlineLevel="0" collapsed="false">
      <c r="B793" s="44" t="str">
        <f aca="false">IF(C793="","",ROW()-9)</f>
        <v/>
      </c>
      <c r="C793" s="45"/>
      <c r="D793" s="46" t="str">
        <f aca="false">IF(C793="","",IFERROR(TEXT(C793,"MMMM"),""))</f>
        <v/>
      </c>
      <c r="E793" s="47"/>
      <c r="F793" s="48" t="str">
        <f aca="false">IF(E793="","",IFERROR(INDEX('Chart of Accounts'!$C$4:$C$200,MATCH(TEXT(E793,"@"),TEXT('Chart of Accounts'!$B$4:$B$200,"@"),0)),"⚠ Not Found"))</f>
        <v/>
      </c>
      <c r="G793" s="49"/>
      <c r="H793" s="50"/>
      <c r="I793" s="50"/>
      <c r="J793" s="47"/>
    </row>
    <row r="794" customFormat="false" ht="16.5" hidden="false" customHeight="true" outlineLevel="0" collapsed="false">
      <c r="B794" s="37" t="str">
        <f aca="false">IF(C794="","",ROW()-9)</f>
        <v/>
      </c>
      <c r="C794" s="38"/>
      <c r="D794" s="39" t="str">
        <f aca="false">IF(C794="","",IFERROR(TEXT(C794,"MMMM"),""))</f>
        <v/>
      </c>
      <c r="E794" s="40"/>
      <c r="F794" s="41" t="str">
        <f aca="false">IF(E794="","",IFERROR(INDEX('Chart of Accounts'!$C$4:$C$200,MATCH(TEXT(E794,"@"),TEXT('Chart of Accounts'!$B$4:$B$200,"@"),0)),"⚠ Not Found"))</f>
        <v/>
      </c>
      <c r="G794" s="42"/>
      <c r="H794" s="43"/>
      <c r="I794" s="43"/>
      <c r="J794" s="40"/>
    </row>
    <row r="795" customFormat="false" ht="16.5" hidden="false" customHeight="true" outlineLevel="0" collapsed="false">
      <c r="B795" s="44" t="str">
        <f aca="false">IF(C795="","",ROW()-9)</f>
        <v/>
      </c>
      <c r="C795" s="45"/>
      <c r="D795" s="46" t="str">
        <f aca="false">IF(C795="","",IFERROR(TEXT(C795,"MMMM"),""))</f>
        <v/>
      </c>
      <c r="E795" s="47"/>
      <c r="F795" s="48" t="str">
        <f aca="false">IF(E795="","",IFERROR(INDEX('Chart of Accounts'!$C$4:$C$200,MATCH(TEXT(E795,"@"),TEXT('Chart of Accounts'!$B$4:$B$200,"@"),0)),"⚠ Not Found"))</f>
        <v/>
      </c>
      <c r="G795" s="49"/>
      <c r="H795" s="50"/>
      <c r="I795" s="50"/>
      <c r="J795" s="47"/>
    </row>
    <row r="796" customFormat="false" ht="16.5" hidden="false" customHeight="true" outlineLevel="0" collapsed="false">
      <c r="B796" s="37" t="str">
        <f aca="false">IF(C796="","",ROW()-9)</f>
        <v/>
      </c>
      <c r="C796" s="38"/>
      <c r="D796" s="39" t="str">
        <f aca="false">IF(C796="","",IFERROR(TEXT(C796,"MMMM"),""))</f>
        <v/>
      </c>
      <c r="E796" s="40"/>
      <c r="F796" s="41" t="str">
        <f aca="false">IF(E796="","",IFERROR(INDEX('Chart of Accounts'!$C$4:$C$200,MATCH(TEXT(E796,"@"),TEXT('Chart of Accounts'!$B$4:$B$200,"@"),0)),"⚠ Not Found"))</f>
        <v/>
      </c>
      <c r="G796" s="42"/>
      <c r="H796" s="43"/>
      <c r="I796" s="43"/>
      <c r="J796" s="40"/>
    </row>
    <row r="797" customFormat="false" ht="16.5" hidden="false" customHeight="true" outlineLevel="0" collapsed="false">
      <c r="B797" s="44" t="str">
        <f aca="false">IF(C797="","",ROW()-9)</f>
        <v/>
      </c>
      <c r="C797" s="45"/>
      <c r="D797" s="46" t="str">
        <f aca="false">IF(C797="","",IFERROR(TEXT(C797,"MMMM"),""))</f>
        <v/>
      </c>
      <c r="E797" s="47"/>
      <c r="F797" s="48" t="str">
        <f aca="false">IF(E797="","",IFERROR(INDEX('Chart of Accounts'!$C$4:$C$200,MATCH(TEXT(E797,"@"),TEXT('Chart of Accounts'!$B$4:$B$200,"@"),0)),"⚠ Not Found"))</f>
        <v/>
      </c>
      <c r="G797" s="49"/>
      <c r="H797" s="50"/>
      <c r="I797" s="50"/>
      <c r="J797" s="47"/>
    </row>
    <row r="798" customFormat="false" ht="16.5" hidden="false" customHeight="true" outlineLevel="0" collapsed="false">
      <c r="B798" s="37" t="str">
        <f aca="false">IF(C798="","",ROW()-9)</f>
        <v/>
      </c>
      <c r="C798" s="38"/>
      <c r="D798" s="39" t="str">
        <f aca="false">IF(C798="","",IFERROR(TEXT(C798,"MMMM"),""))</f>
        <v/>
      </c>
      <c r="E798" s="40"/>
      <c r="F798" s="41" t="str">
        <f aca="false">IF(E798="","",IFERROR(INDEX('Chart of Accounts'!$C$4:$C$200,MATCH(TEXT(E798,"@"),TEXT('Chart of Accounts'!$B$4:$B$200,"@"),0)),"⚠ Not Found"))</f>
        <v/>
      </c>
      <c r="G798" s="42"/>
      <c r="H798" s="43"/>
      <c r="I798" s="43"/>
      <c r="J798" s="40"/>
    </row>
    <row r="799" customFormat="false" ht="16.5" hidden="false" customHeight="true" outlineLevel="0" collapsed="false">
      <c r="B799" s="44" t="str">
        <f aca="false">IF(C799="","",ROW()-9)</f>
        <v/>
      </c>
      <c r="C799" s="45"/>
      <c r="D799" s="46" t="str">
        <f aca="false">IF(C799="","",IFERROR(TEXT(C799,"MMMM"),""))</f>
        <v/>
      </c>
      <c r="E799" s="47"/>
      <c r="F799" s="48" t="str">
        <f aca="false">IF(E799="","",IFERROR(INDEX('Chart of Accounts'!$C$4:$C$200,MATCH(TEXT(E799,"@"),TEXT('Chart of Accounts'!$B$4:$B$200,"@"),0)),"⚠ Not Found"))</f>
        <v/>
      </c>
      <c r="G799" s="49"/>
      <c r="H799" s="50"/>
      <c r="I799" s="50"/>
      <c r="J799" s="47"/>
    </row>
    <row r="800" customFormat="false" ht="16.5" hidden="false" customHeight="true" outlineLevel="0" collapsed="false">
      <c r="B800" s="37" t="str">
        <f aca="false">IF(C800="","",ROW()-9)</f>
        <v/>
      </c>
      <c r="C800" s="38"/>
      <c r="D800" s="39" t="str">
        <f aca="false">IF(C800="","",IFERROR(TEXT(C800,"MMMM"),""))</f>
        <v/>
      </c>
      <c r="E800" s="40"/>
      <c r="F800" s="41" t="str">
        <f aca="false">IF(E800="","",IFERROR(INDEX('Chart of Accounts'!$C$4:$C$200,MATCH(TEXT(E800,"@"),TEXT('Chart of Accounts'!$B$4:$B$200,"@"),0)),"⚠ Not Found"))</f>
        <v/>
      </c>
      <c r="G800" s="42"/>
      <c r="H800" s="43"/>
      <c r="I800" s="43"/>
      <c r="J800" s="40"/>
    </row>
    <row r="801" customFormat="false" ht="16.5" hidden="false" customHeight="true" outlineLevel="0" collapsed="false">
      <c r="B801" s="44" t="str">
        <f aca="false">IF(C801="","",ROW()-9)</f>
        <v/>
      </c>
      <c r="C801" s="45"/>
      <c r="D801" s="46" t="str">
        <f aca="false">IF(C801="","",IFERROR(TEXT(C801,"MMMM"),""))</f>
        <v/>
      </c>
      <c r="E801" s="47"/>
      <c r="F801" s="48" t="str">
        <f aca="false">IF(E801="","",IFERROR(INDEX('Chart of Accounts'!$C$4:$C$200,MATCH(TEXT(E801,"@"),TEXT('Chart of Accounts'!$B$4:$B$200,"@"),0)),"⚠ Not Found"))</f>
        <v/>
      </c>
      <c r="G801" s="49"/>
      <c r="H801" s="50"/>
      <c r="I801" s="50"/>
      <c r="J801" s="47"/>
    </row>
    <row r="802" customFormat="false" ht="16.5" hidden="false" customHeight="true" outlineLevel="0" collapsed="false">
      <c r="B802" s="37" t="str">
        <f aca="false">IF(C802="","",ROW()-9)</f>
        <v/>
      </c>
      <c r="C802" s="38"/>
      <c r="D802" s="39" t="str">
        <f aca="false">IF(C802="","",IFERROR(TEXT(C802,"MMMM"),""))</f>
        <v/>
      </c>
      <c r="E802" s="40"/>
      <c r="F802" s="41" t="str">
        <f aca="false">IF(E802="","",IFERROR(INDEX('Chart of Accounts'!$C$4:$C$200,MATCH(TEXT(E802,"@"),TEXT('Chart of Accounts'!$B$4:$B$200,"@"),0)),"⚠ Not Found"))</f>
        <v/>
      </c>
      <c r="G802" s="42"/>
      <c r="H802" s="43"/>
      <c r="I802" s="43"/>
      <c r="J802" s="40"/>
    </row>
    <row r="803" customFormat="false" ht="16.5" hidden="false" customHeight="true" outlineLevel="0" collapsed="false">
      <c r="B803" s="44" t="str">
        <f aca="false">IF(C803="","",ROW()-9)</f>
        <v/>
      </c>
      <c r="C803" s="45"/>
      <c r="D803" s="46" t="str">
        <f aca="false">IF(C803="","",IFERROR(TEXT(C803,"MMMM"),""))</f>
        <v/>
      </c>
      <c r="E803" s="47"/>
      <c r="F803" s="48" t="str">
        <f aca="false">IF(E803="","",IFERROR(INDEX('Chart of Accounts'!$C$4:$C$200,MATCH(TEXT(E803,"@"),TEXT('Chart of Accounts'!$B$4:$B$200,"@"),0)),"⚠ Not Found"))</f>
        <v/>
      </c>
      <c r="G803" s="49"/>
      <c r="H803" s="50"/>
      <c r="I803" s="50"/>
      <c r="J803" s="47"/>
    </row>
    <row r="804" customFormat="false" ht="16.5" hidden="false" customHeight="true" outlineLevel="0" collapsed="false">
      <c r="B804" s="37" t="str">
        <f aca="false">IF(C804="","",ROW()-9)</f>
        <v/>
      </c>
      <c r="C804" s="38"/>
      <c r="D804" s="39" t="str">
        <f aca="false">IF(C804="","",IFERROR(TEXT(C804,"MMMM"),""))</f>
        <v/>
      </c>
      <c r="E804" s="40"/>
      <c r="F804" s="41" t="str">
        <f aca="false">IF(E804="","",IFERROR(INDEX('Chart of Accounts'!$C$4:$C$200,MATCH(TEXT(E804,"@"),TEXT('Chart of Accounts'!$B$4:$B$200,"@"),0)),"⚠ Not Found"))</f>
        <v/>
      </c>
      <c r="G804" s="42"/>
      <c r="H804" s="43"/>
      <c r="I804" s="43"/>
      <c r="J804" s="40"/>
    </row>
    <row r="805" customFormat="false" ht="16.5" hidden="false" customHeight="true" outlineLevel="0" collapsed="false">
      <c r="B805" s="44" t="str">
        <f aca="false">IF(C805="","",ROW()-9)</f>
        <v/>
      </c>
      <c r="C805" s="45"/>
      <c r="D805" s="46" t="str">
        <f aca="false">IF(C805="","",IFERROR(TEXT(C805,"MMMM"),""))</f>
        <v/>
      </c>
      <c r="E805" s="47"/>
      <c r="F805" s="48" t="str">
        <f aca="false">IF(E805="","",IFERROR(INDEX('Chart of Accounts'!$C$4:$C$200,MATCH(TEXT(E805,"@"),TEXT('Chart of Accounts'!$B$4:$B$200,"@"),0)),"⚠ Not Found"))</f>
        <v/>
      </c>
      <c r="G805" s="49"/>
      <c r="H805" s="50"/>
      <c r="I805" s="50"/>
      <c r="J805" s="47"/>
    </row>
    <row r="806" customFormat="false" ht="16.5" hidden="false" customHeight="true" outlineLevel="0" collapsed="false">
      <c r="B806" s="37" t="str">
        <f aca="false">IF(C806="","",ROW()-9)</f>
        <v/>
      </c>
      <c r="C806" s="38"/>
      <c r="D806" s="39" t="str">
        <f aca="false">IF(C806="","",IFERROR(TEXT(C806,"MMMM"),""))</f>
        <v/>
      </c>
      <c r="E806" s="40"/>
      <c r="F806" s="41" t="str">
        <f aca="false">IF(E806="","",IFERROR(INDEX('Chart of Accounts'!$C$4:$C$200,MATCH(TEXT(E806,"@"),TEXT('Chart of Accounts'!$B$4:$B$200,"@"),0)),"⚠ Not Found"))</f>
        <v/>
      </c>
      <c r="G806" s="42"/>
      <c r="H806" s="43"/>
      <c r="I806" s="43"/>
      <c r="J806" s="40"/>
    </row>
    <row r="807" customFormat="false" ht="16.5" hidden="false" customHeight="true" outlineLevel="0" collapsed="false">
      <c r="B807" s="44" t="str">
        <f aca="false">IF(C807="","",ROW()-9)</f>
        <v/>
      </c>
      <c r="C807" s="45"/>
      <c r="D807" s="46" t="str">
        <f aca="false">IF(C807="","",IFERROR(TEXT(C807,"MMMM"),""))</f>
        <v/>
      </c>
      <c r="E807" s="47"/>
      <c r="F807" s="48" t="str">
        <f aca="false">IF(E807="","",IFERROR(INDEX('Chart of Accounts'!$C$4:$C$200,MATCH(TEXT(E807,"@"),TEXT('Chart of Accounts'!$B$4:$B$200,"@"),0)),"⚠ Not Found"))</f>
        <v/>
      </c>
      <c r="G807" s="49"/>
      <c r="H807" s="50"/>
      <c r="I807" s="50"/>
      <c r="J807" s="47"/>
    </row>
    <row r="808" customFormat="false" ht="16.5" hidden="false" customHeight="true" outlineLevel="0" collapsed="false">
      <c r="B808" s="37" t="str">
        <f aca="false">IF(C808="","",ROW()-9)</f>
        <v/>
      </c>
      <c r="C808" s="38"/>
      <c r="D808" s="39" t="str">
        <f aca="false">IF(C808="","",IFERROR(TEXT(C808,"MMMM"),""))</f>
        <v/>
      </c>
      <c r="E808" s="40"/>
      <c r="F808" s="41" t="str">
        <f aca="false">IF(E808="","",IFERROR(INDEX('Chart of Accounts'!$C$4:$C$200,MATCH(TEXT(E808,"@"),TEXT('Chart of Accounts'!$B$4:$B$200,"@"),0)),"⚠ Not Found"))</f>
        <v/>
      </c>
      <c r="G808" s="42"/>
      <c r="H808" s="43"/>
      <c r="I808" s="43"/>
      <c r="J808" s="40"/>
    </row>
    <row r="809" customFormat="false" ht="16.5" hidden="false" customHeight="true" outlineLevel="0" collapsed="false">
      <c r="B809" s="44" t="str">
        <f aca="false">IF(C809="","",ROW()-9)</f>
        <v/>
      </c>
      <c r="C809" s="45"/>
      <c r="D809" s="46" t="str">
        <f aca="false">IF(C809="","",IFERROR(TEXT(C809,"MMMM"),""))</f>
        <v/>
      </c>
      <c r="E809" s="47"/>
      <c r="F809" s="48" t="str">
        <f aca="false">IF(E809="","",IFERROR(INDEX('Chart of Accounts'!$C$4:$C$200,MATCH(TEXT(E809,"@"),TEXT('Chart of Accounts'!$B$4:$B$200,"@"),0)),"⚠ Not Found"))</f>
        <v/>
      </c>
      <c r="G809" s="49"/>
      <c r="H809" s="50"/>
      <c r="I809" s="50"/>
      <c r="J809" s="47"/>
    </row>
    <row r="810" customFormat="false" ht="16.5" hidden="false" customHeight="true" outlineLevel="0" collapsed="false">
      <c r="B810" s="37" t="str">
        <f aca="false">IF(C810="","",ROW()-9)</f>
        <v/>
      </c>
      <c r="C810" s="38"/>
      <c r="D810" s="39" t="str">
        <f aca="false">IF(C810="","",IFERROR(TEXT(C810,"MMMM"),""))</f>
        <v/>
      </c>
      <c r="E810" s="40"/>
      <c r="F810" s="41" t="str">
        <f aca="false">IF(E810="","",IFERROR(INDEX('Chart of Accounts'!$C$4:$C$200,MATCH(TEXT(E810,"@"),TEXT('Chart of Accounts'!$B$4:$B$200,"@"),0)),"⚠ Not Found"))</f>
        <v/>
      </c>
      <c r="G810" s="42"/>
      <c r="H810" s="43"/>
      <c r="I810" s="43"/>
      <c r="J810" s="40"/>
    </row>
    <row r="811" customFormat="false" ht="16.5" hidden="false" customHeight="true" outlineLevel="0" collapsed="false">
      <c r="B811" s="44" t="str">
        <f aca="false">IF(C811="","",ROW()-9)</f>
        <v/>
      </c>
      <c r="C811" s="45"/>
      <c r="D811" s="46" t="str">
        <f aca="false">IF(C811="","",IFERROR(TEXT(C811,"MMMM"),""))</f>
        <v/>
      </c>
      <c r="E811" s="47"/>
      <c r="F811" s="48" t="str">
        <f aca="false">IF(E811="","",IFERROR(INDEX('Chart of Accounts'!$C$4:$C$200,MATCH(TEXT(E811,"@"),TEXT('Chart of Accounts'!$B$4:$B$200,"@"),0)),"⚠ Not Found"))</f>
        <v/>
      </c>
      <c r="G811" s="49"/>
      <c r="H811" s="50"/>
      <c r="I811" s="50"/>
      <c r="J811" s="47"/>
    </row>
    <row r="812" customFormat="false" ht="16.5" hidden="false" customHeight="true" outlineLevel="0" collapsed="false">
      <c r="B812" s="37" t="str">
        <f aca="false">IF(C812="","",ROW()-9)</f>
        <v/>
      </c>
      <c r="C812" s="38"/>
      <c r="D812" s="39" t="str">
        <f aca="false">IF(C812="","",IFERROR(TEXT(C812,"MMMM"),""))</f>
        <v/>
      </c>
      <c r="E812" s="40"/>
      <c r="F812" s="41" t="str">
        <f aca="false">IF(E812="","",IFERROR(INDEX('Chart of Accounts'!$C$4:$C$200,MATCH(TEXT(E812,"@"),TEXT('Chart of Accounts'!$B$4:$B$200,"@"),0)),"⚠ Not Found"))</f>
        <v/>
      </c>
      <c r="G812" s="42"/>
      <c r="H812" s="43"/>
      <c r="I812" s="43"/>
      <c r="J812" s="40"/>
    </row>
    <row r="813" customFormat="false" ht="16.5" hidden="false" customHeight="true" outlineLevel="0" collapsed="false">
      <c r="B813" s="44" t="str">
        <f aca="false">IF(C813="","",ROW()-9)</f>
        <v/>
      </c>
      <c r="C813" s="45"/>
      <c r="D813" s="46" t="str">
        <f aca="false">IF(C813="","",IFERROR(TEXT(C813,"MMMM"),""))</f>
        <v/>
      </c>
      <c r="E813" s="47"/>
      <c r="F813" s="48" t="str">
        <f aca="false">IF(E813="","",IFERROR(INDEX('Chart of Accounts'!$C$4:$C$200,MATCH(TEXT(E813,"@"),TEXT('Chart of Accounts'!$B$4:$B$200,"@"),0)),"⚠ Not Found"))</f>
        <v/>
      </c>
      <c r="G813" s="49"/>
      <c r="H813" s="50"/>
      <c r="I813" s="50"/>
      <c r="J813" s="47"/>
    </row>
    <row r="814" customFormat="false" ht="16.5" hidden="false" customHeight="true" outlineLevel="0" collapsed="false">
      <c r="B814" s="37" t="str">
        <f aca="false">IF(C814="","",ROW()-9)</f>
        <v/>
      </c>
      <c r="C814" s="38"/>
      <c r="D814" s="39" t="str">
        <f aca="false">IF(C814="","",IFERROR(TEXT(C814,"MMMM"),""))</f>
        <v/>
      </c>
      <c r="E814" s="40"/>
      <c r="F814" s="41" t="str">
        <f aca="false">IF(E814="","",IFERROR(INDEX('Chart of Accounts'!$C$4:$C$200,MATCH(TEXT(E814,"@"),TEXT('Chart of Accounts'!$B$4:$B$200,"@"),0)),"⚠ Not Found"))</f>
        <v/>
      </c>
      <c r="G814" s="42"/>
      <c r="H814" s="43"/>
      <c r="I814" s="43"/>
      <c r="J814" s="40"/>
    </row>
    <row r="815" customFormat="false" ht="16.5" hidden="false" customHeight="true" outlineLevel="0" collapsed="false">
      <c r="B815" s="44" t="str">
        <f aca="false">IF(C815="","",ROW()-9)</f>
        <v/>
      </c>
      <c r="C815" s="45"/>
      <c r="D815" s="46" t="str">
        <f aca="false">IF(C815="","",IFERROR(TEXT(C815,"MMMM"),""))</f>
        <v/>
      </c>
      <c r="E815" s="47"/>
      <c r="F815" s="48" t="str">
        <f aca="false">IF(E815="","",IFERROR(INDEX('Chart of Accounts'!$C$4:$C$200,MATCH(TEXT(E815,"@"),TEXT('Chart of Accounts'!$B$4:$B$200,"@"),0)),"⚠ Not Found"))</f>
        <v/>
      </c>
      <c r="G815" s="49"/>
      <c r="H815" s="50"/>
      <c r="I815" s="50"/>
      <c r="J815" s="47"/>
    </row>
    <row r="816" customFormat="false" ht="16.5" hidden="false" customHeight="true" outlineLevel="0" collapsed="false">
      <c r="B816" s="37" t="str">
        <f aca="false">IF(C816="","",ROW()-9)</f>
        <v/>
      </c>
      <c r="C816" s="38"/>
      <c r="D816" s="39" t="str">
        <f aca="false">IF(C816="","",IFERROR(TEXT(C816,"MMMM"),""))</f>
        <v/>
      </c>
      <c r="E816" s="40"/>
      <c r="F816" s="41" t="str">
        <f aca="false">IF(E816="","",IFERROR(INDEX('Chart of Accounts'!$C$4:$C$200,MATCH(TEXT(E816,"@"),TEXT('Chart of Accounts'!$B$4:$B$200,"@"),0)),"⚠ Not Found"))</f>
        <v/>
      </c>
      <c r="G816" s="42"/>
      <c r="H816" s="43"/>
      <c r="I816" s="43"/>
      <c r="J816" s="40"/>
    </row>
    <row r="817" customFormat="false" ht="16.5" hidden="false" customHeight="true" outlineLevel="0" collapsed="false">
      <c r="B817" s="44" t="str">
        <f aca="false">IF(C817="","",ROW()-9)</f>
        <v/>
      </c>
      <c r="C817" s="45"/>
      <c r="D817" s="46" t="str">
        <f aca="false">IF(C817="","",IFERROR(TEXT(C817,"MMMM"),""))</f>
        <v/>
      </c>
      <c r="E817" s="47"/>
      <c r="F817" s="48" t="str">
        <f aca="false">IF(E817="","",IFERROR(INDEX('Chart of Accounts'!$C$4:$C$200,MATCH(TEXT(E817,"@"),TEXT('Chart of Accounts'!$B$4:$B$200,"@"),0)),"⚠ Not Found"))</f>
        <v/>
      </c>
      <c r="G817" s="49"/>
      <c r="H817" s="50"/>
      <c r="I817" s="50"/>
      <c r="J817" s="47"/>
    </row>
    <row r="818" customFormat="false" ht="16.5" hidden="false" customHeight="true" outlineLevel="0" collapsed="false">
      <c r="B818" s="37" t="str">
        <f aca="false">IF(C818="","",ROW()-9)</f>
        <v/>
      </c>
      <c r="C818" s="38"/>
      <c r="D818" s="39" t="str">
        <f aca="false">IF(C818="","",IFERROR(TEXT(C818,"MMMM"),""))</f>
        <v/>
      </c>
      <c r="E818" s="40"/>
      <c r="F818" s="41" t="str">
        <f aca="false">IF(E818="","",IFERROR(INDEX('Chart of Accounts'!$C$4:$C$200,MATCH(TEXT(E818,"@"),TEXT('Chart of Accounts'!$B$4:$B$200,"@"),0)),"⚠ Not Found"))</f>
        <v/>
      </c>
      <c r="G818" s="42"/>
      <c r="H818" s="43"/>
      <c r="I818" s="43"/>
      <c r="J818" s="40"/>
    </row>
    <row r="819" customFormat="false" ht="16.5" hidden="false" customHeight="true" outlineLevel="0" collapsed="false">
      <c r="B819" s="44" t="str">
        <f aca="false">IF(C819="","",ROW()-9)</f>
        <v/>
      </c>
      <c r="C819" s="45"/>
      <c r="D819" s="46" t="str">
        <f aca="false">IF(C819="","",IFERROR(TEXT(C819,"MMMM"),""))</f>
        <v/>
      </c>
      <c r="E819" s="47"/>
      <c r="F819" s="48" t="str">
        <f aca="false">IF(E819="","",IFERROR(INDEX('Chart of Accounts'!$C$4:$C$200,MATCH(TEXT(E819,"@"),TEXT('Chart of Accounts'!$B$4:$B$200,"@"),0)),"⚠ Not Found"))</f>
        <v/>
      </c>
      <c r="G819" s="49"/>
      <c r="H819" s="50"/>
      <c r="I819" s="50"/>
      <c r="J819" s="47"/>
    </row>
    <row r="820" customFormat="false" ht="16.5" hidden="false" customHeight="true" outlineLevel="0" collapsed="false">
      <c r="B820" s="37" t="str">
        <f aca="false">IF(C820="","",ROW()-9)</f>
        <v/>
      </c>
      <c r="C820" s="38"/>
      <c r="D820" s="39" t="str">
        <f aca="false">IF(C820="","",IFERROR(TEXT(C820,"MMMM"),""))</f>
        <v/>
      </c>
      <c r="E820" s="40"/>
      <c r="F820" s="41" t="str">
        <f aca="false">IF(E820="","",IFERROR(INDEX('Chart of Accounts'!$C$4:$C$200,MATCH(TEXT(E820,"@"),TEXT('Chart of Accounts'!$B$4:$B$200,"@"),0)),"⚠ Not Found"))</f>
        <v/>
      </c>
      <c r="G820" s="42"/>
      <c r="H820" s="43"/>
      <c r="I820" s="43"/>
      <c r="J820" s="40"/>
    </row>
    <row r="821" customFormat="false" ht="16.5" hidden="false" customHeight="true" outlineLevel="0" collapsed="false">
      <c r="B821" s="44" t="str">
        <f aca="false">IF(C821="","",ROW()-9)</f>
        <v/>
      </c>
      <c r="C821" s="45"/>
      <c r="D821" s="46" t="str">
        <f aca="false">IF(C821="","",IFERROR(TEXT(C821,"MMMM"),""))</f>
        <v/>
      </c>
      <c r="E821" s="47"/>
      <c r="F821" s="48" t="str">
        <f aca="false">IF(E821="","",IFERROR(INDEX('Chart of Accounts'!$C$4:$C$200,MATCH(TEXT(E821,"@"),TEXT('Chart of Accounts'!$B$4:$B$200,"@"),0)),"⚠ Not Found"))</f>
        <v/>
      </c>
      <c r="G821" s="49"/>
      <c r="H821" s="50"/>
      <c r="I821" s="50"/>
      <c r="J821" s="47"/>
    </row>
    <row r="822" customFormat="false" ht="16.5" hidden="false" customHeight="true" outlineLevel="0" collapsed="false">
      <c r="B822" s="37" t="str">
        <f aca="false">IF(C822="","",ROW()-9)</f>
        <v/>
      </c>
      <c r="C822" s="38"/>
      <c r="D822" s="39" t="str">
        <f aca="false">IF(C822="","",IFERROR(TEXT(C822,"MMMM"),""))</f>
        <v/>
      </c>
      <c r="E822" s="40"/>
      <c r="F822" s="41" t="str">
        <f aca="false">IF(E822="","",IFERROR(INDEX('Chart of Accounts'!$C$4:$C$200,MATCH(TEXT(E822,"@"),TEXT('Chart of Accounts'!$B$4:$B$200,"@"),0)),"⚠ Not Found"))</f>
        <v/>
      </c>
      <c r="G822" s="42"/>
      <c r="H822" s="43"/>
      <c r="I822" s="43"/>
      <c r="J822" s="40"/>
    </row>
    <row r="823" customFormat="false" ht="16.5" hidden="false" customHeight="true" outlineLevel="0" collapsed="false">
      <c r="B823" s="44" t="str">
        <f aca="false">IF(C823="","",ROW()-9)</f>
        <v/>
      </c>
      <c r="C823" s="45"/>
      <c r="D823" s="46" t="str">
        <f aca="false">IF(C823="","",IFERROR(TEXT(C823,"MMMM"),""))</f>
        <v/>
      </c>
      <c r="E823" s="47"/>
      <c r="F823" s="48" t="str">
        <f aca="false">IF(E823="","",IFERROR(INDEX('Chart of Accounts'!$C$4:$C$200,MATCH(TEXT(E823,"@"),TEXT('Chart of Accounts'!$B$4:$B$200,"@"),0)),"⚠ Not Found"))</f>
        <v/>
      </c>
      <c r="G823" s="49"/>
      <c r="H823" s="50"/>
      <c r="I823" s="50"/>
      <c r="J823" s="47"/>
    </row>
    <row r="824" customFormat="false" ht="16.5" hidden="false" customHeight="true" outlineLevel="0" collapsed="false">
      <c r="B824" s="37" t="str">
        <f aca="false">IF(C824="","",ROW()-9)</f>
        <v/>
      </c>
      <c r="C824" s="38"/>
      <c r="D824" s="39" t="str">
        <f aca="false">IF(C824="","",IFERROR(TEXT(C824,"MMMM"),""))</f>
        <v/>
      </c>
      <c r="E824" s="40"/>
      <c r="F824" s="41" t="str">
        <f aca="false">IF(E824="","",IFERROR(INDEX('Chart of Accounts'!$C$4:$C$200,MATCH(TEXT(E824,"@"),TEXT('Chart of Accounts'!$B$4:$B$200,"@"),0)),"⚠ Not Found"))</f>
        <v/>
      </c>
      <c r="G824" s="42"/>
      <c r="H824" s="43"/>
      <c r="I824" s="43"/>
      <c r="J824" s="40"/>
    </row>
    <row r="825" customFormat="false" ht="16.5" hidden="false" customHeight="true" outlineLevel="0" collapsed="false">
      <c r="B825" s="44" t="str">
        <f aca="false">IF(C825="","",ROW()-9)</f>
        <v/>
      </c>
      <c r="C825" s="45"/>
      <c r="D825" s="46" t="str">
        <f aca="false">IF(C825="","",IFERROR(TEXT(C825,"MMMM"),""))</f>
        <v/>
      </c>
      <c r="E825" s="47"/>
      <c r="F825" s="48" t="str">
        <f aca="false">IF(E825="","",IFERROR(INDEX('Chart of Accounts'!$C$4:$C$200,MATCH(TEXT(E825,"@"),TEXT('Chart of Accounts'!$B$4:$B$200,"@"),0)),"⚠ Not Found"))</f>
        <v/>
      </c>
      <c r="G825" s="49"/>
      <c r="H825" s="50"/>
      <c r="I825" s="50"/>
      <c r="J825" s="47"/>
    </row>
    <row r="826" customFormat="false" ht="16.5" hidden="false" customHeight="true" outlineLevel="0" collapsed="false">
      <c r="B826" s="37" t="str">
        <f aca="false">IF(C826="","",ROW()-9)</f>
        <v/>
      </c>
      <c r="C826" s="38"/>
      <c r="D826" s="39" t="str">
        <f aca="false">IF(C826="","",IFERROR(TEXT(C826,"MMMM"),""))</f>
        <v/>
      </c>
      <c r="E826" s="40"/>
      <c r="F826" s="41" t="str">
        <f aca="false">IF(E826="","",IFERROR(INDEX('Chart of Accounts'!$C$4:$C$200,MATCH(TEXT(E826,"@"),TEXT('Chart of Accounts'!$B$4:$B$200,"@"),0)),"⚠ Not Found"))</f>
        <v/>
      </c>
      <c r="G826" s="42"/>
      <c r="H826" s="43"/>
      <c r="I826" s="43"/>
      <c r="J826" s="40"/>
    </row>
    <row r="827" customFormat="false" ht="16.5" hidden="false" customHeight="true" outlineLevel="0" collapsed="false">
      <c r="B827" s="44" t="str">
        <f aca="false">IF(C827="","",ROW()-9)</f>
        <v/>
      </c>
      <c r="C827" s="45"/>
      <c r="D827" s="46" t="str">
        <f aca="false">IF(C827="","",IFERROR(TEXT(C827,"MMMM"),""))</f>
        <v/>
      </c>
      <c r="E827" s="47"/>
      <c r="F827" s="48" t="str">
        <f aca="false">IF(E827="","",IFERROR(INDEX('Chart of Accounts'!$C$4:$C$200,MATCH(TEXT(E827,"@"),TEXT('Chart of Accounts'!$B$4:$B$200,"@"),0)),"⚠ Not Found"))</f>
        <v/>
      </c>
      <c r="G827" s="49"/>
      <c r="H827" s="50"/>
      <c r="I827" s="50"/>
      <c r="J827" s="47"/>
    </row>
    <row r="828" customFormat="false" ht="16.5" hidden="false" customHeight="true" outlineLevel="0" collapsed="false">
      <c r="B828" s="37" t="str">
        <f aca="false">IF(C828="","",ROW()-9)</f>
        <v/>
      </c>
      <c r="C828" s="38"/>
      <c r="D828" s="39" t="str">
        <f aca="false">IF(C828="","",IFERROR(TEXT(C828,"MMMM"),""))</f>
        <v/>
      </c>
      <c r="E828" s="40"/>
      <c r="F828" s="41" t="str">
        <f aca="false">IF(E828="","",IFERROR(INDEX('Chart of Accounts'!$C$4:$C$200,MATCH(TEXT(E828,"@"),TEXT('Chart of Accounts'!$B$4:$B$200,"@"),0)),"⚠ Not Found"))</f>
        <v/>
      </c>
      <c r="G828" s="42"/>
      <c r="H828" s="43"/>
      <c r="I828" s="43"/>
      <c r="J828" s="40"/>
    </row>
    <row r="829" customFormat="false" ht="16.5" hidden="false" customHeight="true" outlineLevel="0" collapsed="false">
      <c r="B829" s="44" t="str">
        <f aca="false">IF(C829="","",ROW()-9)</f>
        <v/>
      </c>
      <c r="C829" s="45"/>
      <c r="D829" s="46" t="str">
        <f aca="false">IF(C829="","",IFERROR(TEXT(C829,"MMMM"),""))</f>
        <v/>
      </c>
      <c r="E829" s="47"/>
      <c r="F829" s="48" t="str">
        <f aca="false">IF(E829="","",IFERROR(INDEX('Chart of Accounts'!$C$4:$C$200,MATCH(TEXT(E829,"@"),TEXT('Chart of Accounts'!$B$4:$B$200,"@"),0)),"⚠ Not Found"))</f>
        <v/>
      </c>
      <c r="G829" s="49"/>
      <c r="H829" s="50"/>
      <c r="I829" s="50"/>
      <c r="J829" s="47"/>
    </row>
    <row r="830" customFormat="false" ht="16.5" hidden="false" customHeight="true" outlineLevel="0" collapsed="false">
      <c r="B830" s="37" t="str">
        <f aca="false">IF(C830="","",ROW()-9)</f>
        <v/>
      </c>
      <c r="C830" s="38"/>
      <c r="D830" s="39" t="str">
        <f aca="false">IF(C830="","",IFERROR(TEXT(C830,"MMMM"),""))</f>
        <v/>
      </c>
      <c r="E830" s="40"/>
      <c r="F830" s="41" t="str">
        <f aca="false">IF(E830="","",IFERROR(INDEX('Chart of Accounts'!$C$4:$C$200,MATCH(TEXT(E830,"@"),TEXT('Chart of Accounts'!$B$4:$B$200,"@"),0)),"⚠ Not Found"))</f>
        <v/>
      </c>
      <c r="G830" s="42"/>
      <c r="H830" s="43"/>
      <c r="I830" s="43"/>
      <c r="J830" s="40"/>
    </row>
    <row r="831" customFormat="false" ht="16.5" hidden="false" customHeight="true" outlineLevel="0" collapsed="false">
      <c r="B831" s="44" t="str">
        <f aca="false">IF(C831="","",ROW()-9)</f>
        <v/>
      </c>
      <c r="C831" s="45"/>
      <c r="D831" s="46" t="str">
        <f aca="false">IF(C831="","",IFERROR(TEXT(C831,"MMMM"),""))</f>
        <v/>
      </c>
      <c r="E831" s="47"/>
      <c r="F831" s="48" t="str">
        <f aca="false">IF(E831="","",IFERROR(INDEX('Chart of Accounts'!$C$4:$C$200,MATCH(TEXT(E831,"@"),TEXT('Chart of Accounts'!$B$4:$B$200,"@"),0)),"⚠ Not Found"))</f>
        <v/>
      </c>
      <c r="G831" s="49"/>
      <c r="H831" s="50"/>
      <c r="I831" s="50"/>
      <c r="J831" s="47"/>
    </row>
    <row r="832" customFormat="false" ht="16.5" hidden="false" customHeight="true" outlineLevel="0" collapsed="false">
      <c r="B832" s="37" t="str">
        <f aca="false">IF(C832="","",ROW()-9)</f>
        <v/>
      </c>
      <c r="C832" s="38"/>
      <c r="D832" s="39" t="str">
        <f aca="false">IF(C832="","",IFERROR(TEXT(C832,"MMMM"),""))</f>
        <v/>
      </c>
      <c r="E832" s="40"/>
      <c r="F832" s="41" t="str">
        <f aca="false">IF(E832="","",IFERROR(INDEX('Chart of Accounts'!$C$4:$C$200,MATCH(TEXT(E832,"@"),TEXT('Chart of Accounts'!$B$4:$B$200,"@"),0)),"⚠ Not Found"))</f>
        <v/>
      </c>
      <c r="G832" s="42"/>
      <c r="H832" s="43"/>
      <c r="I832" s="43"/>
      <c r="J832" s="40"/>
    </row>
    <row r="833" customFormat="false" ht="16.5" hidden="false" customHeight="true" outlineLevel="0" collapsed="false">
      <c r="B833" s="44" t="str">
        <f aca="false">IF(C833="","",ROW()-9)</f>
        <v/>
      </c>
      <c r="C833" s="45"/>
      <c r="D833" s="46" t="str">
        <f aca="false">IF(C833="","",IFERROR(TEXT(C833,"MMMM"),""))</f>
        <v/>
      </c>
      <c r="E833" s="47"/>
      <c r="F833" s="48" t="str">
        <f aca="false">IF(E833="","",IFERROR(INDEX('Chart of Accounts'!$C$4:$C$200,MATCH(TEXT(E833,"@"),TEXT('Chart of Accounts'!$B$4:$B$200,"@"),0)),"⚠ Not Found"))</f>
        <v/>
      </c>
      <c r="G833" s="49"/>
      <c r="H833" s="50"/>
      <c r="I833" s="50"/>
      <c r="J833" s="47"/>
    </row>
    <row r="834" customFormat="false" ht="16.5" hidden="false" customHeight="true" outlineLevel="0" collapsed="false">
      <c r="B834" s="37" t="str">
        <f aca="false">IF(C834="","",ROW()-9)</f>
        <v/>
      </c>
      <c r="C834" s="38"/>
      <c r="D834" s="39" t="str">
        <f aca="false">IF(C834="","",IFERROR(TEXT(C834,"MMMM"),""))</f>
        <v/>
      </c>
      <c r="E834" s="40"/>
      <c r="F834" s="41" t="str">
        <f aca="false">IF(E834="","",IFERROR(INDEX('Chart of Accounts'!$C$4:$C$200,MATCH(TEXT(E834,"@"),TEXT('Chart of Accounts'!$B$4:$B$200,"@"),0)),"⚠ Not Found"))</f>
        <v/>
      </c>
      <c r="G834" s="42"/>
      <c r="H834" s="43"/>
      <c r="I834" s="43"/>
      <c r="J834" s="40"/>
    </row>
    <row r="835" customFormat="false" ht="16.5" hidden="false" customHeight="true" outlineLevel="0" collapsed="false">
      <c r="B835" s="44" t="str">
        <f aca="false">IF(C835="","",ROW()-9)</f>
        <v/>
      </c>
      <c r="C835" s="45"/>
      <c r="D835" s="46" t="str">
        <f aca="false">IF(C835="","",IFERROR(TEXT(C835,"MMMM"),""))</f>
        <v/>
      </c>
      <c r="E835" s="47"/>
      <c r="F835" s="48" t="str">
        <f aca="false">IF(E835="","",IFERROR(INDEX('Chart of Accounts'!$C$4:$C$200,MATCH(TEXT(E835,"@"),TEXT('Chart of Accounts'!$B$4:$B$200,"@"),0)),"⚠ Not Found"))</f>
        <v/>
      </c>
      <c r="G835" s="49"/>
      <c r="H835" s="50"/>
      <c r="I835" s="50"/>
      <c r="J835" s="47"/>
    </row>
    <row r="836" customFormat="false" ht="16.5" hidden="false" customHeight="true" outlineLevel="0" collapsed="false">
      <c r="B836" s="37" t="str">
        <f aca="false">IF(C836="","",ROW()-9)</f>
        <v/>
      </c>
      <c r="C836" s="38"/>
      <c r="D836" s="39" t="str">
        <f aca="false">IF(C836="","",IFERROR(TEXT(C836,"MMMM"),""))</f>
        <v/>
      </c>
      <c r="E836" s="40"/>
      <c r="F836" s="41" t="str">
        <f aca="false">IF(E836="","",IFERROR(INDEX('Chart of Accounts'!$C$4:$C$200,MATCH(TEXT(E836,"@"),TEXT('Chart of Accounts'!$B$4:$B$200,"@"),0)),"⚠ Not Found"))</f>
        <v/>
      </c>
      <c r="G836" s="42"/>
      <c r="H836" s="43"/>
      <c r="I836" s="43"/>
      <c r="J836" s="40"/>
    </row>
    <row r="837" customFormat="false" ht="16.5" hidden="false" customHeight="true" outlineLevel="0" collapsed="false">
      <c r="B837" s="44" t="str">
        <f aca="false">IF(C837="","",ROW()-9)</f>
        <v/>
      </c>
      <c r="C837" s="45"/>
      <c r="D837" s="46" t="str">
        <f aca="false">IF(C837="","",IFERROR(TEXT(C837,"MMMM"),""))</f>
        <v/>
      </c>
      <c r="E837" s="47"/>
      <c r="F837" s="48" t="str">
        <f aca="false">IF(E837="","",IFERROR(INDEX('Chart of Accounts'!$C$4:$C$200,MATCH(TEXT(E837,"@"),TEXT('Chart of Accounts'!$B$4:$B$200,"@"),0)),"⚠ Not Found"))</f>
        <v/>
      </c>
      <c r="G837" s="49"/>
      <c r="H837" s="50"/>
      <c r="I837" s="50"/>
      <c r="J837" s="47"/>
    </row>
    <row r="838" customFormat="false" ht="16.5" hidden="false" customHeight="true" outlineLevel="0" collapsed="false">
      <c r="B838" s="37" t="str">
        <f aca="false">IF(C838="","",ROW()-9)</f>
        <v/>
      </c>
      <c r="C838" s="38"/>
      <c r="D838" s="39" t="str">
        <f aca="false">IF(C838="","",IFERROR(TEXT(C838,"MMMM"),""))</f>
        <v/>
      </c>
      <c r="E838" s="40"/>
      <c r="F838" s="41" t="str">
        <f aca="false">IF(E838="","",IFERROR(INDEX('Chart of Accounts'!$C$4:$C$200,MATCH(TEXT(E838,"@"),TEXT('Chart of Accounts'!$B$4:$B$200,"@"),0)),"⚠ Not Found"))</f>
        <v/>
      </c>
      <c r="G838" s="42"/>
      <c r="H838" s="43"/>
      <c r="I838" s="43"/>
      <c r="J838" s="40"/>
    </row>
    <row r="839" customFormat="false" ht="16.5" hidden="false" customHeight="true" outlineLevel="0" collapsed="false">
      <c r="B839" s="44" t="str">
        <f aca="false">IF(C839="","",ROW()-9)</f>
        <v/>
      </c>
      <c r="C839" s="45"/>
      <c r="D839" s="46" t="str">
        <f aca="false">IF(C839="","",IFERROR(TEXT(C839,"MMMM"),""))</f>
        <v/>
      </c>
      <c r="E839" s="47"/>
      <c r="F839" s="48" t="str">
        <f aca="false">IF(E839="","",IFERROR(INDEX('Chart of Accounts'!$C$4:$C$200,MATCH(TEXT(E839,"@"),TEXT('Chart of Accounts'!$B$4:$B$200,"@"),0)),"⚠ Not Found"))</f>
        <v/>
      </c>
      <c r="G839" s="49"/>
      <c r="H839" s="50"/>
      <c r="I839" s="50"/>
      <c r="J839" s="47"/>
    </row>
    <row r="840" customFormat="false" ht="16.5" hidden="false" customHeight="true" outlineLevel="0" collapsed="false">
      <c r="B840" s="37" t="str">
        <f aca="false">IF(C840="","",ROW()-9)</f>
        <v/>
      </c>
      <c r="C840" s="38"/>
      <c r="D840" s="39" t="str">
        <f aca="false">IF(C840="","",IFERROR(TEXT(C840,"MMMM"),""))</f>
        <v/>
      </c>
      <c r="E840" s="40"/>
      <c r="F840" s="41" t="str">
        <f aca="false">IF(E840="","",IFERROR(INDEX('Chart of Accounts'!$C$4:$C$200,MATCH(TEXT(E840,"@"),TEXT('Chart of Accounts'!$B$4:$B$200,"@"),0)),"⚠ Not Found"))</f>
        <v/>
      </c>
      <c r="G840" s="42"/>
      <c r="H840" s="43"/>
      <c r="I840" s="43"/>
      <c r="J840" s="40"/>
    </row>
    <row r="841" customFormat="false" ht="16.5" hidden="false" customHeight="true" outlineLevel="0" collapsed="false">
      <c r="B841" s="44" t="str">
        <f aca="false">IF(C841="","",ROW()-9)</f>
        <v/>
      </c>
      <c r="C841" s="45"/>
      <c r="D841" s="46" t="str">
        <f aca="false">IF(C841="","",IFERROR(TEXT(C841,"MMMM"),""))</f>
        <v/>
      </c>
      <c r="E841" s="47"/>
      <c r="F841" s="48" t="str">
        <f aca="false">IF(E841="","",IFERROR(INDEX('Chart of Accounts'!$C$4:$C$200,MATCH(TEXT(E841,"@"),TEXT('Chart of Accounts'!$B$4:$B$200,"@"),0)),"⚠ Not Found"))</f>
        <v/>
      </c>
      <c r="G841" s="49"/>
      <c r="H841" s="50"/>
      <c r="I841" s="50"/>
      <c r="J841" s="47"/>
    </row>
    <row r="842" customFormat="false" ht="16.5" hidden="false" customHeight="true" outlineLevel="0" collapsed="false">
      <c r="B842" s="37" t="str">
        <f aca="false">IF(C842="","",ROW()-9)</f>
        <v/>
      </c>
      <c r="C842" s="38"/>
      <c r="D842" s="39" t="str">
        <f aca="false">IF(C842="","",IFERROR(TEXT(C842,"MMMM"),""))</f>
        <v/>
      </c>
      <c r="E842" s="40"/>
      <c r="F842" s="41" t="str">
        <f aca="false">IF(E842="","",IFERROR(INDEX('Chart of Accounts'!$C$4:$C$200,MATCH(TEXT(E842,"@"),TEXT('Chart of Accounts'!$B$4:$B$200,"@"),0)),"⚠ Not Found"))</f>
        <v/>
      </c>
      <c r="G842" s="42"/>
      <c r="H842" s="43"/>
      <c r="I842" s="43"/>
      <c r="J842" s="40"/>
    </row>
    <row r="843" customFormat="false" ht="16.5" hidden="false" customHeight="true" outlineLevel="0" collapsed="false">
      <c r="B843" s="44" t="str">
        <f aca="false">IF(C843="","",ROW()-9)</f>
        <v/>
      </c>
      <c r="C843" s="45"/>
      <c r="D843" s="46" t="str">
        <f aca="false">IF(C843="","",IFERROR(TEXT(C843,"MMMM"),""))</f>
        <v/>
      </c>
      <c r="E843" s="47"/>
      <c r="F843" s="48" t="str">
        <f aca="false">IF(E843="","",IFERROR(INDEX('Chart of Accounts'!$C$4:$C$200,MATCH(TEXT(E843,"@"),TEXT('Chart of Accounts'!$B$4:$B$200,"@"),0)),"⚠ Not Found"))</f>
        <v/>
      </c>
      <c r="G843" s="49"/>
      <c r="H843" s="50"/>
      <c r="I843" s="50"/>
      <c r="J843" s="47"/>
    </row>
    <row r="844" customFormat="false" ht="16.5" hidden="false" customHeight="true" outlineLevel="0" collapsed="false">
      <c r="B844" s="37" t="str">
        <f aca="false">IF(C844="","",ROW()-9)</f>
        <v/>
      </c>
      <c r="C844" s="38"/>
      <c r="D844" s="39" t="str">
        <f aca="false">IF(C844="","",IFERROR(TEXT(C844,"MMMM"),""))</f>
        <v/>
      </c>
      <c r="E844" s="40"/>
      <c r="F844" s="41" t="str">
        <f aca="false">IF(E844="","",IFERROR(INDEX('Chart of Accounts'!$C$4:$C$200,MATCH(TEXT(E844,"@"),TEXT('Chart of Accounts'!$B$4:$B$200,"@"),0)),"⚠ Not Found"))</f>
        <v/>
      </c>
      <c r="G844" s="42"/>
      <c r="H844" s="43"/>
      <c r="I844" s="43"/>
      <c r="J844" s="40"/>
    </row>
    <row r="845" customFormat="false" ht="16.5" hidden="false" customHeight="true" outlineLevel="0" collapsed="false">
      <c r="B845" s="44" t="str">
        <f aca="false">IF(C845="","",ROW()-9)</f>
        <v/>
      </c>
      <c r="C845" s="45"/>
      <c r="D845" s="46" t="str">
        <f aca="false">IF(C845="","",IFERROR(TEXT(C845,"MMMM"),""))</f>
        <v/>
      </c>
      <c r="E845" s="47"/>
      <c r="F845" s="48" t="str">
        <f aca="false">IF(E845="","",IFERROR(INDEX('Chart of Accounts'!$C$4:$C$200,MATCH(TEXT(E845,"@"),TEXT('Chart of Accounts'!$B$4:$B$200,"@"),0)),"⚠ Not Found"))</f>
        <v/>
      </c>
      <c r="G845" s="49"/>
      <c r="H845" s="50"/>
      <c r="I845" s="50"/>
      <c r="J845" s="47"/>
    </row>
    <row r="846" customFormat="false" ht="16.5" hidden="false" customHeight="true" outlineLevel="0" collapsed="false">
      <c r="B846" s="37" t="str">
        <f aca="false">IF(C846="","",ROW()-9)</f>
        <v/>
      </c>
      <c r="C846" s="38"/>
      <c r="D846" s="39" t="str">
        <f aca="false">IF(C846="","",IFERROR(TEXT(C846,"MMMM"),""))</f>
        <v/>
      </c>
      <c r="E846" s="40"/>
      <c r="F846" s="41" t="str">
        <f aca="false">IF(E846="","",IFERROR(INDEX('Chart of Accounts'!$C$4:$C$200,MATCH(TEXT(E846,"@"),TEXT('Chart of Accounts'!$B$4:$B$200,"@"),0)),"⚠ Not Found"))</f>
        <v/>
      </c>
      <c r="G846" s="42"/>
      <c r="H846" s="43"/>
      <c r="I846" s="43"/>
      <c r="J846" s="40"/>
    </row>
    <row r="847" customFormat="false" ht="16.5" hidden="false" customHeight="true" outlineLevel="0" collapsed="false">
      <c r="B847" s="44" t="str">
        <f aca="false">IF(C847="","",ROW()-9)</f>
        <v/>
      </c>
      <c r="C847" s="45"/>
      <c r="D847" s="46" t="str">
        <f aca="false">IF(C847="","",IFERROR(TEXT(C847,"MMMM"),""))</f>
        <v/>
      </c>
      <c r="E847" s="47"/>
      <c r="F847" s="48" t="str">
        <f aca="false">IF(E847="","",IFERROR(INDEX('Chart of Accounts'!$C$4:$C$200,MATCH(TEXT(E847,"@"),TEXT('Chart of Accounts'!$B$4:$B$200,"@"),0)),"⚠ Not Found"))</f>
        <v/>
      </c>
      <c r="G847" s="49"/>
      <c r="H847" s="50"/>
      <c r="I847" s="50"/>
      <c r="J847" s="47"/>
    </row>
    <row r="848" customFormat="false" ht="16.5" hidden="false" customHeight="true" outlineLevel="0" collapsed="false">
      <c r="B848" s="37" t="str">
        <f aca="false">IF(C848="","",ROW()-9)</f>
        <v/>
      </c>
      <c r="C848" s="38"/>
      <c r="D848" s="39" t="str">
        <f aca="false">IF(C848="","",IFERROR(TEXT(C848,"MMMM"),""))</f>
        <v/>
      </c>
      <c r="E848" s="40"/>
      <c r="F848" s="41" t="str">
        <f aca="false">IF(E848="","",IFERROR(INDEX('Chart of Accounts'!$C$4:$C$200,MATCH(TEXT(E848,"@"),TEXT('Chart of Accounts'!$B$4:$B$200,"@"),0)),"⚠ Not Found"))</f>
        <v/>
      </c>
      <c r="G848" s="42"/>
      <c r="H848" s="43"/>
      <c r="I848" s="43"/>
      <c r="J848" s="40"/>
    </row>
    <row r="849" customFormat="false" ht="16.5" hidden="false" customHeight="true" outlineLevel="0" collapsed="false">
      <c r="B849" s="44" t="str">
        <f aca="false">IF(C849="","",ROW()-9)</f>
        <v/>
      </c>
      <c r="C849" s="45"/>
      <c r="D849" s="46" t="str">
        <f aca="false">IF(C849="","",IFERROR(TEXT(C849,"MMMM"),""))</f>
        <v/>
      </c>
      <c r="E849" s="47"/>
      <c r="F849" s="48" t="str">
        <f aca="false">IF(E849="","",IFERROR(INDEX('Chart of Accounts'!$C$4:$C$200,MATCH(TEXT(E849,"@"),TEXT('Chart of Accounts'!$B$4:$B$200,"@"),0)),"⚠ Not Found"))</f>
        <v/>
      </c>
      <c r="G849" s="49"/>
      <c r="H849" s="50"/>
      <c r="I849" s="50"/>
      <c r="J849" s="47"/>
    </row>
    <row r="850" customFormat="false" ht="16.5" hidden="false" customHeight="true" outlineLevel="0" collapsed="false">
      <c r="B850" s="37" t="str">
        <f aca="false">IF(C850="","",ROW()-9)</f>
        <v/>
      </c>
      <c r="C850" s="38"/>
      <c r="D850" s="39" t="str">
        <f aca="false">IF(C850="","",IFERROR(TEXT(C850,"MMMM"),""))</f>
        <v/>
      </c>
      <c r="E850" s="40"/>
      <c r="F850" s="41" t="str">
        <f aca="false">IF(E850="","",IFERROR(INDEX('Chart of Accounts'!$C$4:$C$200,MATCH(TEXT(E850,"@"),TEXT('Chart of Accounts'!$B$4:$B$200,"@"),0)),"⚠ Not Found"))</f>
        <v/>
      </c>
      <c r="G850" s="42"/>
      <c r="H850" s="43"/>
      <c r="I850" s="43"/>
      <c r="J850" s="40"/>
    </row>
    <row r="851" customFormat="false" ht="16.5" hidden="false" customHeight="true" outlineLevel="0" collapsed="false">
      <c r="B851" s="44" t="str">
        <f aca="false">IF(C851="","",ROW()-9)</f>
        <v/>
      </c>
      <c r="C851" s="45"/>
      <c r="D851" s="46" t="str">
        <f aca="false">IF(C851="","",IFERROR(TEXT(C851,"MMMM"),""))</f>
        <v/>
      </c>
      <c r="E851" s="47"/>
      <c r="F851" s="48" t="str">
        <f aca="false">IF(E851="","",IFERROR(INDEX('Chart of Accounts'!$C$4:$C$200,MATCH(TEXT(E851,"@"),TEXT('Chart of Accounts'!$B$4:$B$200,"@"),0)),"⚠ Not Found"))</f>
        <v/>
      </c>
      <c r="G851" s="49"/>
      <c r="H851" s="50"/>
      <c r="I851" s="50"/>
      <c r="J851" s="47"/>
    </row>
    <row r="852" customFormat="false" ht="16.5" hidden="false" customHeight="true" outlineLevel="0" collapsed="false">
      <c r="B852" s="37" t="str">
        <f aca="false">IF(C852="","",ROW()-9)</f>
        <v/>
      </c>
      <c r="C852" s="38"/>
      <c r="D852" s="39" t="str">
        <f aca="false">IF(C852="","",IFERROR(TEXT(C852,"MMMM"),""))</f>
        <v/>
      </c>
      <c r="E852" s="40"/>
      <c r="F852" s="41" t="str">
        <f aca="false">IF(E852="","",IFERROR(INDEX('Chart of Accounts'!$C$4:$C$200,MATCH(TEXT(E852,"@"),TEXT('Chart of Accounts'!$B$4:$B$200,"@"),0)),"⚠ Not Found"))</f>
        <v/>
      </c>
      <c r="G852" s="42"/>
      <c r="H852" s="43"/>
      <c r="I852" s="43"/>
      <c r="J852" s="40"/>
    </row>
    <row r="853" customFormat="false" ht="16.5" hidden="false" customHeight="true" outlineLevel="0" collapsed="false">
      <c r="B853" s="44" t="str">
        <f aca="false">IF(C853="","",ROW()-9)</f>
        <v/>
      </c>
      <c r="C853" s="45"/>
      <c r="D853" s="46" t="str">
        <f aca="false">IF(C853="","",IFERROR(TEXT(C853,"MMMM"),""))</f>
        <v/>
      </c>
      <c r="E853" s="47"/>
      <c r="F853" s="48" t="str">
        <f aca="false">IF(E853="","",IFERROR(INDEX('Chart of Accounts'!$C$4:$C$200,MATCH(TEXT(E853,"@"),TEXT('Chart of Accounts'!$B$4:$B$200,"@"),0)),"⚠ Not Found"))</f>
        <v/>
      </c>
      <c r="G853" s="49"/>
      <c r="H853" s="50"/>
      <c r="I853" s="50"/>
      <c r="J853" s="47"/>
    </row>
    <row r="854" customFormat="false" ht="16.5" hidden="false" customHeight="true" outlineLevel="0" collapsed="false">
      <c r="B854" s="37" t="str">
        <f aca="false">IF(C854="","",ROW()-9)</f>
        <v/>
      </c>
      <c r="C854" s="38"/>
      <c r="D854" s="39" t="str">
        <f aca="false">IF(C854="","",IFERROR(TEXT(C854,"MMMM"),""))</f>
        <v/>
      </c>
      <c r="E854" s="40"/>
      <c r="F854" s="41" t="str">
        <f aca="false">IF(E854="","",IFERROR(INDEX('Chart of Accounts'!$C$4:$C$200,MATCH(TEXT(E854,"@"),TEXT('Chart of Accounts'!$B$4:$B$200,"@"),0)),"⚠ Not Found"))</f>
        <v/>
      </c>
      <c r="G854" s="42"/>
      <c r="H854" s="43"/>
      <c r="I854" s="43"/>
      <c r="J854" s="40"/>
    </row>
    <row r="855" customFormat="false" ht="16.5" hidden="false" customHeight="true" outlineLevel="0" collapsed="false">
      <c r="B855" s="44" t="str">
        <f aca="false">IF(C855="","",ROW()-9)</f>
        <v/>
      </c>
      <c r="C855" s="45"/>
      <c r="D855" s="46" t="str">
        <f aca="false">IF(C855="","",IFERROR(TEXT(C855,"MMMM"),""))</f>
        <v/>
      </c>
      <c r="E855" s="47"/>
      <c r="F855" s="48" t="str">
        <f aca="false">IF(E855="","",IFERROR(INDEX('Chart of Accounts'!$C$4:$C$200,MATCH(TEXT(E855,"@"),TEXT('Chart of Accounts'!$B$4:$B$200,"@"),0)),"⚠ Not Found"))</f>
        <v/>
      </c>
      <c r="G855" s="49"/>
      <c r="H855" s="50"/>
      <c r="I855" s="50"/>
      <c r="J855" s="47"/>
    </row>
    <row r="856" customFormat="false" ht="16.5" hidden="false" customHeight="true" outlineLevel="0" collapsed="false">
      <c r="B856" s="37" t="str">
        <f aca="false">IF(C856="","",ROW()-9)</f>
        <v/>
      </c>
      <c r="C856" s="38"/>
      <c r="D856" s="39" t="str">
        <f aca="false">IF(C856="","",IFERROR(TEXT(C856,"MMMM"),""))</f>
        <v/>
      </c>
      <c r="E856" s="40"/>
      <c r="F856" s="41" t="str">
        <f aca="false">IF(E856="","",IFERROR(INDEX('Chart of Accounts'!$C$4:$C$200,MATCH(TEXT(E856,"@"),TEXT('Chart of Accounts'!$B$4:$B$200,"@"),0)),"⚠ Not Found"))</f>
        <v/>
      </c>
      <c r="G856" s="42"/>
      <c r="H856" s="43"/>
      <c r="I856" s="43"/>
      <c r="J856" s="40"/>
    </row>
    <row r="857" customFormat="false" ht="16.5" hidden="false" customHeight="true" outlineLevel="0" collapsed="false">
      <c r="B857" s="44" t="str">
        <f aca="false">IF(C857="","",ROW()-9)</f>
        <v/>
      </c>
      <c r="C857" s="45"/>
      <c r="D857" s="46" t="str">
        <f aca="false">IF(C857="","",IFERROR(TEXT(C857,"MMMM"),""))</f>
        <v/>
      </c>
      <c r="E857" s="47"/>
      <c r="F857" s="48" t="str">
        <f aca="false">IF(E857="","",IFERROR(INDEX('Chart of Accounts'!$C$4:$C$200,MATCH(TEXT(E857,"@"),TEXT('Chart of Accounts'!$B$4:$B$200,"@"),0)),"⚠ Not Found"))</f>
        <v/>
      </c>
      <c r="G857" s="49"/>
      <c r="H857" s="50"/>
      <c r="I857" s="50"/>
      <c r="J857" s="47"/>
    </row>
    <row r="858" customFormat="false" ht="16.5" hidden="false" customHeight="true" outlineLevel="0" collapsed="false">
      <c r="B858" s="37" t="str">
        <f aca="false">IF(C858="","",ROW()-9)</f>
        <v/>
      </c>
      <c r="C858" s="38"/>
      <c r="D858" s="39" t="str">
        <f aca="false">IF(C858="","",IFERROR(TEXT(C858,"MMMM"),""))</f>
        <v/>
      </c>
      <c r="E858" s="40"/>
      <c r="F858" s="41" t="str">
        <f aca="false">IF(E858="","",IFERROR(INDEX('Chart of Accounts'!$C$4:$C$200,MATCH(TEXT(E858,"@"),TEXT('Chart of Accounts'!$B$4:$B$200,"@"),0)),"⚠ Not Found"))</f>
        <v/>
      </c>
      <c r="G858" s="42"/>
      <c r="H858" s="43"/>
      <c r="I858" s="43"/>
      <c r="J858" s="40"/>
    </row>
    <row r="859" customFormat="false" ht="16.5" hidden="false" customHeight="true" outlineLevel="0" collapsed="false">
      <c r="B859" s="44" t="str">
        <f aca="false">IF(C859="","",ROW()-9)</f>
        <v/>
      </c>
      <c r="C859" s="45"/>
      <c r="D859" s="46" t="str">
        <f aca="false">IF(C859="","",IFERROR(TEXT(C859,"MMMM"),""))</f>
        <v/>
      </c>
      <c r="E859" s="47"/>
      <c r="F859" s="48" t="str">
        <f aca="false">IF(E859="","",IFERROR(INDEX('Chart of Accounts'!$C$4:$C$200,MATCH(TEXT(E859,"@"),TEXT('Chart of Accounts'!$B$4:$B$200,"@"),0)),"⚠ Not Found"))</f>
        <v/>
      </c>
      <c r="G859" s="49"/>
      <c r="H859" s="50"/>
      <c r="I859" s="50"/>
      <c r="J859" s="47"/>
    </row>
    <row r="860" customFormat="false" ht="16.5" hidden="false" customHeight="true" outlineLevel="0" collapsed="false">
      <c r="B860" s="37" t="str">
        <f aca="false">IF(C860="","",ROW()-9)</f>
        <v/>
      </c>
      <c r="C860" s="38"/>
      <c r="D860" s="39" t="str">
        <f aca="false">IF(C860="","",IFERROR(TEXT(C860,"MMMM"),""))</f>
        <v/>
      </c>
      <c r="E860" s="40"/>
      <c r="F860" s="41" t="str">
        <f aca="false">IF(E860="","",IFERROR(INDEX('Chart of Accounts'!$C$4:$C$200,MATCH(TEXT(E860,"@"),TEXT('Chart of Accounts'!$B$4:$B$200,"@"),0)),"⚠ Not Found"))</f>
        <v/>
      </c>
      <c r="G860" s="42"/>
      <c r="H860" s="43"/>
      <c r="I860" s="43"/>
      <c r="J860" s="40"/>
    </row>
    <row r="861" customFormat="false" ht="16.5" hidden="false" customHeight="true" outlineLevel="0" collapsed="false">
      <c r="B861" s="44" t="str">
        <f aca="false">IF(C861="","",ROW()-9)</f>
        <v/>
      </c>
      <c r="C861" s="45"/>
      <c r="D861" s="46" t="str">
        <f aca="false">IF(C861="","",IFERROR(TEXT(C861,"MMMM"),""))</f>
        <v/>
      </c>
      <c r="E861" s="47"/>
      <c r="F861" s="48" t="str">
        <f aca="false">IF(E861="","",IFERROR(INDEX('Chart of Accounts'!$C$4:$C$200,MATCH(TEXT(E861,"@"),TEXT('Chart of Accounts'!$B$4:$B$200,"@"),0)),"⚠ Not Found"))</f>
        <v/>
      </c>
      <c r="G861" s="49"/>
      <c r="H861" s="50"/>
      <c r="I861" s="50"/>
      <c r="J861" s="47"/>
    </row>
    <row r="862" customFormat="false" ht="16.5" hidden="false" customHeight="true" outlineLevel="0" collapsed="false">
      <c r="B862" s="37" t="str">
        <f aca="false">IF(C862="","",ROW()-9)</f>
        <v/>
      </c>
      <c r="C862" s="38"/>
      <c r="D862" s="39" t="str">
        <f aca="false">IF(C862="","",IFERROR(TEXT(C862,"MMMM"),""))</f>
        <v/>
      </c>
      <c r="E862" s="40"/>
      <c r="F862" s="41" t="str">
        <f aca="false">IF(E862="","",IFERROR(INDEX('Chart of Accounts'!$C$4:$C$200,MATCH(TEXT(E862,"@"),TEXT('Chart of Accounts'!$B$4:$B$200,"@"),0)),"⚠ Not Found"))</f>
        <v/>
      </c>
      <c r="G862" s="42"/>
      <c r="H862" s="43"/>
      <c r="I862" s="43"/>
      <c r="J862" s="40"/>
    </row>
    <row r="863" customFormat="false" ht="16.5" hidden="false" customHeight="true" outlineLevel="0" collapsed="false">
      <c r="B863" s="44" t="str">
        <f aca="false">IF(C863="","",ROW()-9)</f>
        <v/>
      </c>
      <c r="C863" s="45"/>
      <c r="D863" s="46" t="str">
        <f aca="false">IF(C863="","",IFERROR(TEXT(C863,"MMMM"),""))</f>
        <v/>
      </c>
      <c r="E863" s="47"/>
      <c r="F863" s="48" t="str">
        <f aca="false">IF(E863="","",IFERROR(INDEX('Chart of Accounts'!$C$4:$C$200,MATCH(TEXT(E863,"@"),TEXT('Chart of Accounts'!$B$4:$B$200,"@"),0)),"⚠ Not Found"))</f>
        <v/>
      </c>
      <c r="G863" s="49"/>
      <c r="H863" s="50"/>
      <c r="I863" s="50"/>
      <c r="J863" s="47"/>
    </row>
    <row r="864" customFormat="false" ht="16.5" hidden="false" customHeight="true" outlineLevel="0" collapsed="false">
      <c r="B864" s="37" t="str">
        <f aca="false">IF(C864="","",ROW()-9)</f>
        <v/>
      </c>
      <c r="C864" s="38"/>
      <c r="D864" s="39" t="str">
        <f aca="false">IF(C864="","",IFERROR(TEXT(C864,"MMMM"),""))</f>
        <v/>
      </c>
      <c r="E864" s="40"/>
      <c r="F864" s="41" t="str">
        <f aca="false">IF(E864="","",IFERROR(INDEX('Chart of Accounts'!$C$4:$C$200,MATCH(TEXT(E864,"@"),TEXT('Chart of Accounts'!$B$4:$B$200,"@"),0)),"⚠ Not Found"))</f>
        <v/>
      </c>
      <c r="G864" s="42"/>
      <c r="H864" s="43"/>
      <c r="I864" s="43"/>
      <c r="J864" s="40"/>
    </row>
    <row r="865" customFormat="false" ht="16.5" hidden="false" customHeight="true" outlineLevel="0" collapsed="false">
      <c r="B865" s="44" t="str">
        <f aca="false">IF(C865="","",ROW()-9)</f>
        <v/>
      </c>
      <c r="C865" s="45"/>
      <c r="D865" s="46" t="str">
        <f aca="false">IF(C865="","",IFERROR(TEXT(C865,"MMMM"),""))</f>
        <v/>
      </c>
      <c r="E865" s="47"/>
      <c r="F865" s="48" t="str">
        <f aca="false">IF(E865="","",IFERROR(INDEX('Chart of Accounts'!$C$4:$C$200,MATCH(TEXT(E865,"@"),TEXT('Chart of Accounts'!$B$4:$B$200,"@"),0)),"⚠ Not Found"))</f>
        <v/>
      </c>
      <c r="G865" s="49"/>
      <c r="H865" s="50"/>
      <c r="I865" s="50"/>
      <c r="J865" s="47"/>
    </row>
    <row r="866" customFormat="false" ht="16.5" hidden="false" customHeight="true" outlineLevel="0" collapsed="false">
      <c r="B866" s="37" t="str">
        <f aca="false">IF(C866="","",ROW()-9)</f>
        <v/>
      </c>
      <c r="C866" s="38"/>
      <c r="D866" s="39" t="str">
        <f aca="false">IF(C866="","",IFERROR(TEXT(C866,"MMMM"),""))</f>
        <v/>
      </c>
      <c r="E866" s="40"/>
      <c r="F866" s="41" t="str">
        <f aca="false">IF(E866="","",IFERROR(INDEX('Chart of Accounts'!$C$4:$C$200,MATCH(TEXT(E866,"@"),TEXT('Chart of Accounts'!$B$4:$B$200,"@"),0)),"⚠ Not Found"))</f>
        <v/>
      </c>
      <c r="G866" s="42"/>
      <c r="H866" s="43"/>
      <c r="I866" s="43"/>
      <c r="J866" s="40"/>
    </row>
    <row r="867" customFormat="false" ht="16.5" hidden="false" customHeight="true" outlineLevel="0" collapsed="false">
      <c r="B867" s="44" t="str">
        <f aca="false">IF(C867="","",ROW()-9)</f>
        <v/>
      </c>
      <c r="C867" s="45"/>
      <c r="D867" s="46" t="str">
        <f aca="false">IF(C867="","",IFERROR(TEXT(C867,"MMMM"),""))</f>
        <v/>
      </c>
      <c r="E867" s="47"/>
      <c r="F867" s="48" t="str">
        <f aca="false">IF(E867="","",IFERROR(INDEX('Chart of Accounts'!$C$4:$C$200,MATCH(TEXT(E867,"@"),TEXT('Chart of Accounts'!$B$4:$B$200,"@"),0)),"⚠ Not Found"))</f>
        <v/>
      </c>
      <c r="G867" s="49"/>
      <c r="H867" s="50"/>
      <c r="I867" s="50"/>
      <c r="J867" s="47"/>
    </row>
    <row r="868" customFormat="false" ht="16.5" hidden="false" customHeight="true" outlineLevel="0" collapsed="false">
      <c r="B868" s="37" t="str">
        <f aca="false">IF(C868="","",ROW()-9)</f>
        <v/>
      </c>
      <c r="C868" s="38"/>
      <c r="D868" s="39" t="str">
        <f aca="false">IF(C868="","",IFERROR(TEXT(C868,"MMMM"),""))</f>
        <v/>
      </c>
      <c r="E868" s="40"/>
      <c r="F868" s="41" t="str">
        <f aca="false">IF(E868="","",IFERROR(INDEX('Chart of Accounts'!$C$4:$C$200,MATCH(TEXT(E868,"@"),TEXT('Chart of Accounts'!$B$4:$B$200,"@"),0)),"⚠ Not Found"))</f>
        <v/>
      </c>
      <c r="G868" s="42"/>
      <c r="H868" s="43"/>
      <c r="I868" s="43"/>
      <c r="J868" s="40"/>
    </row>
    <row r="869" customFormat="false" ht="16.5" hidden="false" customHeight="true" outlineLevel="0" collapsed="false">
      <c r="B869" s="44" t="str">
        <f aca="false">IF(C869="","",ROW()-9)</f>
        <v/>
      </c>
      <c r="C869" s="45"/>
      <c r="D869" s="46" t="str">
        <f aca="false">IF(C869="","",IFERROR(TEXT(C869,"MMMM"),""))</f>
        <v/>
      </c>
      <c r="E869" s="47"/>
      <c r="F869" s="48" t="str">
        <f aca="false">IF(E869="","",IFERROR(INDEX('Chart of Accounts'!$C$4:$C$200,MATCH(TEXT(E869,"@"),TEXT('Chart of Accounts'!$B$4:$B$200,"@"),0)),"⚠ Not Found"))</f>
        <v/>
      </c>
      <c r="G869" s="49"/>
      <c r="H869" s="50"/>
      <c r="I869" s="50"/>
      <c r="J869" s="47"/>
    </row>
    <row r="870" customFormat="false" ht="16.5" hidden="false" customHeight="true" outlineLevel="0" collapsed="false">
      <c r="B870" s="37" t="str">
        <f aca="false">IF(C870="","",ROW()-9)</f>
        <v/>
      </c>
      <c r="C870" s="38"/>
      <c r="D870" s="39" t="str">
        <f aca="false">IF(C870="","",IFERROR(TEXT(C870,"MMMM"),""))</f>
        <v/>
      </c>
      <c r="E870" s="40"/>
      <c r="F870" s="41" t="str">
        <f aca="false">IF(E870="","",IFERROR(INDEX('Chart of Accounts'!$C$4:$C$200,MATCH(TEXT(E870,"@"),TEXT('Chart of Accounts'!$B$4:$B$200,"@"),0)),"⚠ Not Found"))</f>
        <v/>
      </c>
      <c r="G870" s="42"/>
      <c r="H870" s="43"/>
      <c r="I870" s="43"/>
      <c r="J870" s="40"/>
    </row>
    <row r="871" customFormat="false" ht="16.5" hidden="false" customHeight="true" outlineLevel="0" collapsed="false">
      <c r="B871" s="44" t="str">
        <f aca="false">IF(C871="","",ROW()-9)</f>
        <v/>
      </c>
      <c r="C871" s="45"/>
      <c r="D871" s="46" t="str">
        <f aca="false">IF(C871="","",IFERROR(TEXT(C871,"MMMM"),""))</f>
        <v/>
      </c>
      <c r="E871" s="47"/>
      <c r="F871" s="48" t="str">
        <f aca="false">IF(E871="","",IFERROR(INDEX('Chart of Accounts'!$C$4:$C$200,MATCH(TEXT(E871,"@"),TEXT('Chart of Accounts'!$B$4:$B$200,"@"),0)),"⚠ Not Found"))</f>
        <v/>
      </c>
      <c r="G871" s="49"/>
      <c r="H871" s="50"/>
      <c r="I871" s="50"/>
      <c r="J871" s="47"/>
    </row>
    <row r="872" customFormat="false" ht="16.5" hidden="false" customHeight="true" outlineLevel="0" collapsed="false">
      <c r="B872" s="37" t="str">
        <f aca="false">IF(C872="","",ROW()-9)</f>
        <v/>
      </c>
      <c r="C872" s="38"/>
      <c r="D872" s="39" t="str">
        <f aca="false">IF(C872="","",IFERROR(TEXT(C872,"MMMM"),""))</f>
        <v/>
      </c>
      <c r="E872" s="40"/>
      <c r="F872" s="41" t="str">
        <f aca="false">IF(E872="","",IFERROR(INDEX('Chart of Accounts'!$C$4:$C$200,MATCH(TEXT(E872,"@"),TEXT('Chart of Accounts'!$B$4:$B$200,"@"),0)),"⚠ Not Found"))</f>
        <v/>
      </c>
      <c r="G872" s="42"/>
      <c r="H872" s="43"/>
      <c r="I872" s="43"/>
      <c r="J872" s="40"/>
    </row>
    <row r="873" customFormat="false" ht="16.5" hidden="false" customHeight="true" outlineLevel="0" collapsed="false">
      <c r="B873" s="44" t="str">
        <f aca="false">IF(C873="","",ROW()-9)</f>
        <v/>
      </c>
      <c r="C873" s="45"/>
      <c r="D873" s="46" t="str">
        <f aca="false">IF(C873="","",IFERROR(TEXT(C873,"MMMM"),""))</f>
        <v/>
      </c>
      <c r="E873" s="47"/>
      <c r="F873" s="48" t="str">
        <f aca="false">IF(E873="","",IFERROR(INDEX('Chart of Accounts'!$C$4:$C$200,MATCH(TEXT(E873,"@"),TEXT('Chart of Accounts'!$B$4:$B$200,"@"),0)),"⚠ Not Found"))</f>
        <v/>
      </c>
      <c r="G873" s="49"/>
      <c r="H873" s="50"/>
      <c r="I873" s="50"/>
      <c r="J873" s="47"/>
    </row>
    <row r="874" customFormat="false" ht="16.5" hidden="false" customHeight="true" outlineLevel="0" collapsed="false">
      <c r="B874" s="37" t="str">
        <f aca="false">IF(C874="","",ROW()-9)</f>
        <v/>
      </c>
      <c r="C874" s="38"/>
      <c r="D874" s="39" t="str">
        <f aca="false">IF(C874="","",IFERROR(TEXT(C874,"MMMM"),""))</f>
        <v/>
      </c>
      <c r="E874" s="40"/>
      <c r="F874" s="41" t="str">
        <f aca="false">IF(E874="","",IFERROR(INDEX('Chart of Accounts'!$C$4:$C$200,MATCH(TEXT(E874,"@"),TEXT('Chart of Accounts'!$B$4:$B$200,"@"),0)),"⚠ Not Found"))</f>
        <v/>
      </c>
      <c r="G874" s="42"/>
      <c r="H874" s="43"/>
      <c r="I874" s="43"/>
      <c r="J874" s="40"/>
    </row>
    <row r="875" customFormat="false" ht="16.5" hidden="false" customHeight="true" outlineLevel="0" collapsed="false">
      <c r="B875" s="44" t="str">
        <f aca="false">IF(C875="","",ROW()-9)</f>
        <v/>
      </c>
      <c r="C875" s="45"/>
      <c r="D875" s="46" t="str">
        <f aca="false">IF(C875="","",IFERROR(TEXT(C875,"MMMM"),""))</f>
        <v/>
      </c>
      <c r="E875" s="47"/>
      <c r="F875" s="48" t="str">
        <f aca="false">IF(E875="","",IFERROR(INDEX('Chart of Accounts'!$C$4:$C$200,MATCH(TEXT(E875,"@"),TEXT('Chart of Accounts'!$B$4:$B$200,"@"),0)),"⚠ Not Found"))</f>
        <v/>
      </c>
      <c r="G875" s="49"/>
      <c r="H875" s="50"/>
      <c r="I875" s="50"/>
      <c r="J875" s="47"/>
    </row>
    <row r="876" customFormat="false" ht="16.5" hidden="false" customHeight="true" outlineLevel="0" collapsed="false">
      <c r="B876" s="37" t="str">
        <f aca="false">IF(C876="","",ROW()-9)</f>
        <v/>
      </c>
      <c r="C876" s="38"/>
      <c r="D876" s="39" t="str">
        <f aca="false">IF(C876="","",IFERROR(TEXT(C876,"MMMM"),""))</f>
        <v/>
      </c>
      <c r="E876" s="40"/>
      <c r="F876" s="41" t="str">
        <f aca="false">IF(E876="","",IFERROR(INDEX('Chart of Accounts'!$C$4:$C$200,MATCH(TEXT(E876,"@"),TEXT('Chart of Accounts'!$B$4:$B$200,"@"),0)),"⚠ Not Found"))</f>
        <v/>
      </c>
      <c r="G876" s="42"/>
      <c r="H876" s="43"/>
      <c r="I876" s="43"/>
      <c r="J876" s="40"/>
    </row>
    <row r="877" customFormat="false" ht="16.5" hidden="false" customHeight="true" outlineLevel="0" collapsed="false">
      <c r="B877" s="44" t="str">
        <f aca="false">IF(C877="","",ROW()-9)</f>
        <v/>
      </c>
      <c r="C877" s="45"/>
      <c r="D877" s="46" t="str">
        <f aca="false">IF(C877="","",IFERROR(TEXT(C877,"MMMM"),""))</f>
        <v/>
      </c>
      <c r="E877" s="47"/>
      <c r="F877" s="48" t="str">
        <f aca="false">IF(E877="","",IFERROR(INDEX('Chart of Accounts'!$C$4:$C$200,MATCH(TEXT(E877,"@"),TEXT('Chart of Accounts'!$B$4:$B$200,"@"),0)),"⚠ Not Found"))</f>
        <v/>
      </c>
      <c r="G877" s="49"/>
      <c r="H877" s="50"/>
      <c r="I877" s="50"/>
      <c r="J877" s="47"/>
    </row>
    <row r="878" customFormat="false" ht="16.5" hidden="false" customHeight="true" outlineLevel="0" collapsed="false">
      <c r="B878" s="37" t="str">
        <f aca="false">IF(C878="","",ROW()-9)</f>
        <v/>
      </c>
      <c r="C878" s="38"/>
      <c r="D878" s="39" t="str">
        <f aca="false">IF(C878="","",IFERROR(TEXT(C878,"MMMM"),""))</f>
        <v/>
      </c>
      <c r="E878" s="40"/>
      <c r="F878" s="41" t="str">
        <f aca="false">IF(E878="","",IFERROR(INDEX('Chart of Accounts'!$C$4:$C$200,MATCH(TEXT(E878,"@"),TEXT('Chart of Accounts'!$B$4:$B$200,"@"),0)),"⚠ Not Found"))</f>
        <v/>
      </c>
      <c r="G878" s="42"/>
      <c r="H878" s="43"/>
      <c r="I878" s="43"/>
      <c r="J878" s="40"/>
    </row>
    <row r="879" customFormat="false" ht="16.5" hidden="false" customHeight="true" outlineLevel="0" collapsed="false">
      <c r="B879" s="44" t="str">
        <f aca="false">IF(C879="","",ROW()-9)</f>
        <v/>
      </c>
      <c r="C879" s="45"/>
      <c r="D879" s="46" t="str">
        <f aca="false">IF(C879="","",IFERROR(TEXT(C879,"MMMM"),""))</f>
        <v/>
      </c>
      <c r="E879" s="47"/>
      <c r="F879" s="48" t="str">
        <f aca="false">IF(E879="","",IFERROR(INDEX('Chart of Accounts'!$C$4:$C$200,MATCH(TEXT(E879,"@"),TEXT('Chart of Accounts'!$B$4:$B$200,"@"),0)),"⚠ Not Found"))</f>
        <v/>
      </c>
      <c r="G879" s="49"/>
      <c r="H879" s="50"/>
      <c r="I879" s="50"/>
      <c r="J879" s="47"/>
    </row>
    <row r="880" customFormat="false" ht="16.5" hidden="false" customHeight="true" outlineLevel="0" collapsed="false">
      <c r="B880" s="37" t="str">
        <f aca="false">IF(C880="","",ROW()-9)</f>
        <v/>
      </c>
      <c r="C880" s="38"/>
      <c r="D880" s="39" t="str">
        <f aca="false">IF(C880="","",IFERROR(TEXT(C880,"MMMM"),""))</f>
        <v/>
      </c>
      <c r="E880" s="40"/>
      <c r="F880" s="41" t="str">
        <f aca="false">IF(E880="","",IFERROR(INDEX('Chart of Accounts'!$C$4:$C$200,MATCH(TEXT(E880,"@"),TEXT('Chart of Accounts'!$B$4:$B$200,"@"),0)),"⚠ Not Found"))</f>
        <v/>
      </c>
      <c r="G880" s="42"/>
      <c r="H880" s="43"/>
      <c r="I880" s="43"/>
      <c r="J880" s="40"/>
    </row>
    <row r="881" customFormat="false" ht="16.5" hidden="false" customHeight="true" outlineLevel="0" collapsed="false">
      <c r="B881" s="44" t="str">
        <f aca="false">IF(C881="","",ROW()-9)</f>
        <v/>
      </c>
      <c r="C881" s="45"/>
      <c r="D881" s="46" t="str">
        <f aca="false">IF(C881="","",IFERROR(TEXT(C881,"MMMM"),""))</f>
        <v/>
      </c>
      <c r="E881" s="47"/>
      <c r="F881" s="48" t="str">
        <f aca="false">IF(E881="","",IFERROR(INDEX('Chart of Accounts'!$C$4:$C$200,MATCH(TEXT(E881,"@"),TEXT('Chart of Accounts'!$B$4:$B$200,"@"),0)),"⚠ Not Found"))</f>
        <v/>
      </c>
      <c r="G881" s="49"/>
      <c r="H881" s="50"/>
      <c r="I881" s="50"/>
      <c r="J881" s="47"/>
    </row>
    <row r="882" customFormat="false" ht="16.5" hidden="false" customHeight="true" outlineLevel="0" collapsed="false">
      <c r="B882" s="37" t="str">
        <f aca="false">IF(C882="","",ROW()-9)</f>
        <v/>
      </c>
      <c r="C882" s="38"/>
      <c r="D882" s="39" t="str">
        <f aca="false">IF(C882="","",IFERROR(TEXT(C882,"MMMM"),""))</f>
        <v/>
      </c>
      <c r="E882" s="40"/>
      <c r="F882" s="41" t="str">
        <f aca="false">IF(E882="","",IFERROR(INDEX('Chart of Accounts'!$C$4:$C$200,MATCH(TEXT(E882,"@"),TEXT('Chart of Accounts'!$B$4:$B$200,"@"),0)),"⚠ Not Found"))</f>
        <v/>
      </c>
      <c r="G882" s="42"/>
      <c r="H882" s="43"/>
      <c r="I882" s="43"/>
      <c r="J882" s="40"/>
    </row>
    <row r="883" customFormat="false" ht="16.5" hidden="false" customHeight="true" outlineLevel="0" collapsed="false">
      <c r="B883" s="44" t="str">
        <f aca="false">IF(C883="","",ROW()-9)</f>
        <v/>
      </c>
      <c r="C883" s="45"/>
      <c r="D883" s="46" t="str">
        <f aca="false">IF(C883="","",IFERROR(TEXT(C883,"MMMM"),""))</f>
        <v/>
      </c>
      <c r="E883" s="47"/>
      <c r="F883" s="48" t="str">
        <f aca="false">IF(E883="","",IFERROR(INDEX('Chart of Accounts'!$C$4:$C$200,MATCH(TEXT(E883,"@"),TEXT('Chart of Accounts'!$B$4:$B$200,"@"),0)),"⚠ Not Found"))</f>
        <v/>
      </c>
      <c r="G883" s="49"/>
      <c r="H883" s="50"/>
      <c r="I883" s="50"/>
      <c r="J883" s="47"/>
    </row>
    <row r="884" customFormat="false" ht="16.5" hidden="false" customHeight="true" outlineLevel="0" collapsed="false">
      <c r="B884" s="37" t="str">
        <f aca="false">IF(C884="","",ROW()-9)</f>
        <v/>
      </c>
      <c r="C884" s="38"/>
      <c r="D884" s="39" t="str">
        <f aca="false">IF(C884="","",IFERROR(TEXT(C884,"MMMM"),""))</f>
        <v/>
      </c>
      <c r="E884" s="40"/>
      <c r="F884" s="41" t="str">
        <f aca="false">IF(E884="","",IFERROR(INDEX('Chart of Accounts'!$C$4:$C$200,MATCH(TEXT(E884,"@"),TEXT('Chart of Accounts'!$B$4:$B$200,"@"),0)),"⚠ Not Found"))</f>
        <v/>
      </c>
      <c r="G884" s="42"/>
      <c r="H884" s="43"/>
      <c r="I884" s="43"/>
      <c r="J884" s="40"/>
    </row>
    <row r="885" customFormat="false" ht="16.5" hidden="false" customHeight="true" outlineLevel="0" collapsed="false">
      <c r="B885" s="44" t="str">
        <f aca="false">IF(C885="","",ROW()-9)</f>
        <v/>
      </c>
      <c r="C885" s="45"/>
      <c r="D885" s="46" t="str">
        <f aca="false">IF(C885="","",IFERROR(TEXT(C885,"MMMM"),""))</f>
        <v/>
      </c>
      <c r="E885" s="47"/>
      <c r="F885" s="48" t="str">
        <f aca="false">IF(E885="","",IFERROR(INDEX('Chart of Accounts'!$C$4:$C$200,MATCH(TEXT(E885,"@"),TEXT('Chart of Accounts'!$B$4:$B$200,"@"),0)),"⚠ Not Found"))</f>
        <v/>
      </c>
      <c r="G885" s="49"/>
      <c r="H885" s="50"/>
      <c r="I885" s="50"/>
      <c r="J885" s="47"/>
    </row>
    <row r="886" customFormat="false" ht="16.5" hidden="false" customHeight="true" outlineLevel="0" collapsed="false">
      <c r="B886" s="37" t="str">
        <f aca="false">IF(C886="","",ROW()-9)</f>
        <v/>
      </c>
      <c r="C886" s="38"/>
      <c r="D886" s="39" t="str">
        <f aca="false">IF(C886="","",IFERROR(TEXT(C886,"MMMM"),""))</f>
        <v/>
      </c>
      <c r="E886" s="40"/>
      <c r="F886" s="41" t="str">
        <f aca="false">IF(E886="","",IFERROR(INDEX('Chart of Accounts'!$C$4:$C$200,MATCH(TEXT(E886,"@"),TEXT('Chart of Accounts'!$B$4:$B$200,"@"),0)),"⚠ Not Found"))</f>
        <v/>
      </c>
      <c r="G886" s="42"/>
      <c r="H886" s="43"/>
      <c r="I886" s="43"/>
      <c r="J886" s="40"/>
    </row>
    <row r="887" customFormat="false" ht="16.5" hidden="false" customHeight="true" outlineLevel="0" collapsed="false">
      <c r="B887" s="44" t="str">
        <f aca="false">IF(C887="","",ROW()-9)</f>
        <v/>
      </c>
      <c r="C887" s="45"/>
      <c r="D887" s="46" t="str">
        <f aca="false">IF(C887="","",IFERROR(TEXT(C887,"MMMM"),""))</f>
        <v/>
      </c>
      <c r="E887" s="47"/>
      <c r="F887" s="48" t="str">
        <f aca="false">IF(E887="","",IFERROR(INDEX('Chart of Accounts'!$C$4:$C$200,MATCH(TEXT(E887,"@"),TEXT('Chart of Accounts'!$B$4:$B$200,"@"),0)),"⚠ Not Found"))</f>
        <v/>
      </c>
      <c r="G887" s="49"/>
      <c r="H887" s="50"/>
      <c r="I887" s="50"/>
      <c r="J887" s="47"/>
    </row>
    <row r="888" customFormat="false" ht="16.5" hidden="false" customHeight="true" outlineLevel="0" collapsed="false">
      <c r="B888" s="37" t="str">
        <f aca="false">IF(C888="","",ROW()-9)</f>
        <v/>
      </c>
      <c r="C888" s="38"/>
      <c r="D888" s="39" t="str">
        <f aca="false">IF(C888="","",IFERROR(TEXT(C888,"MMMM"),""))</f>
        <v/>
      </c>
      <c r="E888" s="40"/>
      <c r="F888" s="41" t="str">
        <f aca="false">IF(E888="","",IFERROR(INDEX('Chart of Accounts'!$C$4:$C$200,MATCH(TEXT(E888,"@"),TEXT('Chart of Accounts'!$B$4:$B$200,"@"),0)),"⚠ Not Found"))</f>
        <v/>
      </c>
      <c r="G888" s="42"/>
      <c r="H888" s="43"/>
      <c r="I888" s="43"/>
      <c r="J888" s="40"/>
    </row>
    <row r="889" customFormat="false" ht="16.5" hidden="false" customHeight="true" outlineLevel="0" collapsed="false">
      <c r="B889" s="44" t="str">
        <f aca="false">IF(C889="","",ROW()-9)</f>
        <v/>
      </c>
      <c r="C889" s="45"/>
      <c r="D889" s="46" t="str">
        <f aca="false">IF(C889="","",IFERROR(TEXT(C889,"MMMM"),""))</f>
        <v/>
      </c>
      <c r="E889" s="47"/>
      <c r="F889" s="48" t="str">
        <f aca="false">IF(E889="","",IFERROR(INDEX('Chart of Accounts'!$C$4:$C$200,MATCH(TEXT(E889,"@"),TEXT('Chart of Accounts'!$B$4:$B$200,"@"),0)),"⚠ Not Found"))</f>
        <v/>
      </c>
      <c r="G889" s="49"/>
      <c r="H889" s="50"/>
      <c r="I889" s="50"/>
      <c r="J889" s="47"/>
    </row>
    <row r="890" customFormat="false" ht="16.5" hidden="false" customHeight="true" outlineLevel="0" collapsed="false">
      <c r="B890" s="37" t="str">
        <f aca="false">IF(C890="","",ROW()-9)</f>
        <v/>
      </c>
      <c r="C890" s="38"/>
      <c r="D890" s="39" t="str">
        <f aca="false">IF(C890="","",IFERROR(TEXT(C890,"MMMM"),""))</f>
        <v/>
      </c>
      <c r="E890" s="40"/>
      <c r="F890" s="41" t="str">
        <f aca="false">IF(E890="","",IFERROR(INDEX('Chart of Accounts'!$C$4:$C$200,MATCH(TEXT(E890,"@"),TEXT('Chart of Accounts'!$B$4:$B$200,"@"),0)),"⚠ Not Found"))</f>
        <v/>
      </c>
      <c r="G890" s="42"/>
      <c r="H890" s="43"/>
      <c r="I890" s="43"/>
      <c r="J890" s="40"/>
    </row>
    <row r="891" customFormat="false" ht="16.5" hidden="false" customHeight="true" outlineLevel="0" collapsed="false">
      <c r="B891" s="44" t="str">
        <f aca="false">IF(C891="","",ROW()-9)</f>
        <v/>
      </c>
      <c r="C891" s="45"/>
      <c r="D891" s="46" t="str">
        <f aca="false">IF(C891="","",IFERROR(TEXT(C891,"MMMM"),""))</f>
        <v/>
      </c>
      <c r="E891" s="47"/>
      <c r="F891" s="48" t="str">
        <f aca="false">IF(E891="","",IFERROR(INDEX('Chart of Accounts'!$C$4:$C$200,MATCH(TEXT(E891,"@"),TEXT('Chart of Accounts'!$B$4:$B$200,"@"),0)),"⚠ Not Found"))</f>
        <v/>
      </c>
      <c r="G891" s="49"/>
      <c r="H891" s="50"/>
      <c r="I891" s="50"/>
      <c r="J891" s="47"/>
    </row>
    <row r="892" customFormat="false" ht="16.5" hidden="false" customHeight="true" outlineLevel="0" collapsed="false">
      <c r="B892" s="37" t="str">
        <f aca="false">IF(C892="","",ROW()-9)</f>
        <v/>
      </c>
      <c r="C892" s="38"/>
      <c r="D892" s="39" t="str">
        <f aca="false">IF(C892="","",IFERROR(TEXT(C892,"MMMM"),""))</f>
        <v/>
      </c>
      <c r="E892" s="40"/>
      <c r="F892" s="41" t="str">
        <f aca="false">IF(E892="","",IFERROR(INDEX('Chart of Accounts'!$C$4:$C$200,MATCH(TEXT(E892,"@"),TEXT('Chart of Accounts'!$B$4:$B$200,"@"),0)),"⚠ Not Found"))</f>
        <v/>
      </c>
      <c r="G892" s="42"/>
      <c r="H892" s="43"/>
      <c r="I892" s="43"/>
      <c r="J892" s="40"/>
    </row>
    <row r="893" customFormat="false" ht="16.5" hidden="false" customHeight="true" outlineLevel="0" collapsed="false">
      <c r="B893" s="44" t="str">
        <f aca="false">IF(C893="","",ROW()-9)</f>
        <v/>
      </c>
      <c r="C893" s="45"/>
      <c r="D893" s="46" t="str">
        <f aca="false">IF(C893="","",IFERROR(TEXT(C893,"MMMM"),""))</f>
        <v/>
      </c>
      <c r="E893" s="47"/>
      <c r="F893" s="48" t="str">
        <f aca="false">IF(E893="","",IFERROR(INDEX('Chart of Accounts'!$C$4:$C$200,MATCH(TEXT(E893,"@"),TEXT('Chart of Accounts'!$B$4:$B$200,"@"),0)),"⚠ Not Found"))</f>
        <v/>
      </c>
      <c r="G893" s="49"/>
      <c r="H893" s="50"/>
      <c r="I893" s="50"/>
      <c r="J893" s="47"/>
    </row>
    <row r="894" customFormat="false" ht="16.5" hidden="false" customHeight="true" outlineLevel="0" collapsed="false">
      <c r="B894" s="37" t="str">
        <f aca="false">IF(C894="","",ROW()-9)</f>
        <v/>
      </c>
      <c r="C894" s="38"/>
      <c r="D894" s="39" t="str">
        <f aca="false">IF(C894="","",IFERROR(TEXT(C894,"MMMM"),""))</f>
        <v/>
      </c>
      <c r="E894" s="40"/>
      <c r="F894" s="41" t="str">
        <f aca="false">IF(E894="","",IFERROR(INDEX('Chart of Accounts'!$C$4:$C$200,MATCH(TEXT(E894,"@"),TEXT('Chart of Accounts'!$B$4:$B$200,"@"),0)),"⚠ Not Found"))</f>
        <v/>
      </c>
      <c r="G894" s="42"/>
      <c r="H894" s="43"/>
      <c r="I894" s="43"/>
      <c r="J894" s="40"/>
    </row>
    <row r="895" customFormat="false" ht="16.5" hidden="false" customHeight="true" outlineLevel="0" collapsed="false">
      <c r="B895" s="44" t="str">
        <f aca="false">IF(C895="","",ROW()-9)</f>
        <v/>
      </c>
      <c r="C895" s="45"/>
      <c r="D895" s="46" t="str">
        <f aca="false">IF(C895="","",IFERROR(TEXT(C895,"MMMM"),""))</f>
        <v/>
      </c>
      <c r="E895" s="47"/>
      <c r="F895" s="48" t="str">
        <f aca="false">IF(E895="","",IFERROR(INDEX('Chart of Accounts'!$C$4:$C$200,MATCH(TEXT(E895,"@"),TEXT('Chart of Accounts'!$B$4:$B$200,"@"),0)),"⚠ Not Found"))</f>
        <v/>
      </c>
      <c r="G895" s="49"/>
      <c r="H895" s="50"/>
      <c r="I895" s="50"/>
      <c r="J895" s="47"/>
    </row>
    <row r="896" customFormat="false" ht="16.5" hidden="false" customHeight="true" outlineLevel="0" collapsed="false">
      <c r="B896" s="37" t="str">
        <f aca="false">IF(C896="","",ROW()-9)</f>
        <v/>
      </c>
      <c r="C896" s="38"/>
      <c r="D896" s="39" t="str">
        <f aca="false">IF(C896="","",IFERROR(TEXT(C896,"MMMM"),""))</f>
        <v/>
      </c>
      <c r="E896" s="40"/>
      <c r="F896" s="41" t="str">
        <f aca="false">IF(E896="","",IFERROR(INDEX('Chart of Accounts'!$C$4:$C$200,MATCH(TEXT(E896,"@"),TEXT('Chart of Accounts'!$B$4:$B$200,"@"),0)),"⚠ Not Found"))</f>
        <v/>
      </c>
      <c r="G896" s="42"/>
      <c r="H896" s="43"/>
      <c r="I896" s="43"/>
      <c r="J896" s="40"/>
    </row>
    <row r="897" customFormat="false" ht="16.5" hidden="false" customHeight="true" outlineLevel="0" collapsed="false">
      <c r="B897" s="44" t="str">
        <f aca="false">IF(C897="","",ROW()-9)</f>
        <v/>
      </c>
      <c r="C897" s="45"/>
      <c r="D897" s="46" t="str">
        <f aca="false">IF(C897="","",IFERROR(TEXT(C897,"MMMM"),""))</f>
        <v/>
      </c>
      <c r="E897" s="47"/>
      <c r="F897" s="48" t="str">
        <f aca="false">IF(E897="","",IFERROR(INDEX('Chart of Accounts'!$C$4:$C$200,MATCH(TEXT(E897,"@"),TEXT('Chart of Accounts'!$B$4:$B$200,"@"),0)),"⚠ Not Found"))</f>
        <v/>
      </c>
      <c r="G897" s="49"/>
      <c r="H897" s="50"/>
      <c r="I897" s="50"/>
      <c r="J897" s="47"/>
    </row>
    <row r="898" customFormat="false" ht="16.5" hidden="false" customHeight="true" outlineLevel="0" collapsed="false">
      <c r="B898" s="37" t="str">
        <f aca="false">IF(C898="","",ROW()-9)</f>
        <v/>
      </c>
      <c r="C898" s="38"/>
      <c r="D898" s="39" t="str">
        <f aca="false">IF(C898="","",IFERROR(TEXT(C898,"MMMM"),""))</f>
        <v/>
      </c>
      <c r="E898" s="40"/>
      <c r="F898" s="41" t="str">
        <f aca="false">IF(E898="","",IFERROR(INDEX('Chart of Accounts'!$C$4:$C$200,MATCH(TEXT(E898,"@"),TEXT('Chart of Accounts'!$B$4:$B$200,"@"),0)),"⚠ Not Found"))</f>
        <v/>
      </c>
      <c r="G898" s="42"/>
      <c r="H898" s="43"/>
      <c r="I898" s="43"/>
      <c r="J898" s="40"/>
    </row>
    <row r="899" customFormat="false" ht="16.5" hidden="false" customHeight="true" outlineLevel="0" collapsed="false">
      <c r="B899" s="44" t="str">
        <f aca="false">IF(C899="","",ROW()-9)</f>
        <v/>
      </c>
      <c r="C899" s="45"/>
      <c r="D899" s="46" t="str">
        <f aca="false">IF(C899="","",IFERROR(TEXT(C899,"MMMM"),""))</f>
        <v/>
      </c>
      <c r="E899" s="47"/>
      <c r="F899" s="48" t="str">
        <f aca="false">IF(E899="","",IFERROR(INDEX('Chart of Accounts'!$C$4:$C$200,MATCH(TEXT(E899,"@"),TEXT('Chart of Accounts'!$B$4:$B$200,"@"),0)),"⚠ Not Found"))</f>
        <v/>
      </c>
      <c r="G899" s="49"/>
      <c r="H899" s="50"/>
      <c r="I899" s="50"/>
      <c r="J899" s="47"/>
    </row>
    <row r="900" customFormat="false" ht="16.5" hidden="false" customHeight="true" outlineLevel="0" collapsed="false">
      <c r="B900" s="37" t="str">
        <f aca="false">IF(C900="","",ROW()-9)</f>
        <v/>
      </c>
      <c r="C900" s="38"/>
      <c r="D900" s="39" t="str">
        <f aca="false">IF(C900="","",IFERROR(TEXT(C900,"MMMM"),""))</f>
        <v/>
      </c>
      <c r="E900" s="40"/>
      <c r="F900" s="41" t="str">
        <f aca="false">IF(E900="","",IFERROR(INDEX('Chart of Accounts'!$C$4:$C$200,MATCH(TEXT(E900,"@"),TEXT('Chart of Accounts'!$B$4:$B$200,"@"),0)),"⚠ Not Found"))</f>
        <v/>
      </c>
      <c r="G900" s="42"/>
      <c r="H900" s="43"/>
      <c r="I900" s="43"/>
      <c r="J900" s="40"/>
    </row>
    <row r="901" customFormat="false" ht="16.5" hidden="false" customHeight="true" outlineLevel="0" collapsed="false">
      <c r="B901" s="44" t="str">
        <f aca="false">IF(C901="","",ROW()-9)</f>
        <v/>
      </c>
      <c r="C901" s="45"/>
      <c r="D901" s="46" t="str">
        <f aca="false">IF(C901="","",IFERROR(TEXT(C901,"MMMM"),""))</f>
        <v/>
      </c>
      <c r="E901" s="47"/>
      <c r="F901" s="48" t="str">
        <f aca="false">IF(E901="","",IFERROR(INDEX('Chart of Accounts'!$C$4:$C$200,MATCH(TEXT(E901,"@"),TEXT('Chart of Accounts'!$B$4:$B$200,"@"),0)),"⚠ Not Found"))</f>
        <v/>
      </c>
      <c r="G901" s="49"/>
      <c r="H901" s="50"/>
      <c r="I901" s="50"/>
      <c r="J901" s="47"/>
    </row>
    <row r="902" customFormat="false" ht="16.5" hidden="false" customHeight="true" outlineLevel="0" collapsed="false">
      <c r="B902" s="37" t="str">
        <f aca="false">IF(C902="","",ROW()-9)</f>
        <v/>
      </c>
      <c r="C902" s="38"/>
      <c r="D902" s="39" t="str">
        <f aca="false">IF(C902="","",IFERROR(TEXT(C902,"MMMM"),""))</f>
        <v/>
      </c>
      <c r="E902" s="40"/>
      <c r="F902" s="41" t="str">
        <f aca="false">IF(E902="","",IFERROR(INDEX('Chart of Accounts'!$C$4:$C$200,MATCH(TEXT(E902,"@"),TEXT('Chart of Accounts'!$B$4:$B$200,"@"),0)),"⚠ Not Found"))</f>
        <v/>
      </c>
      <c r="G902" s="42"/>
      <c r="H902" s="43"/>
      <c r="I902" s="43"/>
      <c r="J902" s="40"/>
    </row>
    <row r="903" customFormat="false" ht="16.5" hidden="false" customHeight="true" outlineLevel="0" collapsed="false">
      <c r="B903" s="44" t="str">
        <f aca="false">IF(C903="","",ROW()-9)</f>
        <v/>
      </c>
      <c r="C903" s="45"/>
      <c r="D903" s="46" t="str">
        <f aca="false">IF(C903="","",IFERROR(TEXT(C903,"MMMM"),""))</f>
        <v/>
      </c>
      <c r="E903" s="47"/>
      <c r="F903" s="48" t="str">
        <f aca="false">IF(E903="","",IFERROR(INDEX('Chart of Accounts'!$C$4:$C$200,MATCH(TEXT(E903,"@"),TEXT('Chart of Accounts'!$B$4:$B$200,"@"),0)),"⚠ Not Found"))</f>
        <v/>
      </c>
      <c r="G903" s="49"/>
      <c r="H903" s="50"/>
      <c r="I903" s="50"/>
      <c r="J903" s="47"/>
    </row>
    <row r="904" customFormat="false" ht="16.5" hidden="false" customHeight="true" outlineLevel="0" collapsed="false">
      <c r="B904" s="37" t="str">
        <f aca="false">IF(C904="","",ROW()-9)</f>
        <v/>
      </c>
      <c r="C904" s="38"/>
      <c r="D904" s="39" t="str">
        <f aca="false">IF(C904="","",IFERROR(TEXT(C904,"MMMM"),""))</f>
        <v/>
      </c>
      <c r="E904" s="40"/>
      <c r="F904" s="41" t="str">
        <f aca="false">IF(E904="","",IFERROR(INDEX('Chart of Accounts'!$C$4:$C$200,MATCH(TEXT(E904,"@"),TEXT('Chart of Accounts'!$B$4:$B$200,"@"),0)),"⚠ Not Found"))</f>
        <v/>
      </c>
      <c r="G904" s="42"/>
      <c r="H904" s="43"/>
      <c r="I904" s="43"/>
      <c r="J904" s="40"/>
    </row>
    <row r="905" customFormat="false" ht="16.5" hidden="false" customHeight="true" outlineLevel="0" collapsed="false">
      <c r="B905" s="44" t="str">
        <f aca="false">IF(C905="","",ROW()-9)</f>
        <v/>
      </c>
      <c r="C905" s="45"/>
      <c r="D905" s="46" t="str">
        <f aca="false">IF(C905="","",IFERROR(TEXT(C905,"MMMM"),""))</f>
        <v/>
      </c>
      <c r="E905" s="47"/>
      <c r="F905" s="48" t="str">
        <f aca="false">IF(E905="","",IFERROR(INDEX('Chart of Accounts'!$C$4:$C$200,MATCH(TEXT(E905,"@"),TEXT('Chart of Accounts'!$B$4:$B$200,"@"),0)),"⚠ Not Found"))</f>
        <v/>
      </c>
      <c r="G905" s="49"/>
      <c r="H905" s="50"/>
      <c r="I905" s="50"/>
      <c r="J905" s="47"/>
    </row>
    <row r="906" customFormat="false" ht="16.5" hidden="false" customHeight="true" outlineLevel="0" collapsed="false">
      <c r="B906" s="37" t="str">
        <f aca="false">IF(C906="","",ROW()-9)</f>
        <v/>
      </c>
      <c r="C906" s="38"/>
      <c r="D906" s="39" t="str">
        <f aca="false">IF(C906="","",IFERROR(TEXT(C906,"MMMM"),""))</f>
        <v/>
      </c>
      <c r="E906" s="40"/>
      <c r="F906" s="41" t="str">
        <f aca="false">IF(E906="","",IFERROR(INDEX('Chart of Accounts'!$C$4:$C$200,MATCH(TEXT(E906,"@"),TEXT('Chart of Accounts'!$B$4:$B$200,"@"),0)),"⚠ Not Found"))</f>
        <v/>
      </c>
      <c r="G906" s="42"/>
      <c r="H906" s="43"/>
      <c r="I906" s="43"/>
      <c r="J906" s="40"/>
    </row>
    <row r="907" customFormat="false" ht="16.5" hidden="false" customHeight="true" outlineLevel="0" collapsed="false">
      <c r="B907" s="44" t="str">
        <f aca="false">IF(C907="","",ROW()-9)</f>
        <v/>
      </c>
      <c r="C907" s="45"/>
      <c r="D907" s="46" t="str">
        <f aca="false">IF(C907="","",IFERROR(TEXT(C907,"MMMM"),""))</f>
        <v/>
      </c>
      <c r="E907" s="47"/>
      <c r="F907" s="48" t="str">
        <f aca="false">IF(E907="","",IFERROR(INDEX('Chart of Accounts'!$C$4:$C$200,MATCH(TEXT(E907,"@"),TEXT('Chart of Accounts'!$B$4:$B$200,"@"),0)),"⚠ Not Found"))</f>
        <v/>
      </c>
      <c r="G907" s="49"/>
      <c r="H907" s="50"/>
      <c r="I907" s="50"/>
      <c r="J907" s="47"/>
    </row>
    <row r="908" customFormat="false" ht="16.5" hidden="false" customHeight="true" outlineLevel="0" collapsed="false">
      <c r="B908" s="37" t="str">
        <f aca="false">IF(C908="","",ROW()-9)</f>
        <v/>
      </c>
      <c r="C908" s="38"/>
      <c r="D908" s="39" t="str">
        <f aca="false">IF(C908="","",IFERROR(TEXT(C908,"MMMM"),""))</f>
        <v/>
      </c>
      <c r="E908" s="40"/>
      <c r="F908" s="41" t="str">
        <f aca="false">IF(E908="","",IFERROR(INDEX('Chart of Accounts'!$C$4:$C$200,MATCH(TEXT(E908,"@"),TEXT('Chart of Accounts'!$B$4:$B$200,"@"),0)),"⚠ Not Found"))</f>
        <v/>
      </c>
      <c r="G908" s="42"/>
      <c r="H908" s="43"/>
      <c r="I908" s="43"/>
      <c r="J908" s="40"/>
    </row>
    <row r="909" customFormat="false" ht="16.5" hidden="false" customHeight="true" outlineLevel="0" collapsed="false">
      <c r="B909" s="44" t="str">
        <f aca="false">IF(C909="","",ROW()-9)</f>
        <v/>
      </c>
      <c r="C909" s="45"/>
      <c r="D909" s="46" t="str">
        <f aca="false">IF(C909="","",IFERROR(TEXT(C909,"MMMM"),""))</f>
        <v/>
      </c>
      <c r="E909" s="47"/>
      <c r="F909" s="48" t="str">
        <f aca="false">IF(E909="","",IFERROR(INDEX('Chart of Accounts'!$C$4:$C$200,MATCH(TEXT(E909,"@"),TEXT('Chart of Accounts'!$B$4:$B$200,"@"),0)),"⚠ Not Found"))</f>
        <v/>
      </c>
      <c r="G909" s="49"/>
      <c r="H909" s="50"/>
      <c r="I909" s="50"/>
      <c r="J909" s="47"/>
    </row>
    <row r="910" customFormat="false" ht="16.5" hidden="false" customHeight="true" outlineLevel="0" collapsed="false">
      <c r="B910" s="37" t="str">
        <f aca="false">IF(C910="","",ROW()-9)</f>
        <v/>
      </c>
      <c r="C910" s="38"/>
      <c r="D910" s="39" t="str">
        <f aca="false">IF(C910="","",IFERROR(TEXT(C910,"MMMM"),""))</f>
        <v/>
      </c>
      <c r="E910" s="40"/>
      <c r="F910" s="41" t="str">
        <f aca="false">IF(E910="","",IFERROR(INDEX('Chart of Accounts'!$C$4:$C$200,MATCH(TEXT(E910,"@"),TEXT('Chart of Accounts'!$B$4:$B$200,"@"),0)),"⚠ Not Found"))</f>
        <v/>
      </c>
      <c r="G910" s="42"/>
      <c r="H910" s="43"/>
      <c r="I910" s="43"/>
      <c r="J910" s="40"/>
    </row>
    <row r="911" customFormat="false" ht="16.5" hidden="false" customHeight="true" outlineLevel="0" collapsed="false">
      <c r="B911" s="44" t="str">
        <f aca="false">IF(C911="","",ROW()-9)</f>
        <v/>
      </c>
      <c r="C911" s="45"/>
      <c r="D911" s="46" t="str">
        <f aca="false">IF(C911="","",IFERROR(TEXT(C911,"MMMM"),""))</f>
        <v/>
      </c>
      <c r="E911" s="47"/>
      <c r="F911" s="48" t="str">
        <f aca="false">IF(E911="","",IFERROR(INDEX('Chart of Accounts'!$C$4:$C$200,MATCH(TEXT(E911,"@"),TEXT('Chart of Accounts'!$B$4:$B$200,"@"),0)),"⚠ Not Found"))</f>
        <v/>
      </c>
      <c r="G911" s="49"/>
      <c r="H911" s="50"/>
      <c r="I911" s="50"/>
      <c r="J911" s="47"/>
    </row>
    <row r="912" customFormat="false" ht="16.5" hidden="false" customHeight="true" outlineLevel="0" collapsed="false">
      <c r="B912" s="37" t="str">
        <f aca="false">IF(C912="","",ROW()-9)</f>
        <v/>
      </c>
      <c r="C912" s="38"/>
      <c r="D912" s="39" t="str">
        <f aca="false">IF(C912="","",IFERROR(TEXT(C912,"MMMM"),""))</f>
        <v/>
      </c>
      <c r="E912" s="40"/>
      <c r="F912" s="41" t="str">
        <f aca="false">IF(E912="","",IFERROR(INDEX('Chart of Accounts'!$C$4:$C$200,MATCH(TEXT(E912,"@"),TEXT('Chart of Accounts'!$B$4:$B$200,"@"),0)),"⚠ Not Found"))</f>
        <v/>
      </c>
      <c r="G912" s="42"/>
      <c r="H912" s="43"/>
      <c r="I912" s="43"/>
      <c r="J912" s="40"/>
    </row>
    <row r="913" customFormat="false" ht="16.5" hidden="false" customHeight="true" outlineLevel="0" collapsed="false">
      <c r="B913" s="44" t="str">
        <f aca="false">IF(C913="","",ROW()-9)</f>
        <v/>
      </c>
      <c r="C913" s="45"/>
      <c r="D913" s="46" t="str">
        <f aca="false">IF(C913="","",IFERROR(TEXT(C913,"MMMM"),""))</f>
        <v/>
      </c>
      <c r="E913" s="47"/>
      <c r="F913" s="48" t="str">
        <f aca="false">IF(E913="","",IFERROR(INDEX('Chart of Accounts'!$C$4:$C$200,MATCH(TEXT(E913,"@"),TEXT('Chart of Accounts'!$B$4:$B$200,"@"),0)),"⚠ Not Found"))</f>
        <v/>
      </c>
      <c r="G913" s="49"/>
      <c r="H913" s="50"/>
      <c r="I913" s="50"/>
      <c r="J913" s="47"/>
    </row>
    <row r="914" customFormat="false" ht="16.5" hidden="false" customHeight="true" outlineLevel="0" collapsed="false">
      <c r="B914" s="37" t="str">
        <f aca="false">IF(C914="","",ROW()-9)</f>
        <v/>
      </c>
      <c r="C914" s="38"/>
      <c r="D914" s="39" t="str">
        <f aca="false">IF(C914="","",IFERROR(TEXT(C914,"MMMM"),""))</f>
        <v/>
      </c>
      <c r="E914" s="40"/>
      <c r="F914" s="41" t="str">
        <f aca="false">IF(E914="","",IFERROR(INDEX('Chart of Accounts'!$C$4:$C$200,MATCH(TEXT(E914,"@"),TEXT('Chart of Accounts'!$B$4:$B$200,"@"),0)),"⚠ Not Found"))</f>
        <v/>
      </c>
      <c r="G914" s="42"/>
      <c r="H914" s="43"/>
      <c r="I914" s="43"/>
      <c r="J914" s="40"/>
    </row>
    <row r="915" customFormat="false" ht="16.5" hidden="false" customHeight="true" outlineLevel="0" collapsed="false">
      <c r="B915" s="44" t="str">
        <f aca="false">IF(C915="","",ROW()-9)</f>
        <v/>
      </c>
      <c r="C915" s="45"/>
      <c r="D915" s="46" t="str">
        <f aca="false">IF(C915="","",IFERROR(TEXT(C915,"MMMM"),""))</f>
        <v/>
      </c>
      <c r="E915" s="47"/>
      <c r="F915" s="48" t="str">
        <f aca="false">IF(E915="","",IFERROR(INDEX('Chart of Accounts'!$C$4:$C$200,MATCH(TEXT(E915,"@"),TEXT('Chart of Accounts'!$B$4:$B$200,"@"),0)),"⚠ Not Found"))</f>
        <v/>
      </c>
      <c r="G915" s="49"/>
      <c r="H915" s="50"/>
      <c r="I915" s="50"/>
      <c r="J915" s="47"/>
    </row>
    <row r="916" customFormat="false" ht="16.5" hidden="false" customHeight="true" outlineLevel="0" collapsed="false">
      <c r="B916" s="37" t="str">
        <f aca="false">IF(C916="","",ROW()-9)</f>
        <v/>
      </c>
      <c r="C916" s="38"/>
      <c r="D916" s="39" t="str">
        <f aca="false">IF(C916="","",IFERROR(TEXT(C916,"MMMM"),""))</f>
        <v/>
      </c>
      <c r="E916" s="40"/>
      <c r="F916" s="41" t="str">
        <f aca="false">IF(E916="","",IFERROR(INDEX('Chart of Accounts'!$C$4:$C$200,MATCH(TEXT(E916,"@"),TEXT('Chart of Accounts'!$B$4:$B$200,"@"),0)),"⚠ Not Found"))</f>
        <v/>
      </c>
      <c r="G916" s="42"/>
      <c r="H916" s="43"/>
      <c r="I916" s="43"/>
      <c r="J916" s="40"/>
    </row>
    <row r="917" customFormat="false" ht="16.5" hidden="false" customHeight="true" outlineLevel="0" collapsed="false">
      <c r="B917" s="44" t="str">
        <f aca="false">IF(C917="","",ROW()-9)</f>
        <v/>
      </c>
      <c r="C917" s="45"/>
      <c r="D917" s="46" t="str">
        <f aca="false">IF(C917="","",IFERROR(TEXT(C917,"MMMM"),""))</f>
        <v/>
      </c>
      <c r="E917" s="47"/>
      <c r="F917" s="48" t="str">
        <f aca="false">IF(E917="","",IFERROR(INDEX('Chart of Accounts'!$C$4:$C$200,MATCH(TEXT(E917,"@"),TEXT('Chart of Accounts'!$B$4:$B$200,"@"),0)),"⚠ Not Found"))</f>
        <v/>
      </c>
      <c r="G917" s="49"/>
      <c r="H917" s="50"/>
      <c r="I917" s="50"/>
      <c r="J917" s="47"/>
    </row>
    <row r="918" customFormat="false" ht="16.5" hidden="false" customHeight="true" outlineLevel="0" collapsed="false">
      <c r="B918" s="37" t="str">
        <f aca="false">IF(C918="","",ROW()-9)</f>
        <v/>
      </c>
      <c r="C918" s="38"/>
      <c r="D918" s="39" t="str">
        <f aca="false">IF(C918="","",IFERROR(TEXT(C918,"MMMM"),""))</f>
        <v/>
      </c>
      <c r="E918" s="40"/>
      <c r="F918" s="41" t="str">
        <f aca="false">IF(E918="","",IFERROR(INDEX('Chart of Accounts'!$C$4:$C$200,MATCH(TEXT(E918,"@"),TEXT('Chart of Accounts'!$B$4:$B$200,"@"),0)),"⚠ Not Found"))</f>
        <v/>
      </c>
      <c r="G918" s="42"/>
      <c r="H918" s="43"/>
      <c r="I918" s="43"/>
      <c r="J918" s="40"/>
    </row>
    <row r="919" customFormat="false" ht="16.5" hidden="false" customHeight="true" outlineLevel="0" collapsed="false">
      <c r="B919" s="44" t="str">
        <f aca="false">IF(C919="","",ROW()-9)</f>
        <v/>
      </c>
      <c r="C919" s="45"/>
      <c r="D919" s="46" t="str">
        <f aca="false">IF(C919="","",IFERROR(TEXT(C919,"MMMM"),""))</f>
        <v/>
      </c>
      <c r="E919" s="47"/>
      <c r="F919" s="48" t="str">
        <f aca="false">IF(E919="","",IFERROR(INDEX('Chart of Accounts'!$C$4:$C$200,MATCH(TEXT(E919,"@"),TEXT('Chart of Accounts'!$B$4:$B$200,"@"),0)),"⚠ Not Found"))</f>
        <v/>
      </c>
      <c r="G919" s="49"/>
      <c r="H919" s="50"/>
      <c r="I919" s="50"/>
      <c r="J919" s="47"/>
    </row>
    <row r="920" customFormat="false" ht="16.5" hidden="false" customHeight="true" outlineLevel="0" collapsed="false">
      <c r="B920" s="37" t="str">
        <f aca="false">IF(C920="","",ROW()-9)</f>
        <v/>
      </c>
      <c r="C920" s="38"/>
      <c r="D920" s="39" t="str">
        <f aca="false">IF(C920="","",IFERROR(TEXT(C920,"MMMM"),""))</f>
        <v/>
      </c>
      <c r="E920" s="40"/>
      <c r="F920" s="41" t="str">
        <f aca="false">IF(E920="","",IFERROR(INDEX('Chart of Accounts'!$C$4:$C$200,MATCH(TEXT(E920,"@"),TEXT('Chart of Accounts'!$B$4:$B$200,"@"),0)),"⚠ Not Found"))</f>
        <v/>
      </c>
      <c r="G920" s="42"/>
      <c r="H920" s="43"/>
      <c r="I920" s="43"/>
      <c r="J920" s="40"/>
    </row>
    <row r="921" customFormat="false" ht="16.5" hidden="false" customHeight="true" outlineLevel="0" collapsed="false">
      <c r="B921" s="44" t="str">
        <f aca="false">IF(C921="","",ROW()-9)</f>
        <v/>
      </c>
      <c r="C921" s="45"/>
      <c r="D921" s="46" t="str">
        <f aca="false">IF(C921="","",IFERROR(TEXT(C921,"MMMM"),""))</f>
        <v/>
      </c>
      <c r="E921" s="47"/>
      <c r="F921" s="48" t="str">
        <f aca="false">IF(E921="","",IFERROR(INDEX('Chart of Accounts'!$C$4:$C$200,MATCH(TEXT(E921,"@"),TEXT('Chart of Accounts'!$B$4:$B$200,"@"),0)),"⚠ Not Found"))</f>
        <v/>
      </c>
      <c r="G921" s="49"/>
      <c r="H921" s="50"/>
      <c r="I921" s="50"/>
      <c r="J921" s="47"/>
    </row>
    <row r="922" customFormat="false" ht="16.5" hidden="false" customHeight="true" outlineLevel="0" collapsed="false">
      <c r="B922" s="37" t="str">
        <f aca="false">IF(C922="","",ROW()-9)</f>
        <v/>
      </c>
      <c r="C922" s="38"/>
      <c r="D922" s="39" t="str">
        <f aca="false">IF(C922="","",IFERROR(TEXT(C922,"MMMM"),""))</f>
        <v/>
      </c>
      <c r="E922" s="40"/>
      <c r="F922" s="41" t="str">
        <f aca="false">IF(E922="","",IFERROR(INDEX('Chart of Accounts'!$C$4:$C$200,MATCH(TEXT(E922,"@"),TEXT('Chart of Accounts'!$B$4:$B$200,"@"),0)),"⚠ Not Found"))</f>
        <v/>
      </c>
      <c r="G922" s="42"/>
      <c r="H922" s="43"/>
      <c r="I922" s="43"/>
      <c r="J922" s="40"/>
    </row>
    <row r="923" customFormat="false" ht="16.5" hidden="false" customHeight="true" outlineLevel="0" collapsed="false">
      <c r="B923" s="44" t="str">
        <f aca="false">IF(C923="","",ROW()-9)</f>
        <v/>
      </c>
      <c r="C923" s="45"/>
      <c r="D923" s="46" t="str">
        <f aca="false">IF(C923="","",IFERROR(TEXT(C923,"MMMM"),""))</f>
        <v/>
      </c>
      <c r="E923" s="47"/>
      <c r="F923" s="48" t="str">
        <f aca="false">IF(E923="","",IFERROR(INDEX('Chart of Accounts'!$C$4:$C$200,MATCH(TEXT(E923,"@"),TEXT('Chart of Accounts'!$B$4:$B$200,"@"),0)),"⚠ Not Found"))</f>
        <v/>
      </c>
      <c r="G923" s="49"/>
      <c r="H923" s="50"/>
      <c r="I923" s="50"/>
      <c r="J923" s="47"/>
    </row>
    <row r="924" customFormat="false" ht="16.5" hidden="false" customHeight="true" outlineLevel="0" collapsed="false">
      <c r="B924" s="37" t="str">
        <f aca="false">IF(C924="","",ROW()-9)</f>
        <v/>
      </c>
      <c r="C924" s="38"/>
      <c r="D924" s="39" t="str">
        <f aca="false">IF(C924="","",IFERROR(TEXT(C924,"MMMM"),""))</f>
        <v/>
      </c>
      <c r="E924" s="40"/>
      <c r="F924" s="41" t="str">
        <f aca="false">IF(E924="","",IFERROR(INDEX('Chart of Accounts'!$C$4:$C$200,MATCH(TEXT(E924,"@"),TEXT('Chart of Accounts'!$B$4:$B$200,"@"),0)),"⚠ Not Found"))</f>
        <v/>
      </c>
      <c r="G924" s="42"/>
      <c r="H924" s="43"/>
      <c r="I924" s="43"/>
      <c r="J924" s="40"/>
    </row>
    <row r="925" customFormat="false" ht="16.5" hidden="false" customHeight="true" outlineLevel="0" collapsed="false">
      <c r="B925" s="44" t="str">
        <f aca="false">IF(C925="","",ROW()-9)</f>
        <v/>
      </c>
      <c r="C925" s="45"/>
      <c r="D925" s="46" t="str">
        <f aca="false">IF(C925="","",IFERROR(TEXT(C925,"MMMM"),""))</f>
        <v/>
      </c>
      <c r="E925" s="47"/>
      <c r="F925" s="48" t="str">
        <f aca="false">IF(E925="","",IFERROR(INDEX('Chart of Accounts'!$C$4:$C$200,MATCH(TEXT(E925,"@"),TEXT('Chart of Accounts'!$B$4:$B$200,"@"),0)),"⚠ Not Found"))</f>
        <v/>
      </c>
      <c r="G925" s="49"/>
      <c r="H925" s="50"/>
      <c r="I925" s="50"/>
      <c r="J925" s="47"/>
    </row>
    <row r="926" customFormat="false" ht="16.5" hidden="false" customHeight="true" outlineLevel="0" collapsed="false">
      <c r="B926" s="37" t="str">
        <f aca="false">IF(C926="","",ROW()-9)</f>
        <v/>
      </c>
      <c r="C926" s="38"/>
      <c r="D926" s="39" t="str">
        <f aca="false">IF(C926="","",IFERROR(TEXT(C926,"MMMM"),""))</f>
        <v/>
      </c>
      <c r="E926" s="40"/>
      <c r="F926" s="41" t="str">
        <f aca="false">IF(E926="","",IFERROR(INDEX('Chart of Accounts'!$C$4:$C$200,MATCH(TEXT(E926,"@"),TEXT('Chart of Accounts'!$B$4:$B$200,"@"),0)),"⚠ Not Found"))</f>
        <v/>
      </c>
      <c r="G926" s="42"/>
      <c r="H926" s="43"/>
      <c r="I926" s="43"/>
      <c r="J926" s="40"/>
    </row>
    <row r="927" customFormat="false" ht="16.5" hidden="false" customHeight="true" outlineLevel="0" collapsed="false">
      <c r="B927" s="44" t="str">
        <f aca="false">IF(C927="","",ROW()-9)</f>
        <v/>
      </c>
      <c r="C927" s="45"/>
      <c r="D927" s="46" t="str">
        <f aca="false">IF(C927="","",IFERROR(TEXT(C927,"MMMM"),""))</f>
        <v/>
      </c>
      <c r="E927" s="47"/>
      <c r="F927" s="48" t="str">
        <f aca="false">IF(E927="","",IFERROR(INDEX('Chart of Accounts'!$C$4:$C$200,MATCH(TEXT(E927,"@"),TEXT('Chart of Accounts'!$B$4:$B$200,"@"),0)),"⚠ Not Found"))</f>
        <v/>
      </c>
      <c r="G927" s="49"/>
      <c r="H927" s="50"/>
      <c r="I927" s="50"/>
      <c r="J927" s="47"/>
    </row>
    <row r="928" customFormat="false" ht="16.5" hidden="false" customHeight="true" outlineLevel="0" collapsed="false">
      <c r="B928" s="37" t="str">
        <f aca="false">IF(C928="","",ROW()-9)</f>
        <v/>
      </c>
      <c r="C928" s="38"/>
      <c r="D928" s="39" t="str">
        <f aca="false">IF(C928="","",IFERROR(TEXT(C928,"MMMM"),""))</f>
        <v/>
      </c>
      <c r="E928" s="40"/>
      <c r="F928" s="41" t="str">
        <f aca="false">IF(E928="","",IFERROR(INDEX('Chart of Accounts'!$C$4:$C$200,MATCH(TEXT(E928,"@"),TEXT('Chart of Accounts'!$B$4:$B$200,"@"),0)),"⚠ Not Found"))</f>
        <v/>
      </c>
      <c r="G928" s="42"/>
      <c r="H928" s="43"/>
      <c r="I928" s="43"/>
      <c r="J928" s="40"/>
    </row>
    <row r="929" customFormat="false" ht="16.5" hidden="false" customHeight="true" outlineLevel="0" collapsed="false">
      <c r="B929" s="44" t="str">
        <f aca="false">IF(C929="","",ROW()-9)</f>
        <v/>
      </c>
      <c r="C929" s="45"/>
      <c r="D929" s="46" t="str">
        <f aca="false">IF(C929="","",IFERROR(TEXT(C929,"MMMM"),""))</f>
        <v/>
      </c>
      <c r="E929" s="47"/>
      <c r="F929" s="48" t="str">
        <f aca="false">IF(E929="","",IFERROR(INDEX('Chart of Accounts'!$C$4:$C$200,MATCH(TEXT(E929,"@"),TEXT('Chart of Accounts'!$B$4:$B$200,"@"),0)),"⚠ Not Found"))</f>
        <v/>
      </c>
      <c r="G929" s="49"/>
      <c r="H929" s="50"/>
      <c r="I929" s="50"/>
      <c r="J929" s="47"/>
    </row>
    <row r="930" customFormat="false" ht="16.5" hidden="false" customHeight="true" outlineLevel="0" collapsed="false">
      <c r="B930" s="37" t="str">
        <f aca="false">IF(C930="","",ROW()-9)</f>
        <v/>
      </c>
      <c r="C930" s="38"/>
      <c r="D930" s="39" t="str">
        <f aca="false">IF(C930="","",IFERROR(TEXT(C930,"MMMM"),""))</f>
        <v/>
      </c>
      <c r="E930" s="40"/>
      <c r="F930" s="41" t="str">
        <f aca="false">IF(E930="","",IFERROR(INDEX('Chart of Accounts'!$C$4:$C$200,MATCH(TEXT(E930,"@"),TEXT('Chart of Accounts'!$B$4:$B$200,"@"),0)),"⚠ Not Found"))</f>
        <v/>
      </c>
      <c r="G930" s="42"/>
      <c r="H930" s="43"/>
      <c r="I930" s="43"/>
      <c r="J930" s="40"/>
    </row>
    <row r="931" customFormat="false" ht="16.5" hidden="false" customHeight="true" outlineLevel="0" collapsed="false">
      <c r="B931" s="44" t="str">
        <f aca="false">IF(C931="","",ROW()-9)</f>
        <v/>
      </c>
      <c r="C931" s="45"/>
      <c r="D931" s="46" t="str">
        <f aca="false">IF(C931="","",IFERROR(TEXT(C931,"MMMM"),""))</f>
        <v/>
      </c>
      <c r="E931" s="47"/>
      <c r="F931" s="48" t="str">
        <f aca="false">IF(E931="","",IFERROR(INDEX('Chart of Accounts'!$C$4:$C$200,MATCH(TEXT(E931,"@"),TEXT('Chart of Accounts'!$B$4:$B$200,"@"),0)),"⚠ Not Found"))</f>
        <v/>
      </c>
      <c r="G931" s="49"/>
      <c r="H931" s="50"/>
      <c r="I931" s="50"/>
      <c r="J931" s="47"/>
    </row>
    <row r="932" customFormat="false" ht="16.5" hidden="false" customHeight="true" outlineLevel="0" collapsed="false">
      <c r="B932" s="37" t="str">
        <f aca="false">IF(C932="","",ROW()-9)</f>
        <v/>
      </c>
      <c r="C932" s="38"/>
      <c r="D932" s="39" t="str">
        <f aca="false">IF(C932="","",IFERROR(TEXT(C932,"MMMM"),""))</f>
        <v/>
      </c>
      <c r="E932" s="40"/>
      <c r="F932" s="41" t="str">
        <f aca="false">IF(E932="","",IFERROR(INDEX('Chart of Accounts'!$C$4:$C$200,MATCH(TEXT(E932,"@"),TEXT('Chart of Accounts'!$B$4:$B$200,"@"),0)),"⚠ Not Found"))</f>
        <v/>
      </c>
      <c r="G932" s="42"/>
      <c r="H932" s="43"/>
      <c r="I932" s="43"/>
      <c r="J932" s="40"/>
    </row>
    <row r="933" customFormat="false" ht="16.5" hidden="false" customHeight="true" outlineLevel="0" collapsed="false">
      <c r="B933" s="44" t="str">
        <f aca="false">IF(C933="","",ROW()-9)</f>
        <v/>
      </c>
      <c r="C933" s="45"/>
      <c r="D933" s="46" t="str">
        <f aca="false">IF(C933="","",IFERROR(TEXT(C933,"MMMM"),""))</f>
        <v/>
      </c>
      <c r="E933" s="47"/>
      <c r="F933" s="48" t="str">
        <f aca="false">IF(E933="","",IFERROR(INDEX('Chart of Accounts'!$C$4:$C$200,MATCH(TEXT(E933,"@"),TEXT('Chart of Accounts'!$B$4:$B$200,"@"),0)),"⚠ Not Found"))</f>
        <v/>
      </c>
      <c r="G933" s="49"/>
      <c r="H933" s="50"/>
      <c r="I933" s="50"/>
      <c r="J933" s="47"/>
    </row>
    <row r="934" customFormat="false" ht="16.5" hidden="false" customHeight="true" outlineLevel="0" collapsed="false">
      <c r="B934" s="37" t="str">
        <f aca="false">IF(C934="","",ROW()-9)</f>
        <v/>
      </c>
      <c r="C934" s="38"/>
      <c r="D934" s="39" t="str">
        <f aca="false">IF(C934="","",IFERROR(TEXT(C934,"MMMM"),""))</f>
        <v/>
      </c>
      <c r="E934" s="40"/>
      <c r="F934" s="41" t="str">
        <f aca="false">IF(E934="","",IFERROR(INDEX('Chart of Accounts'!$C$4:$C$200,MATCH(TEXT(E934,"@"),TEXT('Chart of Accounts'!$B$4:$B$200,"@"),0)),"⚠ Not Found"))</f>
        <v/>
      </c>
      <c r="G934" s="42"/>
      <c r="H934" s="43"/>
      <c r="I934" s="43"/>
      <c r="J934" s="40"/>
    </row>
    <row r="935" customFormat="false" ht="16.5" hidden="false" customHeight="true" outlineLevel="0" collapsed="false">
      <c r="B935" s="44" t="str">
        <f aca="false">IF(C935="","",ROW()-9)</f>
        <v/>
      </c>
      <c r="C935" s="45"/>
      <c r="D935" s="46" t="str">
        <f aca="false">IF(C935="","",IFERROR(TEXT(C935,"MMMM"),""))</f>
        <v/>
      </c>
      <c r="E935" s="47"/>
      <c r="F935" s="48" t="str">
        <f aca="false">IF(E935="","",IFERROR(INDEX('Chart of Accounts'!$C$4:$C$200,MATCH(TEXT(E935,"@"),TEXT('Chart of Accounts'!$B$4:$B$200,"@"),0)),"⚠ Not Found"))</f>
        <v/>
      </c>
      <c r="G935" s="49"/>
      <c r="H935" s="50"/>
      <c r="I935" s="50"/>
      <c r="J935" s="47"/>
    </row>
    <row r="936" customFormat="false" ht="16.5" hidden="false" customHeight="true" outlineLevel="0" collapsed="false">
      <c r="B936" s="37" t="str">
        <f aca="false">IF(C936="","",ROW()-9)</f>
        <v/>
      </c>
      <c r="C936" s="38"/>
      <c r="D936" s="39" t="str">
        <f aca="false">IF(C936="","",IFERROR(TEXT(C936,"MMMM"),""))</f>
        <v/>
      </c>
      <c r="E936" s="40"/>
      <c r="F936" s="41" t="str">
        <f aca="false">IF(E936="","",IFERROR(INDEX('Chart of Accounts'!$C$4:$C$200,MATCH(TEXT(E936,"@"),TEXT('Chart of Accounts'!$B$4:$B$200,"@"),0)),"⚠ Not Found"))</f>
        <v/>
      </c>
      <c r="G936" s="42"/>
      <c r="H936" s="43"/>
      <c r="I936" s="43"/>
      <c r="J936" s="40"/>
    </row>
    <row r="937" customFormat="false" ht="16.5" hidden="false" customHeight="true" outlineLevel="0" collapsed="false">
      <c r="B937" s="44" t="str">
        <f aca="false">IF(C937="","",ROW()-9)</f>
        <v/>
      </c>
      <c r="C937" s="45"/>
      <c r="D937" s="46" t="str">
        <f aca="false">IF(C937="","",IFERROR(TEXT(C937,"MMMM"),""))</f>
        <v/>
      </c>
      <c r="E937" s="47"/>
      <c r="F937" s="48" t="str">
        <f aca="false">IF(E937="","",IFERROR(INDEX('Chart of Accounts'!$C$4:$C$200,MATCH(TEXT(E937,"@"),TEXT('Chart of Accounts'!$B$4:$B$200,"@"),0)),"⚠ Not Found"))</f>
        <v/>
      </c>
      <c r="G937" s="49"/>
      <c r="H937" s="50"/>
      <c r="I937" s="50"/>
      <c r="J937" s="47"/>
    </row>
    <row r="938" customFormat="false" ht="16.5" hidden="false" customHeight="true" outlineLevel="0" collapsed="false">
      <c r="B938" s="37" t="str">
        <f aca="false">IF(C938="","",ROW()-9)</f>
        <v/>
      </c>
      <c r="C938" s="38"/>
      <c r="D938" s="39" t="str">
        <f aca="false">IF(C938="","",IFERROR(TEXT(C938,"MMMM"),""))</f>
        <v/>
      </c>
      <c r="E938" s="40"/>
      <c r="F938" s="41" t="str">
        <f aca="false">IF(E938="","",IFERROR(INDEX('Chart of Accounts'!$C$4:$C$200,MATCH(TEXT(E938,"@"),TEXT('Chart of Accounts'!$B$4:$B$200,"@"),0)),"⚠ Not Found"))</f>
        <v/>
      </c>
      <c r="G938" s="42"/>
      <c r="H938" s="43"/>
      <c r="I938" s="43"/>
      <c r="J938" s="40"/>
    </row>
    <row r="939" customFormat="false" ht="16.5" hidden="false" customHeight="true" outlineLevel="0" collapsed="false">
      <c r="B939" s="44" t="str">
        <f aca="false">IF(C939="","",ROW()-9)</f>
        <v/>
      </c>
      <c r="C939" s="45"/>
      <c r="D939" s="46" t="str">
        <f aca="false">IF(C939="","",IFERROR(TEXT(C939,"MMMM"),""))</f>
        <v/>
      </c>
      <c r="E939" s="47"/>
      <c r="F939" s="48" t="str">
        <f aca="false">IF(E939="","",IFERROR(INDEX('Chart of Accounts'!$C$4:$C$200,MATCH(TEXT(E939,"@"),TEXT('Chart of Accounts'!$B$4:$B$200,"@"),0)),"⚠ Not Found"))</f>
        <v/>
      </c>
      <c r="G939" s="49"/>
      <c r="H939" s="50"/>
      <c r="I939" s="50"/>
      <c r="J939" s="47"/>
    </row>
    <row r="940" customFormat="false" ht="16.5" hidden="false" customHeight="true" outlineLevel="0" collapsed="false">
      <c r="B940" s="37" t="str">
        <f aca="false">IF(C940="","",ROW()-9)</f>
        <v/>
      </c>
      <c r="C940" s="38"/>
      <c r="D940" s="39" t="str">
        <f aca="false">IF(C940="","",IFERROR(TEXT(C940,"MMMM"),""))</f>
        <v/>
      </c>
      <c r="E940" s="40"/>
      <c r="F940" s="41" t="str">
        <f aca="false">IF(E940="","",IFERROR(INDEX('Chart of Accounts'!$C$4:$C$200,MATCH(TEXT(E940,"@"),TEXT('Chart of Accounts'!$B$4:$B$200,"@"),0)),"⚠ Not Found"))</f>
        <v/>
      </c>
      <c r="G940" s="42"/>
      <c r="H940" s="43"/>
      <c r="I940" s="43"/>
      <c r="J940" s="40"/>
    </row>
    <row r="941" customFormat="false" ht="16.5" hidden="false" customHeight="true" outlineLevel="0" collapsed="false">
      <c r="B941" s="44" t="str">
        <f aca="false">IF(C941="","",ROW()-9)</f>
        <v/>
      </c>
      <c r="C941" s="45"/>
      <c r="D941" s="46" t="str">
        <f aca="false">IF(C941="","",IFERROR(TEXT(C941,"MMMM"),""))</f>
        <v/>
      </c>
      <c r="E941" s="47"/>
      <c r="F941" s="48" t="str">
        <f aca="false">IF(E941="","",IFERROR(INDEX('Chart of Accounts'!$C$4:$C$200,MATCH(TEXT(E941,"@"),TEXT('Chart of Accounts'!$B$4:$B$200,"@"),0)),"⚠ Not Found"))</f>
        <v/>
      </c>
      <c r="G941" s="49"/>
      <c r="H941" s="50"/>
      <c r="I941" s="50"/>
      <c r="J941" s="47"/>
    </row>
    <row r="942" customFormat="false" ht="16.5" hidden="false" customHeight="true" outlineLevel="0" collapsed="false">
      <c r="B942" s="37" t="str">
        <f aca="false">IF(C942="","",ROW()-9)</f>
        <v/>
      </c>
      <c r="C942" s="38"/>
      <c r="D942" s="39" t="str">
        <f aca="false">IF(C942="","",IFERROR(TEXT(C942,"MMMM"),""))</f>
        <v/>
      </c>
      <c r="E942" s="40"/>
      <c r="F942" s="41" t="str">
        <f aca="false">IF(E942="","",IFERROR(INDEX('Chart of Accounts'!$C$4:$C$200,MATCH(TEXT(E942,"@"),TEXT('Chart of Accounts'!$B$4:$B$200,"@"),0)),"⚠ Not Found"))</f>
        <v/>
      </c>
      <c r="G942" s="42"/>
      <c r="H942" s="43"/>
      <c r="I942" s="43"/>
      <c r="J942" s="40"/>
    </row>
    <row r="943" customFormat="false" ht="16.5" hidden="false" customHeight="true" outlineLevel="0" collapsed="false">
      <c r="B943" s="44" t="str">
        <f aca="false">IF(C943="","",ROW()-9)</f>
        <v/>
      </c>
      <c r="C943" s="45"/>
      <c r="D943" s="46" t="str">
        <f aca="false">IF(C943="","",IFERROR(TEXT(C943,"MMMM"),""))</f>
        <v/>
      </c>
      <c r="E943" s="47"/>
      <c r="F943" s="48" t="str">
        <f aca="false">IF(E943="","",IFERROR(INDEX('Chart of Accounts'!$C$4:$C$200,MATCH(TEXT(E943,"@"),TEXT('Chart of Accounts'!$B$4:$B$200,"@"),0)),"⚠ Not Found"))</f>
        <v/>
      </c>
      <c r="G943" s="49"/>
      <c r="H943" s="50"/>
      <c r="I943" s="50"/>
      <c r="J943" s="47"/>
    </row>
    <row r="944" customFormat="false" ht="16.5" hidden="false" customHeight="true" outlineLevel="0" collapsed="false">
      <c r="B944" s="37" t="str">
        <f aca="false">IF(C944="","",ROW()-9)</f>
        <v/>
      </c>
      <c r="C944" s="38"/>
      <c r="D944" s="39" t="str">
        <f aca="false">IF(C944="","",IFERROR(TEXT(C944,"MMMM"),""))</f>
        <v/>
      </c>
      <c r="E944" s="40"/>
      <c r="F944" s="41" t="str">
        <f aca="false">IF(E944="","",IFERROR(INDEX('Chart of Accounts'!$C$4:$C$200,MATCH(TEXT(E944,"@"),TEXT('Chart of Accounts'!$B$4:$B$200,"@"),0)),"⚠ Not Found"))</f>
        <v/>
      </c>
      <c r="G944" s="42"/>
      <c r="H944" s="43"/>
      <c r="I944" s="43"/>
      <c r="J944" s="40"/>
    </row>
    <row r="945" customFormat="false" ht="16.5" hidden="false" customHeight="true" outlineLevel="0" collapsed="false">
      <c r="B945" s="44" t="str">
        <f aca="false">IF(C945="","",ROW()-9)</f>
        <v/>
      </c>
      <c r="C945" s="45"/>
      <c r="D945" s="46" t="str">
        <f aca="false">IF(C945="","",IFERROR(TEXT(C945,"MMMM"),""))</f>
        <v/>
      </c>
      <c r="E945" s="47"/>
      <c r="F945" s="48" t="str">
        <f aca="false">IF(E945="","",IFERROR(INDEX('Chart of Accounts'!$C$4:$C$200,MATCH(TEXT(E945,"@"),TEXT('Chart of Accounts'!$B$4:$B$200,"@"),0)),"⚠ Not Found"))</f>
        <v/>
      </c>
      <c r="G945" s="49"/>
      <c r="H945" s="50"/>
      <c r="I945" s="50"/>
      <c r="J945" s="47"/>
    </row>
    <row r="946" customFormat="false" ht="16.5" hidden="false" customHeight="true" outlineLevel="0" collapsed="false">
      <c r="B946" s="37" t="str">
        <f aca="false">IF(C946="","",ROW()-9)</f>
        <v/>
      </c>
      <c r="C946" s="38"/>
      <c r="D946" s="39" t="str">
        <f aca="false">IF(C946="","",IFERROR(TEXT(C946,"MMMM"),""))</f>
        <v/>
      </c>
      <c r="E946" s="40"/>
      <c r="F946" s="41" t="str">
        <f aca="false">IF(E946="","",IFERROR(INDEX('Chart of Accounts'!$C$4:$C$200,MATCH(TEXT(E946,"@"),TEXT('Chart of Accounts'!$B$4:$B$200,"@"),0)),"⚠ Not Found"))</f>
        <v/>
      </c>
      <c r="G946" s="42"/>
      <c r="H946" s="43"/>
      <c r="I946" s="43"/>
      <c r="J946" s="40"/>
    </row>
    <row r="947" customFormat="false" ht="16.5" hidden="false" customHeight="true" outlineLevel="0" collapsed="false">
      <c r="B947" s="44" t="str">
        <f aca="false">IF(C947="","",ROW()-9)</f>
        <v/>
      </c>
      <c r="C947" s="45"/>
      <c r="D947" s="46" t="str">
        <f aca="false">IF(C947="","",IFERROR(TEXT(C947,"MMMM"),""))</f>
        <v/>
      </c>
      <c r="E947" s="47"/>
      <c r="F947" s="48" t="str">
        <f aca="false">IF(E947="","",IFERROR(INDEX('Chart of Accounts'!$C$4:$C$200,MATCH(TEXT(E947,"@"),TEXT('Chart of Accounts'!$B$4:$B$200,"@"),0)),"⚠ Not Found"))</f>
        <v/>
      </c>
      <c r="G947" s="49"/>
      <c r="H947" s="50"/>
      <c r="I947" s="50"/>
      <c r="J947" s="47"/>
    </row>
    <row r="948" customFormat="false" ht="16.5" hidden="false" customHeight="true" outlineLevel="0" collapsed="false">
      <c r="B948" s="37" t="str">
        <f aca="false">IF(C948="","",ROW()-9)</f>
        <v/>
      </c>
      <c r="C948" s="38"/>
      <c r="D948" s="39" t="str">
        <f aca="false">IF(C948="","",IFERROR(TEXT(C948,"MMMM"),""))</f>
        <v/>
      </c>
      <c r="E948" s="40"/>
      <c r="F948" s="41" t="str">
        <f aca="false">IF(E948="","",IFERROR(INDEX('Chart of Accounts'!$C$4:$C$200,MATCH(TEXT(E948,"@"),TEXT('Chart of Accounts'!$B$4:$B$200,"@"),0)),"⚠ Not Found"))</f>
        <v/>
      </c>
      <c r="G948" s="42"/>
      <c r="H948" s="43"/>
      <c r="I948" s="43"/>
      <c r="J948" s="40"/>
    </row>
    <row r="949" customFormat="false" ht="16.5" hidden="false" customHeight="true" outlineLevel="0" collapsed="false">
      <c r="B949" s="44" t="str">
        <f aca="false">IF(C949="","",ROW()-9)</f>
        <v/>
      </c>
      <c r="C949" s="45"/>
      <c r="D949" s="46" t="str">
        <f aca="false">IF(C949="","",IFERROR(TEXT(C949,"MMMM"),""))</f>
        <v/>
      </c>
      <c r="E949" s="47"/>
      <c r="F949" s="48" t="str">
        <f aca="false">IF(E949="","",IFERROR(INDEX('Chart of Accounts'!$C$4:$C$200,MATCH(TEXT(E949,"@"),TEXT('Chart of Accounts'!$B$4:$B$200,"@"),0)),"⚠ Not Found"))</f>
        <v/>
      </c>
      <c r="G949" s="49"/>
      <c r="H949" s="50"/>
      <c r="I949" s="50"/>
      <c r="J949" s="47"/>
    </row>
    <row r="950" customFormat="false" ht="16.5" hidden="false" customHeight="true" outlineLevel="0" collapsed="false">
      <c r="B950" s="37" t="str">
        <f aca="false">IF(C950="","",ROW()-9)</f>
        <v/>
      </c>
      <c r="C950" s="38"/>
      <c r="D950" s="39" t="str">
        <f aca="false">IF(C950="","",IFERROR(TEXT(C950,"MMMM"),""))</f>
        <v/>
      </c>
      <c r="E950" s="40"/>
      <c r="F950" s="41" t="str">
        <f aca="false">IF(E950="","",IFERROR(INDEX('Chart of Accounts'!$C$4:$C$200,MATCH(TEXT(E950,"@"),TEXT('Chart of Accounts'!$B$4:$B$200,"@"),0)),"⚠ Not Found"))</f>
        <v/>
      </c>
      <c r="G950" s="42"/>
      <c r="H950" s="43"/>
      <c r="I950" s="43"/>
      <c r="J950" s="40"/>
    </row>
    <row r="951" customFormat="false" ht="16.5" hidden="false" customHeight="true" outlineLevel="0" collapsed="false">
      <c r="B951" s="44" t="str">
        <f aca="false">IF(C951="","",ROW()-9)</f>
        <v/>
      </c>
      <c r="C951" s="45"/>
      <c r="D951" s="46" t="str">
        <f aca="false">IF(C951="","",IFERROR(TEXT(C951,"MMMM"),""))</f>
        <v/>
      </c>
      <c r="E951" s="47"/>
      <c r="F951" s="48" t="str">
        <f aca="false">IF(E951="","",IFERROR(INDEX('Chart of Accounts'!$C$4:$C$200,MATCH(TEXT(E951,"@"),TEXT('Chart of Accounts'!$B$4:$B$200,"@"),0)),"⚠ Not Found"))</f>
        <v/>
      </c>
      <c r="G951" s="49"/>
      <c r="H951" s="50"/>
      <c r="I951" s="50"/>
      <c r="J951" s="47"/>
    </row>
    <row r="952" customFormat="false" ht="16.5" hidden="false" customHeight="true" outlineLevel="0" collapsed="false">
      <c r="B952" s="37" t="str">
        <f aca="false">IF(C952="","",ROW()-9)</f>
        <v/>
      </c>
      <c r="C952" s="38"/>
      <c r="D952" s="39" t="str">
        <f aca="false">IF(C952="","",IFERROR(TEXT(C952,"MMMM"),""))</f>
        <v/>
      </c>
      <c r="E952" s="40"/>
      <c r="F952" s="41" t="str">
        <f aca="false">IF(E952="","",IFERROR(INDEX('Chart of Accounts'!$C$4:$C$200,MATCH(TEXT(E952,"@"),TEXT('Chart of Accounts'!$B$4:$B$200,"@"),0)),"⚠ Not Found"))</f>
        <v/>
      </c>
      <c r="G952" s="42"/>
      <c r="H952" s="43"/>
      <c r="I952" s="43"/>
      <c r="J952" s="40"/>
    </row>
    <row r="953" customFormat="false" ht="16.5" hidden="false" customHeight="true" outlineLevel="0" collapsed="false">
      <c r="B953" s="44" t="str">
        <f aca="false">IF(C953="","",ROW()-9)</f>
        <v/>
      </c>
      <c r="C953" s="45"/>
      <c r="D953" s="46" t="str">
        <f aca="false">IF(C953="","",IFERROR(TEXT(C953,"MMMM"),""))</f>
        <v/>
      </c>
      <c r="E953" s="47"/>
      <c r="F953" s="48" t="str">
        <f aca="false">IF(E953="","",IFERROR(INDEX('Chart of Accounts'!$C$4:$C$200,MATCH(TEXT(E953,"@"),TEXT('Chart of Accounts'!$B$4:$B$200,"@"),0)),"⚠ Not Found"))</f>
        <v/>
      </c>
      <c r="G953" s="49"/>
      <c r="H953" s="50"/>
      <c r="I953" s="50"/>
      <c r="J953" s="47"/>
    </row>
    <row r="954" customFormat="false" ht="16.5" hidden="false" customHeight="true" outlineLevel="0" collapsed="false">
      <c r="B954" s="37" t="str">
        <f aca="false">IF(C954="","",ROW()-9)</f>
        <v/>
      </c>
      <c r="C954" s="38"/>
      <c r="D954" s="39" t="str">
        <f aca="false">IF(C954="","",IFERROR(TEXT(C954,"MMMM"),""))</f>
        <v/>
      </c>
      <c r="E954" s="40"/>
      <c r="F954" s="41" t="str">
        <f aca="false">IF(E954="","",IFERROR(INDEX('Chart of Accounts'!$C$4:$C$200,MATCH(TEXT(E954,"@"),TEXT('Chart of Accounts'!$B$4:$B$200,"@"),0)),"⚠ Not Found"))</f>
        <v/>
      </c>
      <c r="G954" s="42"/>
      <c r="H954" s="43"/>
      <c r="I954" s="43"/>
      <c r="J954" s="40"/>
    </row>
    <row r="955" customFormat="false" ht="16.5" hidden="false" customHeight="true" outlineLevel="0" collapsed="false">
      <c r="B955" s="44" t="str">
        <f aca="false">IF(C955="","",ROW()-9)</f>
        <v/>
      </c>
      <c r="C955" s="45"/>
      <c r="D955" s="46" t="str">
        <f aca="false">IF(C955="","",IFERROR(TEXT(C955,"MMMM"),""))</f>
        <v/>
      </c>
      <c r="E955" s="47"/>
      <c r="F955" s="48" t="str">
        <f aca="false">IF(E955="","",IFERROR(INDEX('Chart of Accounts'!$C$4:$C$200,MATCH(TEXT(E955,"@"),TEXT('Chart of Accounts'!$B$4:$B$200,"@"),0)),"⚠ Not Found"))</f>
        <v/>
      </c>
      <c r="G955" s="49"/>
      <c r="H955" s="50"/>
      <c r="I955" s="50"/>
      <c r="J955" s="47"/>
    </row>
    <row r="956" customFormat="false" ht="16.5" hidden="false" customHeight="true" outlineLevel="0" collapsed="false">
      <c r="B956" s="37" t="str">
        <f aca="false">IF(C956="","",ROW()-9)</f>
        <v/>
      </c>
      <c r="C956" s="38"/>
      <c r="D956" s="39" t="str">
        <f aca="false">IF(C956="","",IFERROR(TEXT(C956,"MMMM"),""))</f>
        <v/>
      </c>
      <c r="E956" s="40"/>
      <c r="F956" s="41" t="str">
        <f aca="false">IF(E956="","",IFERROR(INDEX('Chart of Accounts'!$C$4:$C$200,MATCH(TEXT(E956,"@"),TEXT('Chart of Accounts'!$B$4:$B$200,"@"),0)),"⚠ Not Found"))</f>
        <v/>
      </c>
      <c r="G956" s="42"/>
      <c r="H956" s="43"/>
      <c r="I956" s="43"/>
      <c r="J956" s="40"/>
    </row>
    <row r="957" customFormat="false" ht="16.5" hidden="false" customHeight="true" outlineLevel="0" collapsed="false">
      <c r="B957" s="44" t="str">
        <f aca="false">IF(C957="","",ROW()-9)</f>
        <v/>
      </c>
      <c r="C957" s="45"/>
      <c r="D957" s="46" t="str">
        <f aca="false">IF(C957="","",IFERROR(TEXT(C957,"MMMM"),""))</f>
        <v/>
      </c>
      <c r="E957" s="47"/>
      <c r="F957" s="48" t="str">
        <f aca="false">IF(E957="","",IFERROR(INDEX('Chart of Accounts'!$C$4:$C$200,MATCH(TEXT(E957,"@"),TEXT('Chart of Accounts'!$B$4:$B$200,"@"),0)),"⚠ Not Found"))</f>
        <v/>
      </c>
      <c r="G957" s="49"/>
      <c r="H957" s="50"/>
      <c r="I957" s="50"/>
      <c r="J957" s="47"/>
    </row>
    <row r="958" customFormat="false" ht="16.5" hidden="false" customHeight="true" outlineLevel="0" collapsed="false">
      <c r="B958" s="37" t="str">
        <f aca="false">IF(C958="","",ROW()-9)</f>
        <v/>
      </c>
      <c r="C958" s="38"/>
      <c r="D958" s="39" t="str">
        <f aca="false">IF(C958="","",IFERROR(TEXT(C958,"MMMM"),""))</f>
        <v/>
      </c>
      <c r="E958" s="40"/>
      <c r="F958" s="41" t="str">
        <f aca="false">IF(E958="","",IFERROR(INDEX('Chart of Accounts'!$C$4:$C$200,MATCH(TEXT(E958,"@"),TEXT('Chart of Accounts'!$B$4:$B$200,"@"),0)),"⚠ Not Found"))</f>
        <v/>
      </c>
      <c r="G958" s="42"/>
      <c r="H958" s="43"/>
      <c r="I958" s="43"/>
      <c r="J958" s="40"/>
    </row>
    <row r="959" customFormat="false" ht="16.5" hidden="false" customHeight="true" outlineLevel="0" collapsed="false">
      <c r="B959" s="44" t="str">
        <f aca="false">IF(C959="","",ROW()-9)</f>
        <v/>
      </c>
      <c r="C959" s="45"/>
      <c r="D959" s="46" t="str">
        <f aca="false">IF(C959="","",IFERROR(TEXT(C959,"MMMM"),""))</f>
        <v/>
      </c>
      <c r="E959" s="47"/>
      <c r="F959" s="48" t="str">
        <f aca="false">IF(E959="","",IFERROR(INDEX('Chart of Accounts'!$C$4:$C$200,MATCH(TEXT(E959,"@"),TEXT('Chart of Accounts'!$B$4:$B$200,"@"),0)),"⚠ Not Found"))</f>
        <v/>
      </c>
      <c r="G959" s="49"/>
      <c r="H959" s="50"/>
      <c r="I959" s="50"/>
      <c r="J959" s="47"/>
    </row>
    <row r="960" customFormat="false" ht="16.5" hidden="false" customHeight="true" outlineLevel="0" collapsed="false">
      <c r="B960" s="37" t="str">
        <f aca="false">IF(C960="","",ROW()-9)</f>
        <v/>
      </c>
      <c r="C960" s="38"/>
      <c r="D960" s="39" t="str">
        <f aca="false">IF(C960="","",IFERROR(TEXT(C960,"MMMM"),""))</f>
        <v/>
      </c>
      <c r="E960" s="40"/>
      <c r="F960" s="41" t="str">
        <f aca="false">IF(E960="","",IFERROR(INDEX('Chart of Accounts'!$C$4:$C$200,MATCH(TEXT(E960,"@"),TEXT('Chart of Accounts'!$B$4:$B$200,"@"),0)),"⚠ Not Found"))</f>
        <v/>
      </c>
      <c r="G960" s="42"/>
      <c r="H960" s="43"/>
      <c r="I960" s="43"/>
      <c r="J960" s="40"/>
    </row>
    <row r="961" customFormat="false" ht="16.5" hidden="false" customHeight="true" outlineLevel="0" collapsed="false">
      <c r="B961" s="44" t="str">
        <f aca="false">IF(C961="","",ROW()-9)</f>
        <v/>
      </c>
      <c r="C961" s="45"/>
      <c r="D961" s="46" t="str">
        <f aca="false">IF(C961="","",IFERROR(TEXT(C961,"MMMM"),""))</f>
        <v/>
      </c>
      <c r="E961" s="47"/>
      <c r="F961" s="48" t="str">
        <f aca="false">IF(E961="","",IFERROR(INDEX('Chart of Accounts'!$C$4:$C$200,MATCH(TEXT(E961,"@"),TEXT('Chart of Accounts'!$B$4:$B$200,"@"),0)),"⚠ Not Found"))</f>
        <v/>
      </c>
      <c r="G961" s="49"/>
      <c r="H961" s="50"/>
      <c r="I961" s="50"/>
      <c r="J961" s="47"/>
    </row>
    <row r="962" customFormat="false" ht="16.5" hidden="false" customHeight="true" outlineLevel="0" collapsed="false">
      <c r="B962" s="37" t="str">
        <f aca="false">IF(C962="","",ROW()-9)</f>
        <v/>
      </c>
      <c r="C962" s="38"/>
      <c r="D962" s="39" t="str">
        <f aca="false">IF(C962="","",IFERROR(TEXT(C962,"MMMM"),""))</f>
        <v/>
      </c>
      <c r="E962" s="40"/>
      <c r="F962" s="41" t="str">
        <f aca="false">IF(E962="","",IFERROR(INDEX('Chart of Accounts'!$C$4:$C$200,MATCH(TEXT(E962,"@"),TEXT('Chart of Accounts'!$B$4:$B$200,"@"),0)),"⚠ Not Found"))</f>
        <v/>
      </c>
      <c r="G962" s="42"/>
      <c r="H962" s="43"/>
      <c r="I962" s="43"/>
      <c r="J962" s="40"/>
    </row>
    <row r="963" customFormat="false" ht="16.5" hidden="false" customHeight="true" outlineLevel="0" collapsed="false">
      <c r="B963" s="44" t="str">
        <f aca="false">IF(C963="","",ROW()-9)</f>
        <v/>
      </c>
      <c r="C963" s="45"/>
      <c r="D963" s="46" t="str">
        <f aca="false">IF(C963="","",IFERROR(TEXT(C963,"MMMM"),""))</f>
        <v/>
      </c>
      <c r="E963" s="47"/>
      <c r="F963" s="48" t="str">
        <f aca="false">IF(E963="","",IFERROR(INDEX('Chart of Accounts'!$C$4:$C$200,MATCH(TEXT(E963,"@"),TEXT('Chart of Accounts'!$B$4:$B$200,"@"),0)),"⚠ Not Found"))</f>
        <v/>
      </c>
      <c r="G963" s="49"/>
      <c r="H963" s="50"/>
      <c r="I963" s="50"/>
      <c r="J963" s="47"/>
    </row>
    <row r="964" customFormat="false" ht="16.5" hidden="false" customHeight="true" outlineLevel="0" collapsed="false">
      <c r="B964" s="37" t="str">
        <f aca="false">IF(C964="","",ROW()-9)</f>
        <v/>
      </c>
      <c r="C964" s="38"/>
      <c r="D964" s="39" t="str">
        <f aca="false">IF(C964="","",IFERROR(TEXT(C964,"MMMM"),""))</f>
        <v/>
      </c>
      <c r="E964" s="40"/>
      <c r="F964" s="41" t="str">
        <f aca="false">IF(E964="","",IFERROR(INDEX('Chart of Accounts'!$C$4:$C$200,MATCH(TEXT(E964,"@"),TEXT('Chart of Accounts'!$B$4:$B$200,"@"),0)),"⚠ Not Found"))</f>
        <v/>
      </c>
      <c r="G964" s="42"/>
      <c r="H964" s="43"/>
      <c r="I964" s="43"/>
      <c r="J964" s="40"/>
    </row>
    <row r="965" customFormat="false" ht="16.5" hidden="false" customHeight="true" outlineLevel="0" collapsed="false">
      <c r="B965" s="44" t="str">
        <f aca="false">IF(C965="","",ROW()-9)</f>
        <v/>
      </c>
      <c r="C965" s="45"/>
      <c r="D965" s="46" t="str">
        <f aca="false">IF(C965="","",IFERROR(TEXT(C965,"MMMM"),""))</f>
        <v/>
      </c>
      <c r="E965" s="47"/>
      <c r="F965" s="48" t="str">
        <f aca="false">IF(E965="","",IFERROR(INDEX('Chart of Accounts'!$C$4:$C$200,MATCH(TEXT(E965,"@"),TEXT('Chart of Accounts'!$B$4:$B$200,"@"),0)),"⚠ Not Found"))</f>
        <v/>
      </c>
      <c r="G965" s="49"/>
      <c r="H965" s="50"/>
      <c r="I965" s="50"/>
      <c r="J965" s="47"/>
    </row>
    <row r="966" customFormat="false" ht="16.5" hidden="false" customHeight="true" outlineLevel="0" collapsed="false">
      <c r="B966" s="37" t="str">
        <f aca="false">IF(C966="","",ROW()-9)</f>
        <v/>
      </c>
      <c r="C966" s="38"/>
      <c r="D966" s="39" t="str">
        <f aca="false">IF(C966="","",IFERROR(TEXT(C966,"MMMM"),""))</f>
        <v/>
      </c>
      <c r="E966" s="40"/>
      <c r="F966" s="41" t="str">
        <f aca="false">IF(E966="","",IFERROR(INDEX('Chart of Accounts'!$C$4:$C$200,MATCH(TEXT(E966,"@"),TEXT('Chart of Accounts'!$B$4:$B$200,"@"),0)),"⚠ Not Found"))</f>
        <v/>
      </c>
      <c r="G966" s="42"/>
      <c r="H966" s="43"/>
      <c r="I966" s="43"/>
      <c r="J966" s="40"/>
    </row>
    <row r="967" customFormat="false" ht="16.5" hidden="false" customHeight="true" outlineLevel="0" collapsed="false">
      <c r="B967" s="44" t="str">
        <f aca="false">IF(C967="","",ROW()-9)</f>
        <v/>
      </c>
      <c r="C967" s="45"/>
      <c r="D967" s="46" t="str">
        <f aca="false">IF(C967="","",IFERROR(TEXT(C967,"MMMM"),""))</f>
        <v/>
      </c>
      <c r="E967" s="47"/>
      <c r="F967" s="48" t="str">
        <f aca="false">IF(E967="","",IFERROR(INDEX('Chart of Accounts'!$C$4:$C$200,MATCH(TEXT(E967,"@"),TEXT('Chart of Accounts'!$B$4:$B$200,"@"),0)),"⚠ Not Found"))</f>
        <v/>
      </c>
      <c r="G967" s="49"/>
      <c r="H967" s="50"/>
      <c r="I967" s="50"/>
      <c r="J967" s="47"/>
    </row>
    <row r="968" customFormat="false" ht="16.5" hidden="false" customHeight="true" outlineLevel="0" collapsed="false">
      <c r="B968" s="37" t="str">
        <f aca="false">IF(C968="","",ROW()-9)</f>
        <v/>
      </c>
      <c r="C968" s="38"/>
      <c r="D968" s="39" t="str">
        <f aca="false">IF(C968="","",IFERROR(TEXT(C968,"MMMM"),""))</f>
        <v/>
      </c>
      <c r="E968" s="40"/>
      <c r="F968" s="41" t="str">
        <f aca="false">IF(E968="","",IFERROR(INDEX('Chart of Accounts'!$C$4:$C$200,MATCH(TEXT(E968,"@"),TEXT('Chart of Accounts'!$B$4:$B$200,"@"),0)),"⚠ Not Found"))</f>
        <v/>
      </c>
      <c r="G968" s="42"/>
      <c r="H968" s="43"/>
      <c r="I968" s="43"/>
      <c r="J968" s="40"/>
    </row>
    <row r="969" customFormat="false" ht="16.5" hidden="false" customHeight="true" outlineLevel="0" collapsed="false">
      <c r="B969" s="44" t="str">
        <f aca="false">IF(C969="","",ROW()-9)</f>
        <v/>
      </c>
      <c r="C969" s="45"/>
      <c r="D969" s="46" t="str">
        <f aca="false">IF(C969="","",IFERROR(TEXT(C969,"MMMM"),""))</f>
        <v/>
      </c>
      <c r="E969" s="47"/>
      <c r="F969" s="48" t="str">
        <f aca="false">IF(E969="","",IFERROR(INDEX('Chart of Accounts'!$C$4:$C$200,MATCH(TEXT(E969,"@"),TEXT('Chart of Accounts'!$B$4:$B$200,"@"),0)),"⚠ Not Found"))</f>
        <v/>
      </c>
      <c r="G969" s="49"/>
      <c r="H969" s="50"/>
      <c r="I969" s="50"/>
      <c r="J969" s="47"/>
    </row>
    <row r="970" customFormat="false" ht="16.5" hidden="false" customHeight="true" outlineLevel="0" collapsed="false">
      <c r="B970" s="37" t="str">
        <f aca="false">IF(C970="","",ROW()-9)</f>
        <v/>
      </c>
      <c r="C970" s="38"/>
      <c r="D970" s="39" t="str">
        <f aca="false">IF(C970="","",IFERROR(TEXT(C970,"MMMM"),""))</f>
        <v/>
      </c>
      <c r="E970" s="40"/>
      <c r="F970" s="41" t="str">
        <f aca="false">IF(E970="","",IFERROR(INDEX('Chart of Accounts'!$C$4:$C$200,MATCH(TEXT(E970,"@"),TEXT('Chart of Accounts'!$B$4:$B$200,"@"),0)),"⚠ Not Found"))</f>
        <v/>
      </c>
      <c r="G970" s="42"/>
      <c r="H970" s="43"/>
      <c r="I970" s="43"/>
      <c r="J970" s="40"/>
    </row>
    <row r="971" customFormat="false" ht="16.5" hidden="false" customHeight="true" outlineLevel="0" collapsed="false">
      <c r="B971" s="44" t="str">
        <f aca="false">IF(C971="","",ROW()-9)</f>
        <v/>
      </c>
      <c r="C971" s="45"/>
      <c r="D971" s="46" t="str">
        <f aca="false">IF(C971="","",IFERROR(TEXT(C971,"MMMM"),""))</f>
        <v/>
      </c>
      <c r="E971" s="47"/>
      <c r="F971" s="48" t="str">
        <f aca="false">IF(E971="","",IFERROR(INDEX('Chart of Accounts'!$C$4:$C$200,MATCH(TEXT(E971,"@"),TEXT('Chart of Accounts'!$B$4:$B$200,"@"),0)),"⚠ Not Found"))</f>
        <v/>
      </c>
      <c r="G971" s="49"/>
      <c r="H971" s="50"/>
      <c r="I971" s="50"/>
      <c r="J971" s="47"/>
    </row>
    <row r="972" customFormat="false" ht="16.5" hidden="false" customHeight="true" outlineLevel="0" collapsed="false">
      <c r="B972" s="37" t="str">
        <f aca="false">IF(C972="","",ROW()-9)</f>
        <v/>
      </c>
      <c r="C972" s="38"/>
      <c r="D972" s="39" t="str">
        <f aca="false">IF(C972="","",IFERROR(TEXT(C972,"MMMM"),""))</f>
        <v/>
      </c>
      <c r="E972" s="40"/>
      <c r="F972" s="41" t="str">
        <f aca="false">IF(E972="","",IFERROR(INDEX('Chart of Accounts'!$C$4:$C$200,MATCH(TEXT(E972,"@"),TEXT('Chart of Accounts'!$B$4:$B$200,"@"),0)),"⚠ Not Found"))</f>
        <v/>
      </c>
      <c r="G972" s="42"/>
      <c r="H972" s="43"/>
      <c r="I972" s="43"/>
      <c r="J972" s="40"/>
    </row>
    <row r="973" customFormat="false" ht="16.5" hidden="false" customHeight="true" outlineLevel="0" collapsed="false">
      <c r="B973" s="44" t="str">
        <f aca="false">IF(C973="","",ROW()-9)</f>
        <v/>
      </c>
      <c r="C973" s="45"/>
      <c r="D973" s="46" t="str">
        <f aca="false">IF(C973="","",IFERROR(TEXT(C973,"MMMM"),""))</f>
        <v/>
      </c>
      <c r="E973" s="47"/>
      <c r="F973" s="48" t="str">
        <f aca="false">IF(E973="","",IFERROR(INDEX('Chart of Accounts'!$C$4:$C$200,MATCH(TEXT(E973,"@"),TEXT('Chart of Accounts'!$B$4:$B$200,"@"),0)),"⚠ Not Found"))</f>
        <v/>
      </c>
      <c r="G973" s="49"/>
      <c r="H973" s="50"/>
      <c r="I973" s="50"/>
      <c r="J973" s="47"/>
    </row>
    <row r="974" customFormat="false" ht="16.5" hidden="false" customHeight="true" outlineLevel="0" collapsed="false">
      <c r="B974" s="37" t="str">
        <f aca="false">IF(C974="","",ROW()-9)</f>
        <v/>
      </c>
      <c r="C974" s="38"/>
      <c r="D974" s="39" t="str">
        <f aca="false">IF(C974="","",IFERROR(TEXT(C974,"MMMM"),""))</f>
        <v/>
      </c>
      <c r="E974" s="40"/>
      <c r="F974" s="41" t="str">
        <f aca="false">IF(E974="","",IFERROR(INDEX('Chart of Accounts'!$C$4:$C$200,MATCH(TEXT(E974,"@"),TEXT('Chart of Accounts'!$B$4:$B$200,"@"),0)),"⚠ Not Found"))</f>
        <v/>
      </c>
      <c r="G974" s="42"/>
      <c r="H974" s="43"/>
      <c r="I974" s="43"/>
      <c r="J974" s="40"/>
    </row>
    <row r="975" customFormat="false" ht="16.5" hidden="false" customHeight="true" outlineLevel="0" collapsed="false">
      <c r="B975" s="44" t="str">
        <f aca="false">IF(C975="","",ROW()-9)</f>
        <v/>
      </c>
      <c r="C975" s="45"/>
      <c r="D975" s="46" t="str">
        <f aca="false">IF(C975="","",IFERROR(TEXT(C975,"MMMM"),""))</f>
        <v/>
      </c>
      <c r="E975" s="47"/>
      <c r="F975" s="48" t="str">
        <f aca="false">IF(E975="","",IFERROR(INDEX('Chart of Accounts'!$C$4:$C$200,MATCH(TEXT(E975,"@"),TEXT('Chart of Accounts'!$B$4:$B$200,"@"),0)),"⚠ Not Found"))</f>
        <v/>
      </c>
      <c r="G975" s="49"/>
      <c r="H975" s="50"/>
      <c r="I975" s="50"/>
      <c r="J975" s="47"/>
    </row>
    <row r="976" customFormat="false" ht="16.5" hidden="false" customHeight="true" outlineLevel="0" collapsed="false">
      <c r="B976" s="37" t="str">
        <f aca="false">IF(C976="","",ROW()-9)</f>
        <v/>
      </c>
      <c r="C976" s="38"/>
      <c r="D976" s="39" t="str">
        <f aca="false">IF(C976="","",IFERROR(TEXT(C976,"MMMM"),""))</f>
        <v/>
      </c>
      <c r="E976" s="40"/>
      <c r="F976" s="41" t="str">
        <f aca="false">IF(E976="","",IFERROR(INDEX('Chart of Accounts'!$C$4:$C$200,MATCH(TEXT(E976,"@"),TEXT('Chart of Accounts'!$B$4:$B$200,"@"),0)),"⚠ Not Found"))</f>
        <v/>
      </c>
      <c r="G976" s="42"/>
      <c r="H976" s="43"/>
      <c r="I976" s="43"/>
      <c r="J976" s="40"/>
    </row>
    <row r="977" customFormat="false" ht="16.5" hidden="false" customHeight="true" outlineLevel="0" collapsed="false">
      <c r="B977" s="44" t="str">
        <f aca="false">IF(C977="","",ROW()-9)</f>
        <v/>
      </c>
      <c r="C977" s="45"/>
      <c r="D977" s="46" t="str">
        <f aca="false">IF(C977="","",IFERROR(TEXT(C977,"MMMM"),""))</f>
        <v/>
      </c>
      <c r="E977" s="47"/>
      <c r="F977" s="48" t="str">
        <f aca="false">IF(E977="","",IFERROR(INDEX('Chart of Accounts'!$C$4:$C$200,MATCH(TEXT(E977,"@"),TEXT('Chart of Accounts'!$B$4:$B$200,"@"),0)),"⚠ Not Found"))</f>
        <v/>
      </c>
      <c r="G977" s="49"/>
      <c r="H977" s="50"/>
      <c r="I977" s="50"/>
      <c r="J977" s="47"/>
    </row>
    <row r="978" customFormat="false" ht="16.5" hidden="false" customHeight="true" outlineLevel="0" collapsed="false">
      <c r="B978" s="37" t="str">
        <f aca="false">IF(C978="","",ROW()-9)</f>
        <v/>
      </c>
      <c r="C978" s="38"/>
      <c r="D978" s="39" t="str">
        <f aca="false">IF(C978="","",IFERROR(TEXT(C978,"MMMM"),""))</f>
        <v/>
      </c>
      <c r="E978" s="40"/>
      <c r="F978" s="41" t="str">
        <f aca="false">IF(E978="","",IFERROR(INDEX('Chart of Accounts'!$C$4:$C$200,MATCH(TEXT(E978,"@"),TEXT('Chart of Accounts'!$B$4:$B$200,"@"),0)),"⚠ Not Found"))</f>
        <v/>
      </c>
      <c r="G978" s="42"/>
      <c r="H978" s="43"/>
      <c r="I978" s="43"/>
      <c r="J978" s="40"/>
    </row>
    <row r="979" customFormat="false" ht="16.5" hidden="false" customHeight="true" outlineLevel="0" collapsed="false">
      <c r="B979" s="44" t="str">
        <f aca="false">IF(C979="","",ROW()-9)</f>
        <v/>
      </c>
      <c r="C979" s="45"/>
      <c r="D979" s="46" t="str">
        <f aca="false">IF(C979="","",IFERROR(TEXT(C979,"MMMM"),""))</f>
        <v/>
      </c>
      <c r="E979" s="47"/>
      <c r="F979" s="48" t="str">
        <f aca="false">IF(E979="","",IFERROR(INDEX('Chart of Accounts'!$C$4:$C$200,MATCH(TEXT(E979,"@"),TEXT('Chart of Accounts'!$B$4:$B$200,"@"),0)),"⚠ Not Found"))</f>
        <v/>
      </c>
      <c r="G979" s="49"/>
      <c r="H979" s="50"/>
      <c r="I979" s="50"/>
      <c r="J979" s="47"/>
    </row>
    <row r="980" customFormat="false" ht="16.5" hidden="false" customHeight="true" outlineLevel="0" collapsed="false">
      <c r="B980" s="37" t="str">
        <f aca="false">IF(C980="","",ROW()-9)</f>
        <v/>
      </c>
      <c r="C980" s="38"/>
      <c r="D980" s="39" t="str">
        <f aca="false">IF(C980="","",IFERROR(TEXT(C980,"MMMM"),""))</f>
        <v/>
      </c>
      <c r="E980" s="40"/>
      <c r="F980" s="41" t="str">
        <f aca="false">IF(E980="","",IFERROR(INDEX('Chart of Accounts'!$C$4:$C$200,MATCH(TEXT(E980,"@"),TEXT('Chart of Accounts'!$B$4:$B$200,"@"),0)),"⚠ Not Found"))</f>
        <v/>
      </c>
      <c r="G980" s="42"/>
      <c r="H980" s="43"/>
      <c r="I980" s="43"/>
      <c r="J980" s="40"/>
    </row>
    <row r="981" customFormat="false" ht="16.5" hidden="false" customHeight="true" outlineLevel="0" collapsed="false">
      <c r="B981" s="44" t="str">
        <f aca="false">IF(C981="","",ROW()-9)</f>
        <v/>
      </c>
      <c r="C981" s="45"/>
      <c r="D981" s="46" t="str">
        <f aca="false">IF(C981="","",IFERROR(TEXT(C981,"MMMM"),""))</f>
        <v/>
      </c>
      <c r="E981" s="47"/>
      <c r="F981" s="48" t="str">
        <f aca="false">IF(E981="","",IFERROR(INDEX('Chart of Accounts'!$C$4:$C$200,MATCH(TEXT(E981,"@"),TEXT('Chart of Accounts'!$B$4:$B$200,"@"),0)),"⚠ Not Found"))</f>
        <v/>
      </c>
      <c r="G981" s="49"/>
      <c r="H981" s="50"/>
      <c r="I981" s="50"/>
      <c r="J981" s="47"/>
    </row>
    <row r="982" customFormat="false" ht="16.5" hidden="false" customHeight="true" outlineLevel="0" collapsed="false">
      <c r="B982" s="37" t="str">
        <f aca="false">IF(C982="","",ROW()-9)</f>
        <v/>
      </c>
      <c r="C982" s="38"/>
      <c r="D982" s="39" t="str">
        <f aca="false">IF(C982="","",IFERROR(TEXT(C982,"MMMM"),""))</f>
        <v/>
      </c>
      <c r="E982" s="40"/>
      <c r="F982" s="41" t="str">
        <f aca="false">IF(E982="","",IFERROR(INDEX('Chart of Accounts'!$C$4:$C$200,MATCH(TEXT(E982,"@"),TEXT('Chart of Accounts'!$B$4:$B$200,"@"),0)),"⚠ Not Found"))</f>
        <v/>
      </c>
      <c r="G982" s="42"/>
      <c r="H982" s="43"/>
      <c r="I982" s="43"/>
      <c r="J982" s="40"/>
    </row>
    <row r="983" customFormat="false" ht="16.5" hidden="false" customHeight="true" outlineLevel="0" collapsed="false">
      <c r="B983" s="44" t="str">
        <f aca="false">IF(C983="","",ROW()-9)</f>
        <v/>
      </c>
      <c r="C983" s="45"/>
      <c r="D983" s="46" t="str">
        <f aca="false">IF(C983="","",IFERROR(TEXT(C983,"MMMM"),""))</f>
        <v/>
      </c>
      <c r="E983" s="47"/>
      <c r="F983" s="48" t="str">
        <f aca="false">IF(E983="","",IFERROR(INDEX('Chart of Accounts'!$C$4:$C$200,MATCH(TEXT(E983,"@"),TEXT('Chart of Accounts'!$B$4:$B$200,"@"),0)),"⚠ Not Found"))</f>
        <v/>
      </c>
      <c r="G983" s="49"/>
      <c r="H983" s="50"/>
      <c r="I983" s="50"/>
      <c r="J983" s="47"/>
    </row>
    <row r="984" customFormat="false" ht="16.5" hidden="false" customHeight="true" outlineLevel="0" collapsed="false">
      <c r="B984" s="37" t="str">
        <f aca="false">IF(C984="","",ROW()-9)</f>
        <v/>
      </c>
      <c r="C984" s="38"/>
      <c r="D984" s="39" t="str">
        <f aca="false">IF(C984="","",IFERROR(TEXT(C984,"MMMM"),""))</f>
        <v/>
      </c>
      <c r="E984" s="40"/>
      <c r="F984" s="41" t="str">
        <f aca="false">IF(E984="","",IFERROR(INDEX('Chart of Accounts'!$C$4:$C$200,MATCH(TEXT(E984,"@"),TEXT('Chart of Accounts'!$B$4:$B$200,"@"),0)),"⚠ Not Found"))</f>
        <v/>
      </c>
      <c r="G984" s="42"/>
      <c r="H984" s="43"/>
      <c r="I984" s="43"/>
      <c r="J984" s="40"/>
    </row>
    <row r="985" customFormat="false" ht="16.5" hidden="false" customHeight="true" outlineLevel="0" collapsed="false">
      <c r="B985" s="44" t="str">
        <f aca="false">IF(C985="","",ROW()-9)</f>
        <v/>
      </c>
      <c r="C985" s="45"/>
      <c r="D985" s="46" t="str">
        <f aca="false">IF(C985="","",IFERROR(TEXT(C985,"MMMM"),""))</f>
        <v/>
      </c>
      <c r="E985" s="47"/>
      <c r="F985" s="48" t="str">
        <f aca="false">IF(E985="","",IFERROR(INDEX('Chart of Accounts'!$C$4:$C$200,MATCH(TEXT(E985,"@"),TEXT('Chart of Accounts'!$B$4:$B$200,"@"),0)),"⚠ Not Found"))</f>
        <v/>
      </c>
      <c r="G985" s="49"/>
      <c r="H985" s="50"/>
      <c r="I985" s="50"/>
      <c r="J985" s="47"/>
    </row>
    <row r="986" customFormat="false" ht="16.5" hidden="false" customHeight="true" outlineLevel="0" collapsed="false">
      <c r="B986" s="37" t="str">
        <f aca="false">IF(C986="","",ROW()-9)</f>
        <v/>
      </c>
      <c r="C986" s="38"/>
      <c r="D986" s="39" t="str">
        <f aca="false">IF(C986="","",IFERROR(TEXT(C986,"MMMM"),""))</f>
        <v/>
      </c>
      <c r="E986" s="40"/>
      <c r="F986" s="41" t="str">
        <f aca="false">IF(E986="","",IFERROR(INDEX('Chart of Accounts'!$C$4:$C$200,MATCH(TEXT(E986,"@"),TEXT('Chart of Accounts'!$B$4:$B$200,"@"),0)),"⚠ Not Found"))</f>
        <v/>
      </c>
      <c r="G986" s="42"/>
      <c r="H986" s="43"/>
      <c r="I986" s="43"/>
      <c r="J986" s="40"/>
    </row>
    <row r="987" customFormat="false" ht="16.5" hidden="false" customHeight="true" outlineLevel="0" collapsed="false">
      <c r="B987" s="44" t="str">
        <f aca="false">IF(C987="","",ROW()-9)</f>
        <v/>
      </c>
      <c r="C987" s="45"/>
      <c r="D987" s="46" t="str">
        <f aca="false">IF(C987="","",IFERROR(TEXT(C987,"MMMM"),""))</f>
        <v/>
      </c>
      <c r="E987" s="47"/>
      <c r="F987" s="48" t="str">
        <f aca="false">IF(E987="","",IFERROR(INDEX('Chart of Accounts'!$C$4:$C$200,MATCH(TEXT(E987,"@"),TEXT('Chart of Accounts'!$B$4:$B$200,"@"),0)),"⚠ Not Found"))</f>
        <v/>
      </c>
      <c r="G987" s="49"/>
      <c r="H987" s="50"/>
      <c r="I987" s="50"/>
      <c r="J987" s="47"/>
    </row>
    <row r="988" customFormat="false" ht="16.5" hidden="false" customHeight="true" outlineLevel="0" collapsed="false">
      <c r="B988" s="37" t="str">
        <f aca="false">IF(C988="","",ROW()-9)</f>
        <v/>
      </c>
      <c r="C988" s="38"/>
      <c r="D988" s="39" t="str">
        <f aca="false">IF(C988="","",IFERROR(TEXT(C988,"MMMM"),""))</f>
        <v/>
      </c>
      <c r="E988" s="40"/>
      <c r="F988" s="41" t="str">
        <f aca="false">IF(E988="","",IFERROR(INDEX('Chart of Accounts'!$C$4:$C$200,MATCH(TEXT(E988,"@"),TEXT('Chart of Accounts'!$B$4:$B$200,"@"),0)),"⚠ Not Found"))</f>
        <v/>
      </c>
      <c r="G988" s="42"/>
      <c r="H988" s="43"/>
      <c r="I988" s="43"/>
      <c r="J988" s="40"/>
    </row>
    <row r="989" customFormat="false" ht="16.5" hidden="false" customHeight="true" outlineLevel="0" collapsed="false">
      <c r="B989" s="44" t="str">
        <f aca="false">IF(C989="","",ROW()-9)</f>
        <v/>
      </c>
      <c r="C989" s="45"/>
      <c r="D989" s="46" t="str">
        <f aca="false">IF(C989="","",IFERROR(TEXT(C989,"MMMM"),""))</f>
        <v/>
      </c>
      <c r="E989" s="47"/>
      <c r="F989" s="48" t="str">
        <f aca="false">IF(E989="","",IFERROR(INDEX('Chart of Accounts'!$C$4:$C$200,MATCH(TEXT(E989,"@"),TEXT('Chart of Accounts'!$B$4:$B$200,"@"),0)),"⚠ Not Found"))</f>
        <v/>
      </c>
      <c r="G989" s="49"/>
      <c r="H989" s="50"/>
      <c r="I989" s="50"/>
      <c r="J989" s="47"/>
    </row>
    <row r="990" customFormat="false" ht="16.5" hidden="false" customHeight="true" outlineLevel="0" collapsed="false">
      <c r="B990" s="37" t="str">
        <f aca="false">IF(C990="","",ROW()-9)</f>
        <v/>
      </c>
      <c r="C990" s="38"/>
      <c r="D990" s="39" t="str">
        <f aca="false">IF(C990="","",IFERROR(TEXT(C990,"MMMM"),""))</f>
        <v/>
      </c>
      <c r="E990" s="40"/>
      <c r="F990" s="41" t="str">
        <f aca="false">IF(E990="","",IFERROR(INDEX('Chart of Accounts'!$C$4:$C$200,MATCH(TEXT(E990,"@"),TEXT('Chart of Accounts'!$B$4:$B$200,"@"),0)),"⚠ Not Found"))</f>
        <v/>
      </c>
      <c r="G990" s="42"/>
      <c r="H990" s="43"/>
      <c r="I990" s="43"/>
      <c r="J990" s="40"/>
    </row>
    <row r="991" customFormat="false" ht="16.5" hidden="false" customHeight="true" outlineLevel="0" collapsed="false">
      <c r="B991" s="44" t="str">
        <f aca="false">IF(C991="","",ROW()-9)</f>
        <v/>
      </c>
      <c r="C991" s="45"/>
      <c r="D991" s="46" t="str">
        <f aca="false">IF(C991="","",IFERROR(TEXT(C991,"MMMM"),""))</f>
        <v/>
      </c>
      <c r="E991" s="47"/>
      <c r="F991" s="48" t="str">
        <f aca="false">IF(E991="","",IFERROR(INDEX('Chart of Accounts'!$C$4:$C$200,MATCH(TEXT(E991,"@"),TEXT('Chart of Accounts'!$B$4:$B$200,"@"),0)),"⚠ Not Found"))</f>
        <v/>
      </c>
      <c r="G991" s="49"/>
      <c r="H991" s="50"/>
      <c r="I991" s="50"/>
      <c r="J991" s="47"/>
    </row>
    <row r="992" customFormat="false" ht="16.5" hidden="false" customHeight="true" outlineLevel="0" collapsed="false">
      <c r="B992" s="37" t="str">
        <f aca="false">IF(C992="","",ROW()-9)</f>
        <v/>
      </c>
      <c r="C992" s="38"/>
      <c r="D992" s="39" t="str">
        <f aca="false">IF(C992="","",IFERROR(TEXT(C992,"MMMM"),""))</f>
        <v/>
      </c>
      <c r="E992" s="40"/>
      <c r="F992" s="41" t="str">
        <f aca="false">IF(E992="","",IFERROR(INDEX('Chart of Accounts'!$C$4:$C$200,MATCH(TEXT(E992,"@"),TEXT('Chart of Accounts'!$B$4:$B$200,"@"),0)),"⚠ Not Found"))</f>
        <v/>
      </c>
      <c r="G992" s="42"/>
      <c r="H992" s="43"/>
      <c r="I992" s="43"/>
      <c r="J992" s="40"/>
    </row>
    <row r="993" customFormat="false" ht="16.5" hidden="false" customHeight="true" outlineLevel="0" collapsed="false">
      <c r="B993" s="44" t="str">
        <f aca="false">IF(C993="","",ROW()-9)</f>
        <v/>
      </c>
      <c r="C993" s="45"/>
      <c r="D993" s="46" t="str">
        <f aca="false">IF(C993="","",IFERROR(TEXT(C993,"MMMM"),""))</f>
        <v/>
      </c>
      <c r="E993" s="47"/>
      <c r="F993" s="48" t="str">
        <f aca="false">IF(E993="","",IFERROR(INDEX('Chart of Accounts'!$C$4:$C$200,MATCH(TEXT(E993,"@"),TEXT('Chart of Accounts'!$B$4:$B$200,"@"),0)),"⚠ Not Found"))</f>
        <v/>
      </c>
      <c r="G993" s="49"/>
      <c r="H993" s="50"/>
      <c r="I993" s="50"/>
      <c r="J993" s="47"/>
    </row>
    <row r="994" customFormat="false" ht="16.5" hidden="false" customHeight="true" outlineLevel="0" collapsed="false">
      <c r="B994" s="37" t="str">
        <f aca="false">IF(C994="","",ROW()-9)</f>
        <v/>
      </c>
      <c r="C994" s="38"/>
      <c r="D994" s="39" t="str">
        <f aca="false">IF(C994="","",IFERROR(TEXT(C994,"MMMM"),""))</f>
        <v/>
      </c>
      <c r="E994" s="40"/>
      <c r="F994" s="41" t="str">
        <f aca="false">IF(E994="","",IFERROR(INDEX('Chart of Accounts'!$C$4:$C$200,MATCH(TEXT(E994,"@"),TEXT('Chart of Accounts'!$B$4:$B$200,"@"),0)),"⚠ Not Found"))</f>
        <v/>
      </c>
      <c r="G994" s="42"/>
      <c r="H994" s="43"/>
      <c r="I994" s="43"/>
      <c r="J994" s="40"/>
    </row>
    <row r="995" customFormat="false" ht="16.5" hidden="false" customHeight="true" outlineLevel="0" collapsed="false">
      <c r="B995" s="44" t="str">
        <f aca="false">IF(C995="","",ROW()-9)</f>
        <v/>
      </c>
      <c r="C995" s="45"/>
      <c r="D995" s="46" t="str">
        <f aca="false">IF(C995="","",IFERROR(TEXT(C995,"MMMM"),""))</f>
        <v/>
      </c>
      <c r="E995" s="47"/>
      <c r="F995" s="48" t="str">
        <f aca="false">IF(E995="","",IFERROR(INDEX('Chart of Accounts'!$C$4:$C$200,MATCH(TEXT(E995,"@"),TEXT('Chart of Accounts'!$B$4:$B$200,"@"),0)),"⚠ Not Found"))</f>
        <v/>
      </c>
      <c r="G995" s="49"/>
      <c r="H995" s="50"/>
      <c r="I995" s="50"/>
      <c r="J995" s="47"/>
    </row>
    <row r="996" customFormat="false" ht="16.5" hidden="false" customHeight="true" outlineLevel="0" collapsed="false">
      <c r="B996" s="37" t="str">
        <f aca="false">IF(C996="","",ROW()-9)</f>
        <v/>
      </c>
      <c r="C996" s="38"/>
      <c r="D996" s="39" t="str">
        <f aca="false">IF(C996="","",IFERROR(TEXT(C996,"MMMM"),""))</f>
        <v/>
      </c>
      <c r="E996" s="40"/>
      <c r="F996" s="41" t="str">
        <f aca="false">IF(E996="","",IFERROR(INDEX('Chart of Accounts'!$C$4:$C$200,MATCH(TEXT(E996,"@"),TEXT('Chart of Accounts'!$B$4:$B$200,"@"),0)),"⚠ Not Found"))</f>
        <v/>
      </c>
      <c r="G996" s="42"/>
      <c r="H996" s="43"/>
      <c r="I996" s="43"/>
      <c r="J996" s="40"/>
    </row>
    <row r="997" customFormat="false" ht="16.5" hidden="false" customHeight="true" outlineLevel="0" collapsed="false">
      <c r="B997" s="44" t="str">
        <f aca="false">IF(C997="","",ROW()-9)</f>
        <v/>
      </c>
      <c r="C997" s="45"/>
      <c r="D997" s="46" t="str">
        <f aca="false">IF(C997="","",IFERROR(TEXT(C997,"MMMM"),""))</f>
        <v/>
      </c>
      <c r="E997" s="47"/>
      <c r="F997" s="48" t="str">
        <f aca="false">IF(E997="","",IFERROR(INDEX('Chart of Accounts'!$C$4:$C$200,MATCH(TEXT(E997,"@"),TEXT('Chart of Accounts'!$B$4:$B$200,"@"),0)),"⚠ Not Found"))</f>
        <v/>
      </c>
      <c r="G997" s="49"/>
      <c r="H997" s="50"/>
      <c r="I997" s="50"/>
      <c r="J997" s="47"/>
    </row>
    <row r="998" customFormat="false" ht="16.5" hidden="false" customHeight="true" outlineLevel="0" collapsed="false">
      <c r="B998" s="37" t="str">
        <f aca="false">IF(C998="","",ROW()-9)</f>
        <v/>
      </c>
      <c r="C998" s="38"/>
      <c r="D998" s="39" t="str">
        <f aca="false">IF(C998="","",IFERROR(TEXT(C998,"MMMM"),""))</f>
        <v/>
      </c>
      <c r="E998" s="40"/>
      <c r="F998" s="41" t="str">
        <f aca="false">IF(E998="","",IFERROR(INDEX('Chart of Accounts'!$C$4:$C$200,MATCH(TEXT(E998,"@"),TEXT('Chart of Accounts'!$B$4:$B$200,"@"),0)),"⚠ Not Found"))</f>
        <v/>
      </c>
      <c r="G998" s="42"/>
      <c r="H998" s="43"/>
      <c r="I998" s="43"/>
      <c r="J998" s="40"/>
    </row>
    <row r="999" customFormat="false" ht="16.5" hidden="false" customHeight="true" outlineLevel="0" collapsed="false">
      <c r="B999" s="44" t="str">
        <f aca="false">IF(C999="","",ROW()-9)</f>
        <v/>
      </c>
      <c r="C999" s="45"/>
      <c r="D999" s="46" t="str">
        <f aca="false">IF(C999="","",IFERROR(TEXT(C999,"MMMM"),""))</f>
        <v/>
      </c>
      <c r="E999" s="47"/>
      <c r="F999" s="48" t="str">
        <f aca="false">IF(E999="","",IFERROR(INDEX('Chart of Accounts'!$C$4:$C$200,MATCH(TEXT(E999,"@"),TEXT('Chart of Accounts'!$B$4:$B$200,"@"),0)),"⚠ Not Found"))</f>
        <v/>
      </c>
      <c r="G999" s="49"/>
      <c r="H999" s="50"/>
      <c r="I999" s="50"/>
      <c r="J999" s="47"/>
    </row>
    <row r="1000" customFormat="false" ht="16.5" hidden="false" customHeight="true" outlineLevel="0" collapsed="false">
      <c r="B1000" s="37" t="str">
        <f aca="false">IF(C1000="","",ROW()-9)</f>
        <v/>
      </c>
      <c r="C1000" s="38"/>
      <c r="D1000" s="39" t="str">
        <f aca="false">IF(C1000="","",IFERROR(TEXT(C1000,"MMMM"),""))</f>
        <v/>
      </c>
      <c r="E1000" s="40"/>
      <c r="F1000" s="41" t="str">
        <f aca="false">IF(E1000="","",IFERROR(INDEX('Chart of Accounts'!$C$4:$C$200,MATCH(TEXT(E1000,"@"),TEXT('Chart of Accounts'!$B$4:$B$200,"@"),0)),"⚠ Not Found"))</f>
        <v/>
      </c>
      <c r="G1000" s="42"/>
      <c r="H1000" s="43"/>
      <c r="I1000" s="43"/>
      <c r="J1000" s="40"/>
    </row>
    <row r="1001" customFormat="false" ht="16.5" hidden="false" customHeight="true" outlineLevel="0" collapsed="false">
      <c r="B1001" s="44" t="str">
        <f aca="false">IF(C1001="","",ROW()-9)</f>
        <v/>
      </c>
      <c r="C1001" s="45"/>
      <c r="D1001" s="46" t="str">
        <f aca="false">IF(C1001="","",IFERROR(TEXT(C1001,"MMMM"),""))</f>
        <v/>
      </c>
      <c r="E1001" s="47"/>
      <c r="F1001" s="48" t="str">
        <f aca="false">IF(E1001="","",IFERROR(INDEX('Chart of Accounts'!$C$4:$C$200,MATCH(TEXT(E1001,"@"),TEXT('Chart of Accounts'!$B$4:$B$200,"@"),0)),"⚠ Not Found"))</f>
        <v/>
      </c>
      <c r="G1001" s="49"/>
      <c r="H1001" s="50"/>
      <c r="I1001" s="50"/>
      <c r="J1001" s="47"/>
    </row>
    <row r="1002" customFormat="false" ht="16.5" hidden="false" customHeight="true" outlineLevel="0" collapsed="false">
      <c r="B1002" s="37" t="str">
        <f aca="false">IF(C1002="","",ROW()-9)</f>
        <v/>
      </c>
      <c r="C1002" s="38"/>
      <c r="D1002" s="39" t="str">
        <f aca="false">IF(C1002="","",IFERROR(TEXT(C1002,"MMMM"),""))</f>
        <v/>
      </c>
      <c r="E1002" s="40"/>
      <c r="F1002" s="41" t="str">
        <f aca="false">IF(E1002="","",IFERROR(INDEX('Chart of Accounts'!$C$4:$C$200,MATCH(TEXT(E1002,"@"),TEXT('Chart of Accounts'!$B$4:$B$200,"@"),0)),"⚠ Not Found"))</f>
        <v/>
      </c>
      <c r="G1002" s="42"/>
      <c r="H1002" s="43"/>
      <c r="I1002" s="43"/>
      <c r="J1002" s="40"/>
    </row>
    <row r="1003" customFormat="false" ht="16.5" hidden="false" customHeight="true" outlineLevel="0" collapsed="false">
      <c r="B1003" s="44" t="str">
        <f aca="false">IF(C1003="","",ROW()-9)</f>
        <v/>
      </c>
      <c r="C1003" s="45"/>
      <c r="D1003" s="46" t="str">
        <f aca="false">IF(C1003="","",IFERROR(TEXT(C1003,"MMMM"),""))</f>
        <v/>
      </c>
      <c r="E1003" s="47"/>
      <c r="F1003" s="48" t="str">
        <f aca="false">IF(E1003="","",IFERROR(INDEX('Chart of Accounts'!$C$4:$C$200,MATCH(TEXT(E1003,"@"),TEXT('Chart of Accounts'!$B$4:$B$200,"@"),0)),"⚠ Not Found"))</f>
        <v/>
      </c>
      <c r="G1003" s="49"/>
      <c r="H1003" s="50"/>
      <c r="I1003" s="50"/>
      <c r="J1003" s="47"/>
    </row>
    <row r="1004" customFormat="false" ht="16.5" hidden="false" customHeight="true" outlineLevel="0" collapsed="false">
      <c r="B1004" s="37" t="str">
        <f aca="false">IF(C1004="","",ROW()-9)</f>
        <v/>
      </c>
      <c r="C1004" s="38"/>
      <c r="D1004" s="39" t="str">
        <f aca="false">IF(C1004="","",IFERROR(TEXT(C1004,"MMMM"),""))</f>
        <v/>
      </c>
      <c r="E1004" s="40"/>
      <c r="F1004" s="41" t="str">
        <f aca="false">IF(E1004="","",IFERROR(INDEX('Chart of Accounts'!$C$4:$C$200,MATCH(TEXT(E1004,"@"),TEXT('Chart of Accounts'!$B$4:$B$200,"@"),0)),"⚠ Not Found"))</f>
        <v/>
      </c>
      <c r="G1004" s="42"/>
      <c r="H1004" s="43"/>
      <c r="I1004" s="43"/>
      <c r="J1004" s="40"/>
    </row>
    <row r="1005" customFormat="false" ht="16.5" hidden="false" customHeight="true" outlineLevel="0" collapsed="false">
      <c r="B1005" s="44" t="str">
        <f aca="false">IF(C1005="","",ROW()-9)</f>
        <v/>
      </c>
      <c r="C1005" s="45"/>
      <c r="D1005" s="46" t="str">
        <f aca="false">IF(C1005="","",IFERROR(TEXT(C1005,"MMMM"),""))</f>
        <v/>
      </c>
      <c r="E1005" s="47"/>
      <c r="F1005" s="48" t="str">
        <f aca="false">IF(E1005="","",IFERROR(INDEX('Chart of Accounts'!$C$4:$C$200,MATCH(TEXT(E1005,"@"),TEXT('Chart of Accounts'!$B$4:$B$200,"@"),0)),"⚠ Not Found"))</f>
        <v/>
      </c>
      <c r="G1005" s="49"/>
      <c r="H1005" s="50"/>
      <c r="I1005" s="50"/>
      <c r="J1005" s="47"/>
    </row>
    <row r="1006" customFormat="false" ht="16.5" hidden="false" customHeight="true" outlineLevel="0" collapsed="false">
      <c r="B1006" s="37" t="str">
        <f aca="false">IF(C1006="","",ROW()-9)</f>
        <v/>
      </c>
      <c r="C1006" s="38"/>
      <c r="D1006" s="39" t="str">
        <f aca="false">IF(C1006="","",IFERROR(TEXT(C1006,"MMMM"),""))</f>
        <v/>
      </c>
      <c r="E1006" s="40"/>
      <c r="F1006" s="41" t="str">
        <f aca="false">IF(E1006="","",IFERROR(INDEX('Chart of Accounts'!$C$4:$C$200,MATCH(TEXT(E1006,"@"),TEXT('Chart of Accounts'!$B$4:$B$200,"@"),0)),"⚠ Not Found"))</f>
        <v/>
      </c>
      <c r="G1006" s="42"/>
      <c r="H1006" s="43"/>
      <c r="I1006" s="43"/>
      <c r="J1006" s="40"/>
    </row>
    <row r="1007" customFormat="false" ht="16.5" hidden="false" customHeight="true" outlineLevel="0" collapsed="false">
      <c r="B1007" s="44" t="str">
        <f aca="false">IF(C1007="","",ROW()-9)</f>
        <v/>
      </c>
      <c r="C1007" s="45"/>
      <c r="D1007" s="46" t="str">
        <f aca="false">IF(C1007="","",IFERROR(TEXT(C1007,"MMMM"),""))</f>
        <v/>
      </c>
      <c r="E1007" s="47"/>
      <c r="F1007" s="48" t="str">
        <f aca="false">IF(E1007="","",IFERROR(INDEX('Chart of Accounts'!$C$4:$C$200,MATCH(TEXT(E1007,"@"),TEXT('Chart of Accounts'!$B$4:$B$200,"@"),0)),"⚠ Not Found"))</f>
        <v/>
      </c>
      <c r="G1007" s="49"/>
      <c r="H1007" s="50"/>
      <c r="I1007" s="50"/>
      <c r="J1007" s="47"/>
    </row>
    <row r="1008" customFormat="false" ht="16.5" hidden="false" customHeight="true" outlineLevel="0" collapsed="false">
      <c r="B1008" s="37" t="str">
        <f aca="false">IF(C1008="","",ROW()-9)</f>
        <v/>
      </c>
      <c r="C1008" s="38"/>
      <c r="D1008" s="39" t="str">
        <f aca="false">IF(C1008="","",IFERROR(TEXT(C1008,"MMMM"),""))</f>
        <v/>
      </c>
      <c r="E1008" s="40"/>
      <c r="F1008" s="41" t="str">
        <f aca="false">IF(E1008="","",IFERROR(INDEX('Chart of Accounts'!$C$4:$C$200,MATCH(TEXT(E1008,"@"),TEXT('Chart of Accounts'!$B$4:$B$200,"@"),0)),"⚠ Not Found"))</f>
        <v/>
      </c>
      <c r="G1008" s="42"/>
      <c r="H1008" s="43"/>
      <c r="I1008" s="43"/>
      <c r="J1008" s="40"/>
    </row>
    <row r="1009" customFormat="false" ht="16.5" hidden="false" customHeight="true" outlineLevel="0" collapsed="false">
      <c r="B1009" s="44" t="str">
        <f aca="false">IF(C1009="","",ROW()-9)</f>
        <v/>
      </c>
      <c r="C1009" s="45"/>
      <c r="D1009" s="46" t="str">
        <f aca="false">IF(C1009="","",IFERROR(TEXT(C1009,"MMMM"),""))</f>
        <v/>
      </c>
      <c r="E1009" s="47"/>
      <c r="F1009" s="48" t="str">
        <f aca="false">IF(E1009="","",IFERROR(INDEX('Chart of Accounts'!$C$4:$C$200,MATCH(TEXT(E1009,"@"),TEXT('Chart of Accounts'!$B$4:$B$200,"@"),0)),"⚠ Not Found"))</f>
        <v/>
      </c>
      <c r="G1009" s="49"/>
      <c r="H1009" s="50"/>
      <c r="I1009" s="50"/>
      <c r="J1009" s="47"/>
    </row>
    <row r="1010" customFormat="false" ht="16.5" hidden="false" customHeight="true" outlineLevel="0" collapsed="false">
      <c r="B1010" s="37" t="str">
        <f aca="false">IF(C1010="","",ROW()-9)</f>
        <v/>
      </c>
      <c r="C1010" s="38"/>
      <c r="D1010" s="39" t="str">
        <f aca="false">IF(C1010="","",IFERROR(TEXT(C1010,"MMMM"),""))</f>
        <v/>
      </c>
      <c r="E1010" s="40"/>
      <c r="F1010" s="41" t="str">
        <f aca="false">IF(E1010="","",IFERROR(INDEX('Chart of Accounts'!$C$4:$C$200,MATCH(TEXT(E1010,"@"),TEXT('Chart of Accounts'!$B$4:$B$200,"@"),0)),"⚠ Not Found"))</f>
        <v/>
      </c>
      <c r="G1010" s="42"/>
      <c r="H1010" s="43"/>
      <c r="I1010" s="43"/>
      <c r="J1010" s="40"/>
    </row>
    <row r="1011" customFormat="false" ht="16.5" hidden="false" customHeight="true" outlineLevel="0" collapsed="false">
      <c r="B1011" s="44" t="str">
        <f aca="false">IF(C1011="","",ROW()-9)</f>
        <v/>
      </c>
      <c r="C1011" s="45"/>
      <c r="D1011" s="46" t="str">
        <f aca="false">IF(C1011="","",IFERROR(TEXT(C1011,"MMMM"),""))</f>
        <v/>
      </c>
      <c r="E1011" s="47"/>
      <c r="F1011" s="48" t="str">
        <f aca="false">IF(E1011="","",IFERROR(INDEX('Chart of Accounts'!$C$4:$C$200,MATCH(TEXT(E1011,"@"),TEXT('Chart of Accounts'!$B$4:$B$200,"@"),0)),"⚠ Not Found"))</f>
        <v/>
      </c>
      <c r="G1011" s="49"/>
      <c r="H1011" s="50"/>
      <c r="I1011" s="50"/>
      <c r="J1011" s="47"/>
    </row>
    <row r="1012" customFormat="false" ht="16.5" hidden="false" customHeight="true" outlineLevel="0" collapsed="false">
      <c r="B1012" s="37" t="str">
        <f aca="false">IF(C1012="","",ROW()-9)</f>
        <v/>
      </c>
      <c r="C1012" s="38"/>
      <c r="D1012" s="39" t="str">
        <f aca="false">IF(C1012="","",IFERROR(TEXT(C1012,"MMMM"),""))</f>
        <v/>
      </c>
      <c r="E1012" s="40"/>
      <c r="F1012" s="41" t="str">
        <f aca="false">IF(E1012="","",IFERROR(INDEX('Chart of Accounts'!$C$4:$C$200,MATCH(TEXT(E1012,"@"),TEXT('Chart of Accounts'!$B$4:$B$200,"@"),0)),"⚠ Not Found"))</f>
        <v/>
      </c>
      <c r="G1012" s="42"/>
      <c r="H1012" s="43"/>
      <c r="I1012" s="43"/>
      <c r="J1012" s="40"/>
    </row>
    <row r="1013" customFormat="false" ht="16.5" hidden="false" customHeight="true" outlineLevel="0" collapsed="false">
      <c r="B1013" s="44" t="str">
        <f aca="false">IF(C1013="","",ROW()-9)</f>
        <v/>
      </c>
      <c r="C1013" s="45"/>
      <c r="D1013" s="46" t="str">
        <f aca="false">IF(C1013="","",IFERROR(TEXT(C1013,"MMMM"),""))</f>
        <v/>
      </c>
      <c r="E1013" s="47"/>
      <c r="F1013" s="48" t="str">
        <f aca="false">IF(E1013="","",IFERROR(INDEX('Chart of Accounts'!$C$4:$C$200,MATCH(TEXT(E1013,"@"),TEXT('Chart of Accounts'!$B$4:$B$200,"@"),0)),"⚠ Not Found"))</f>
        <v/>
      </c>
      <c r="G1013" s="49"/>
      <c r="H1013" s="50"/>
      <c r="I1013" s="50"/>
      <c r="J1013" s="47"/>
    </row>
    <row r="1014" customFormat="false" ht="16.5" hidden="false" customHeight="true" outlineLevel="0" collapsed="false">
      <c r="B1014" s="37" t="str">
        <f aca="false">IF(C1014="","",ROW()-9)</f>
        <v/>
      </c>
      <c r="C1014" s="38"/>
      <c r="D1014" s="39" t="str">
        <f aca="false">IF(C1014="","",IFERROR(TEXT(C1014,"MMMM"),""))</f>
        <v/>
      </c>
      <c r="E1014" s="40"/>
      <c r="F1014" s="41" t="str">
        <f aca="false">IF(E1014="","",IFERROR(INDEX('Chart of Accounts'!$C$4:$C$200,MATCH(TEXT(E1014,"@"),TEXT('Chart of Accounts'!$B$4:$B$200,"@"),0)),"⚠ Not Found"))</f>
        <v/>
      </c>
      <c r="G1014" s="42"/>
      <c r="H1014" s="43"/>
      <c r="I1014" s="43"/>
      <c r="J1014" s="40"/>
    </row>
    <row r="1015" customFormat="false" ht="16.5" hidden="false" customHeight="true" outlineLevel="0" collapsed="false">
      <c r="B1015" s="44" t="str">
        <f aca="false">IF(C1015="","",ROW()-9)</f>
        <v/>
      </c>
      <c r="C1015" s="45"/>
      <c r="D1015" s="46" t="str">
        <f aca="false">IF(C1015="","",IFERROR(TEXT(C1015,"MMMM"),""))</f>
        <v/>
      </c>
      <c r="E1015" s="47"/>
      <c r="F1015" s="48" t="str">
        <f aca="false">IF(E1015="","",IFERROR(INDEX('Chart of Accounts'!$C$4:$C$200,MATCH(TEXT(E1015,"@"),TEXT('Chart of Accounts'!$B$4:$B$200,"@"),0)),"⚠ Not Found"))</f>
        <v/>
      </c>
      <c r="G1015" s="49"/>
      <c r="H1015" s="50"/>
      <c r="I1015" s="50"/>
      <c r="J1015" s="47"/>
    </row>
    <row r="1016" customFormat="false" ht="16.5" hidden="false" customHeight="true" outlineLevel="0" collapsed="false">
      <c r="B1016" s="37" t="str">
        <f aca="false">IF(C1016="","",ROW()-9)</f>
        <v/>
      </c>
      <c r="C1016" s="38"/>
      <c r="D1016" s="39" t="str">
        <f aca="false">IF(C1016="","",IFERROR(TEXT(C1016,"MMMM"),""))</f>
        <v/>
      </c>
      <c r="E1016" s="40"/>
      <c r="F1016" s="41" t="str">
        <f aca="false">IF(E1016="","",IFERROR(INDEX('Chart of Accounts'!$C$4:$C$200,MATCH(TEXT(E1016,"@"),TEXT('Chart of Accounts'!$B$4:$B$200,"@"),0)),"⚠ Not Found"))</f>
        <v/>
      </c>
      <c r="G1016" s="42"/>
      <c r="H1016" s="43"/>
      <c r="I1016" s="43"/>
      <c r="J1016" s="40"/>
    </row>
    <row r="1017" customFormat="false" ht="16.5" hidden="false" customHeight="true" outlineLevel="0" collapsed="false">
      <c r="B1017" s="44" t="str">
        <f aca="false">IF(C1017="","",ROW()-9)</f>
        <v/>
      </c>
      <c r="C1017" s="45"/>
      <c r="D1017" s="46" t="str">
        <f aca="false">IF(C1017="","",IFERROR(TEXT(C1017,"MMMM"),""))</f>
        <v/>
      </c>
      <c r="E1017" s="47"/>
      <c r="F1017" s="48" t="str">
        <f aca="false">IF(E1017="","",IFERROR(INDEX('Chart of Accounts'!$C$4:$C$200,MATCH(TEXT(E1017,"@"),TEXT('Chart of Accounts'!$B$4:$B$200,"@"),0)),"⚠ Not Found"))</f>
        <v/>
      </c>
      <c r="G1017" s="49"/>
      <c r="H1017" s="50"/>
      <c r="I1017" s="50"/>
      <c r="J1017" s="47"/>
    </row>
    <row r="1018" customFormat="false" ht="16.5" hidden="false" customHeight="true" outlineLevel="0" collapsed="false">
      <c r="B1018" s="37" t="str">
        <f aca="false">IF(C1018="","",ROW()-9)</f>
        <v/>
      </c>
      <c r="C1018" s="38"/>
      <c r="D1018" s="39" t="str">
        <f aca="false">IF(C1018="","",IFERROR(TEXT(C1018,"MMMM"),""))</f>
        <v/>
      </c>
      <c r="E1018" s="40"/>
      <c r="F1018" s="41" t="str">
        <f aca="false">IF(E1018="","",IFERROR(INDEX('Chart of Accounts'!$C$4:$C$200,MATCH(TEXT(E1018,"@"),TEXT('Chart of Accounts'!$B$4:$B$200,"@"),0)),"⚠ Not Found"))</f>
        <v/>
      </c>
      <c r="G1018" s="42"/>
      <c r="H1018" s="43"/>
      <c r="I1018" s="43"/>
      <c r="J1018" s="40"/>
    </row>
    <row r="1019" customFormat="false" ht="16.5" hidden="false" customHeight="true" outlineLevel="0" collapsed="false">
      <c r="B1019" s="44" t="str">
        <f aca="false">IF(C1019="","",ROW()-9)</f>
        <v/>
      </c>
      <c r="C1019" s="45"/>
      <c r="D1019" s="46" t="str">
        <f aca="false">IF(C1019="","",IFERROR(TEXT(C1019,"MMMM"),""))</f>
        <v/>
      </c>
      <c r="E1019" s="47"/>
      <c r="F1019" s="48" t="str">
        <f aca="false">IF(E1019="","",IFERROR(INDEX('Chart of Accounts'!$C$4:$C$200,MATCH(TEXT(E1019,"@"),TEXT('Chart of Accounts'!$B$4:$B$200,"@"),0)),"⚠ Not Found"))</f>
        <v/>
      </c>
      <c r="G1019" s="49"/>
      <c r="H1019" s="50"/>
      <c r="I1019" s="50"/>
      <c r="J1019" s="47"/>
    </row>
    <row r="1020" customFormat="false" ht="16.5" hidden="false" customHeight="true" outlineLevel="0" collapsed="false">
      <c r="B1020" s="37" t="str">
        <f aca="false">IF(C1020="","",ROW()-9)</f>
        <v/>
      </c>
      <c r="C1020" s="38"/>
      <c r="D1020" s="39" t="str">
        <f aca="false">IF(C1020="","",IFERROR(TEXT(C1020,"MMMM"),""))</f>
        <v/>
      </c>
      <c r="E1020" s="40"/>
      <c r="F1020" s="41" t="str">
        <f aca="false">IF(E1020="","",IFERROR(INDEX('Chart of Accounts'!$C$4:$C$200,MATCH(TEXT(E1020,"@"),TEXT('Chart of Accounts'!$B$4:$B$200,"@"),0)),"⚠ Not Found"))</f>
        <v/>
      </c>
      <c r="G1020" s="42"/>
      <c r="H1020" s="43"/>
      <c r="I1020" s="43"/>
      <c r="J1020" s="40"/>
    </row>
    <row r="1021" customFormat="false" ht="16.5" hidden="false" customHeight="true" outlineLevel="0" collapsed="false">
      <c r="B1021" s="44" t="str">
        <f aca="false">IF(C1021="","",ROW()-9)</f>
        <v/>
      </c>
      <c r="C1021" s="45"/>
      <c r="D1021" s="46" t="str">
        <f aca="false">IF(C1021="","",IFERROR(TEXT(C1021,"MMMM"),""))</f>
        <v/>
      </c>
      <c r="E1021" s="47"/>
      <c r="F1021" s="48" t="str">
        <f aca="false">IF(E1021="","",IFERROR(INDEX('Chart of Accounts'!$C$4:$C$200,MATCH(TEXT(E1021,"@"),TEXT('Chart of Accounts'!$B$4:$B$200,"@"),0)),"⚠ Not Found"))</f>
        <v/>
      </c>
      <c r="G1021" s="49"/>
      <c r="H1021" s="50"/>
      <c r="I1021" s="50"/>
      <c r="J1021" s="47"/>
    </row>
    <row r="1022" customFormat="false" ht="16.5" hidden="false" customHeight="true" outlineLevel="0" collapsed="false">
      <c r="B1022" s="37" t="str">
        <f aca="false">IF(C1022="","",ROW()-9)</f>
        <v/>
      </c>
      <c r="C1022" s="38"/>
      <c r="D1022" s="39" t="str">
        <f aca="false">IF(C1022="","",IFERROR(TEXT(C1022,"MMMM"),""))</f>
        <v/>
      </c>
      <c r="E1022" s="40"/>
      <c r="F1022" s="41" t="str">
        <f aca="false">IF(E1022="","",IFERROR(INDEX('Chart of Accounts'!$C$4:$C$200,MATCH(TEXT(E1022,"@"),TEXT('Chart of Accounts'!$B$4:$B$200,"@"),0)),"⚠ Not Found"))</f>
        <v/>
      </c>
      <c r="G1022" s="42"/>
      <c r="H1022" s="43"/>
      <c r="I1022" s="43"/>
      <c r="J1022" s="40"/>
    </row>
    <row r="1023" customFormat="false" ht="16.5" hidden="false" customHeight="true" outlineLevel="0" collapsed="false">
      <c r="B1023" s="44" t="str">
        <f aca="false">IF(C1023="","",ROW()-9)</f>
        <v/>
      </c>
      <c r="C1023" s="45"/>
      <c r="D1023" s="46" t="str">
        <f aca="false">IF(C1023="","",IFERROR(TEXT(C1023,"MMMM"),""))</f>
        <v/>
      </c>
      <c r="E1023" s="47"/>
      <c r="F1023" s="48" t="str">
        <f aca="false">IF(E1023="","",IFERROR(INDEX('Chart of Accounts'!$C$4:$C$200,MATCH(TEXT(E1023,"@"),TEXT('Chart of Accounts'!$B$4:$B$200,"@"),0)),"⚠ Not Found"))</f>
        <v/>
      </c>
      <c r="G1023" s="49"/>
      <c r="H1023" s="50"/>
      <c r="I1023" s="50"/>
      <c r="J1023" s="47"/>
    </row>
    <row r="1024" customFormat="false" ht="16.5" hidden="false" customHeight="true" outlineLevel="0" collapsed="false">
      <c r="B1024" s="37" t="str">
        <f aca="false">IF(C1024="","",ROW()-9)</f>
        <v/>
      </c>
      <c r="C1024" s="38"/>
      <c r="D1024" s="39" t="str">
        <f aca="false">IF(C1024="","",IFERROR(TEXT(C1024,"MMMM"),""))</f>
        <v/>
      </c>
      <c r="E1024" s="40"/>
      <c r="F1024" s="41" t="str">
        <f aca="false">IF(E1024="","",IFERROR(INDEX('Chart of Accounts'!$C$4:$C$200,MATCH(TEXT(E1024,"@"),TEXT('Chart of Accounts'!$B$4:$B$200,"@"),0)),"⚠ Not Found"))</f>
        <v/>
      </c>
      <c r="G1024" s="42"/>
      <c r="H1024" s="43"/>
      <c r="I1024" s="43"/>
      <c r="J1024" s="40"/>
    </row>
    <row r="1025" customFormat="false" ht="16.5" hidden="false" customHeight="true" outlineLevel="0" collapsed="false">
      <c r="B1025" s="44" t="str">
        <f aca="false">IF(C1025="","",ROW()-9)</f>
        <v/>
      </c>
      <c r="C1025" s="45"/>
      <c r="D1025" s="46" t="str">
        <f aca="false">IF(C1025="","",IFERROR(TEXT(C1025,"MMMM"),""))</f>
        <v/>
      </c>
      <c r="E1025" s="47"/>
      <c r="F1025" s="48" t="str">
        <f aca="false">IF(E1025="","",IFERROR(INDEX('Chart of Accounts'!$C$4:$C$200,MATCH(TEXT(E1025,"@"),TEXT('Chart of Accounts'!$B$4:$B$200,"@"),0)),"⚠ Not Found"))</f>
        <v/>
      </c>
      <c r="G1025" s="49"/>
      <c r="H1025" s="50"/>
      <c r="I1025" s="50"/>
      <c r="J1025" s="47"/>
    </row>
    <row r="1026" customFormat="false" ht="16.5" hidden="false" customHeight="true" outlineLevel="0" collapsed="false">
      <c r="B1026" s="37" t="str">
        <f aca="false">IF(C1026="","",ROW()-9)</f>
        <v/>
      </c>
      <c r="C1026" s="38"/>
      <c r="D1026" s="39" t="str">
        <f aca="false">IF(C1026="","",IFERROR(TEXT(C1026,"MMMM"),""))</f>
        <v/>
      </c>
      <c r="E1026" s="40"/>
      <c r="F1026" s="41" t="str">
        <f aca="false">IF(E1026="","",IFERROR(INDEX('Chart of Accounts'!$C$4:$C$200,MATCH(TEXT(E1026,"@"),TEXT('Chart of Accounts'!$B$4:$B$200,"@"),0)),"⚠ Not Found"))</f>
        <v/>
      </c>
      <c r="G1026" s="42"/>
      <c r="H1026" s="43"/>
      <c r="I1026" s="43"/>
      <c r="J1026" s="40"/>
    </row>
    <row r="1027" customFormat="false" ht="16.5" hidden="false" customHeight="true" outlineLevel="0" collapsed="false">
      <c r="B1027" s="44" t="str">
        <f aca="false">IF(C1027="","",ROW()-9)</f>
        <v/>
      </c>
      <c r="C1027" s="45"/>
      <c r="D1027" s="46" t="str">
        <f aca="false">IF(C1027="","",IFERROR(TEXT(C1027,"MMMM"),""))</f>
        <v/>
      </c>
      <c r="E1027" s="47"/>
      <c r="F1027" s="48" t="str">
        <f aca="false">IF(E1027="","",IFERROR(INDEX('Chart of Accounts'!$C$4:$C$200,MATCH(TEXT(E1027,"@"),TEXT('Chart of Accounts'!$B$4:$B$200,"@"),0)),"⚠ Not Found"))</f>
        <v/>
      </c>
      <c r="G1027" s="49"/>
      <c r="H1027" s="50"/>
      <c r="I1027" s="50"/>
      <c r="J1027" s="47"/>
    </row>
    <row r="1028" customFormat="false" ht="16.5" hidden="false" customHeight="true" outlineLevel="0" collapsed="false">
      <c r="B1028" s="37" t="str">
        <f aca="false">IF(C1028="","",ROW()-9)</f>
        <v/>
      </c>
      <c r="C1028" s="38"/>
      <c r="D1028" s="39" t="str">
        <f aca="false">IF(C1028="","",IFERROR(TEXT(C1028,"MMMM"),""))</f>
        <v/>
      </c>
      <c r="E1028" s="40"/>
      <c r="F1028" s="41" t="str">
        <f aca="false">IF(E1028="","",IFERROR(INDEX('Chart of Accounts'!$C$4:$C$200,MATCH(TEXT(E1028,"@"),TEXT('Chart of Accounts'!$B$4:$B$200,"@"),0)),"⚠ Not Found"))</f>
        <v/>
      </c>
      <c r="G1028" s="42"/>
      <c r="H1028" s="43"/>
      <c r="I1028" s="43"/>
      <c r="J1028" s="40"/>
    </row>
    <row r="1029" customFormat="false" ht="16.5" hidden="false" customHeight="true" outlineLevel="0" collapsed="false">
      <c r="B1029" s="44" t="str">
        <f aca="false">IF(C1029="","",ROW()-9)</f>
        <v/>
      </c>
      <c r="C1029" s="45"/>
      <c r="D1029" s="46" t="str">
        <f aca="false">IF(C1029="","",IFERROR(TEXT(C1029,"MMMM"),""))</f>
        <v/>
      </c>
      <c r="E1029" s="47"/>
      <c r="F1029" s="48" t="str">
        <f aca="false">IF(E1029="","",IFERROR(INDEX('Chart of Accounts'!$C$4:$C$200,MATCH(TEXT(E1029,"@"),TEXT('Chart of Accounts'!$B$4:$B$200,"@"),0)),"⚠ Not Found"))</f>
        <v/>
      </c>
      <c r="G1029" s="49"/>
      <c r="H1029" s="50"/>
      <c r="I1029" s="50"/>
      <c r="J1029" s="47"/>
    </row>
    <row r="1030" customFormat="false" ht="16.5" hidden="false" customHeight="true" outlineLevel="0" collapsed="false">
      <c r="B1030" s="37" t="str">
        <f aca="false">IF(C1030="","",ROW()-9)</f>
        <v/>
      </c>
      <c r="C1030" s="38"/>
      <c r="D1030" s="39" t="str">
        <f aca="false">IF(C1030="","",IFERROR(TEXT(C1030,"MMMM"),""))</f>
        <v/>
      </c>
      <c r="E1030" s="40"/>
      <c r="F1030" s="41" t="str">
        <f aca="false">IF(E1030="","",IFERROR(INDEX('Chart of Accounts'!$C$4:$C$200,MATCH(TEXT(E1030,"@"),TEXT('Chart of Accounts'!$B$4:$B$200,"@"),0)),"⚠ Not Found"))</f>
        <v/>
      </c>
      <c r="G1030" s="42"/>
      <c r="H1030" s="43"/>
      <c r="I1030" s="43"/>
      <c r="J1030" s="40"/>
    </row>
    <row r="1031" customFormat="false" ht="16.5" hidden="false" customHeight="true" outlineLevel="0" collapsed="false">
      <c r="B1031" s="44" t="str">
        <f aca="false">IF(C1031="","",ROW()-9)</f>
        <v/>
      </c>
      <c r="C1031" s="45"/>
      <c r="D1031" s="46" t="str">
        <f aca="false">IF(C1031="","",IFERROR(TEXT(C1031,"MMMM"),""))</f>
        <v/>
      </c>
      <c r="E1031" s="47"/>
      <c r="F1031" s="48" t="str">
        <f aca="false">IF(E1031="","",IFERROR(INDEX('Chart of Accounts'!$C$4:$C$200,MATCH(TEXT(E1031,"@"),TEXT('Chart of Accounts'!$B$4:$B$200,"@"),0)),"⚠ Not Found"))</f>
        <v/>
      </c>
      <c r="G1031" s="49"/>
      <c r="H1031" s="50"/>
      <c r="I1031" s="50"/>
      <c r="J1031" s="47"/>
    </row>
    <row r="1032" customFormat="false" ht="16.5" hidden="false" customHeight="true" outlineLevel="0" collapsed="false">
      <c r="B1032" s="37" t="str">
        <f aca="false">IF(C1032="","",ROW()-9)</f>
        <v/>
      </c>
      <c r="C1032" s="38"/>
      <c r="D1032" s="39" t="str">
        <f aca="false">IF(C1032="","",IFERROR(TEXT(C1032,"MMMM"),""))</f>
        <v/>
      </c>
      <c r="E1032" s="40"/>
      <c r="F1032" s="41" t="str">
        <f aca="false">IF(E1032="","",IFERROR(INDEX('Chart of Accounts'!$C$4:$C$200,MATCH(TEXT(E1032,"@"),TEXT('Chart of Accounts'!$B$4:$B$200,"@"),0)),"⚠ Not Found"))</f>
        <v/>
      </c>
      <c r="G1032" s="42"/>
      <c r="H1032" s="43"/>
      <c r="I1032" s="43"/>
      <c r="J1032" s="40"/>
    </row>
    <row r="1033" customFormat="false" ht="16.5" hidden="false" customHeight="true" outlineLevel="0" collapsed="false">
      <c r="B1033" s="44" t="str">
        <f aca="false">IF(C1033="","",ROW()-9)</f>
        <v/>
      </c>
      <c r="C1033" s="45"/>
      <c r="D1033" s="46" t="str">
        <f aca="false">IF(C1033="","",IFERROR(TEXT(C1033,"MMMM"),""))</f>
        <v/>
      </c>
      <c r="E1033" s="47"/>
      <c r="F1033" s="48" t="str">
        <f aca="false">IF(E1033="","",IFERROR(INDEX('Chart of Accounts'!$C$4:$C$200,MATCH(TEXT(E1033,"@"),TEXT('Chart of Accounts'!$B$4:$B$200,"@"),0)),"⚠ Not Found"))</f>
        <v/>
      </c>
      <c r="G1033" s="49"/>
      <c r="H1033" s="50"/>
      <c r="I1033" s="50"/>
      <c r="J1033" s="47"/>
    </row>
    <row r="1034" customFormat="false" ht="16.5" hidden="false" customHeight="true" outlineLevel="0" collapsed="false">
      <c r="B1034" s="37" t="str">
        <f aca="false">IF(C1034="","",ROW()-9)</f>
        <v/>
      </c>
      <c r="C1034" s="38"/>
      <c r="D1034" s="39" t="str">
        <f aca="false">IF(C1034="","",IFERROR(TEXT(C1034,"MMMM"),""))</f>
        <v/>
      </c>
      <c r="E1034" s="40"/>
      <c r="F1034" s="41" t="str">
        <f aca="false">IF(E1034="","",IFERROR(INDEX('Chart of Accounts'!$C$4:$C$200,MATCH(TEXT(E1034,"@"),TEXT('Chart of Accounts'!$B$4:$B$200,"@"),0)),"⚠ Not Found"))</f>
        <v/>
      </c>
      <c r="G1034" s="42"/>
      <c r="H1034" s="43"/>
      <c r="I1034" s="43"/>
      <c r="J1034" s="40"/>
    </row>
    <row r="1035" customFormat="false" ht="16.5" hidden="false" customHeight="true" outlineLevel="0" collapsed="false">
      <c r="B1035" s="44" t="str">
        <f aca="false">IF(C1035="","",ROW()-9)</f>
        <v/>
      </c>
      <c r="C1035" s="45"/>
      <c r="D1035" s="46" t="str">
        <f aca="false">IF(C1035="","",IFERROR(TEXT(C1035,"MMMM"),""))</f>
        <v/>
      </c>
      <c r="E1035" s="47"/>
      <c r="F1035" s="48" t="str">
        <f aca="false">IF(E1035="","",IFERROR(INDEX('Chart of Accounts'!$C$4:$C$200,MATCH(TEXT(E1035,"@"),TEXT('Chart of Accounts'!$B$4:$B$200,"@"),0)),"⚠ Not Found"))</f>
        <v/>
      </c>
      <c r="G1035" s="49"/>
      <c r="H1035" s="50"/>
      <c r="I1035" s="50"/>
      <c r="J1035" s="47"/>
    </row>
    <row r="1036" customFormat="false" ht="16.5" hidden="false" customHeight="true" outlineLevel="0" collapsed="false">
      <c r="B1036" s="37" t="str">
        <f aca="false">IF(C1036="","",ROW()-9)</f>
        <v/>
      </c>
      <c r="C1036" s="38"/>
      <c r="D1036" s="39" t="str">
        <f aca="false">IF(C1036="","",IFERROR(TEXT(C1036,"MMMM"),""))</f>
        <v/>
      </c>
      <c r="E1036" s="40"/>
      <c r="F1036" s="41" t="str">
        <f aca="false">IF(E1036="","",IFERROR(INDEX('Chart of Accounts'!$C$4:$C$200,MATCH(TEXT(E1036,"@"),TEXT('Chart of Accounts'!$B$4:$B$200,"@"),0)),"⚠ Not Found"))</f>
        <v/>
      </c>
      <c r="G1036" s="42"/>
      <c r="H1036" s="43"/>
      <c r="I1036" s="43"/>
      <c r="J1036" s="40"/>
    </row>
    <row r="1037" customFormat="false" ht="16.5" hidden="false" customHeight="true" outlineLevel="0" collapsed="false">
      <c r="B1037" s="44" t="str">
        <f aca="false">IF(C1037="","",ROW()-9)</f>
        <v/>
      </c>
      <c r="C1037" s="45"/>
      <c r="D1037" s="46" t="str">
        <f aca="false">IF(C1037="","",IFERROR(TEXT(C1037,"MMMM"),""))</f>
        <v/>
      </c>
      <c r="E1037" s="47"/>
      <c r="F1037" s="48" t="str">
        <f aca="false">IF(E1037="","",IFERROR(INDEX('Chart of Accounts'!$C$4:$C$200,MATCH(TEXT(E1037,"@"),TEXT('Chart of Accounts'!$B$4:$B$200,"@"),0)),"⚠ Not Found"))</f>
        <v/>
      </c>
      <c r="G1037" s="49"/>
      <c r="H1037" s="50"/>
      <c r="I1037" s="50"/>
      <c r="J1037" s="47"/>
    </row>
    <row r="1038" customFormat="false" ht="16.5" hidden="false" customHeight="true" outlineLevel="0" collapsed="false">
      <c r="B1038" s="37" t="str">
        <f aca="false">IF(C1038="","",ROW()-9)</f>
        <v/>
      </c>
      <c r="C1038" s="38"/>
      <c r="D1038" s="39" t="str">
        <f aca="false">IF(C1038="","",IFERROR(TEXT(C1038,"MMMM"),""))</f>
        <v/>
      </c>
      <c r="E1038" s="40"/>
      <c r="F1038" s="41" t="str">
        <f aca="false">IF(E1038="","",IFERROR(INDEX('Chart of Accounts'!$C$4:$C$200,MATCH(TEXT(E1038,"@"),TEXT('Chart of Accounts'!$B$4:$B$200,"@"),0)),"⚠ Not Found"))</f>
        <v/>
      </c>
      <c r="G1038" s="42"/>
      <c r="H1038" s="43"/>
      <c r="I1038" s="43"/>
      <c r="J1038" s="40"/>
    </row>
    <row r="1039" customFormat="false" ht="16.5" hidden="false" customHeight="true" outlineLevel="0" collapsed="false">
      <c r="B1039" s="44" t="str">
        <f aca="false">IF(C1039="","",ROW()-9)</f>
        <v/>
      </c>
      <c r="C1039" s="45"/>
      <c r="D1039" s="46" t="str">
        <f aca="false">IF(C1039="","",IFERROR(TEXT(C1039,"MMMM"),""))</f>
        <v/>
      </c>
      <c r="E1039" s="47"/>
      <c r="F1039" s="48" t="str">
        <f aca="false">IF(E1039="","",IFERROR(INDEX('Chart of Accounts'!$C$4:$C$200,MATCH(TEXT(E1039,"@"),TEXT('Chart of Accounts'!$B$4:$B$200,"@"),0)),"⚠ Not Found"))</f>
        <v/>
      </c>
      <c r="G1039" s="49"/>
      <c r="H1039" s="50"/>
      <c r="I1039" s="50"/>
      <c r="J1039" s="47"/>
    </row>
    <row r="1040" customFormat="false" ht="16.5" hidden="false" customHeight="true" outlineLevel="0" collapsed="false">
      <c r="B1040" s="37" t="str">
        <f aca="false">IF(C1040="","",ROW()-9)</f>
        <v/>
      </c>
      <c r="C1040" s="38"/>
      <c r="D1040" s="39" t="str">
        <f aca="false">IF(C1040="","",IFERROR(TEXT(C1040,"MMMM"),""))</f>
        <v/>
      </c>
      <c r="E1040" s="40"/>
      <c r="F1040" s="41" t="str">
        <f aca="false">IF(E1040="","",IFERROR(INDEX('Chart of Accounts'!$C$4:$C$200,MATCH(TEXT(E1040,"@"),TEXT('Chart of Accounts'!$B$4:$B$200,"@"),0)),"⚠ Not Found"))</f>
        <v/>
      </c>
      <c r="G1040" s="42"/>
      <c r="H1040" s="43"/>
      <c r="I1040" s="43"/>
      <c r="J1040" s="40"/>
    </row>
    <row r="1041" customFormat="false" ht="16.5" hidden="false" customHeight="true" outlineLevel="0" collapsed="false">
      <c r="B1041" s="44" t="str">
        <f aca="false">IF(C1041="","",ROW()-9)</f>
        <v/>
      </c>
      <c r="C1041" s="45"/>
      <c r="D1041" s="46" t="str">
        <f aca="false">IF(C1041="","",IFERROR(TEXT(C1041,"MMMM"),""))</f>
        <v/>
      </c>
      <c r="E1041" s="47"/>
      <c r="F1041" s="48" t="str">
        <f aca="false">IF(E1041="","",IFERROR(INDEX('Chart of Accounts'!$C$4:$C$200,MATCH(TEXT(E1041,"@"),TEXT('Chart of Accounts'!$B$4:$B$200,"@"),0)),"⚠ Not Found"))</f>
        <v/>
      </c>
      <c r="G1041" s="49"/>
      <c r="H1041" s="50"/>
      <c r="I1041" s="50"/>
      <c r="J1041" s="47"/>
    </row>
    <row r="1042" customFormat="false" ht="16.5" hidden="false" customHeight="true" outlineLevel="0" collapsed="false">
      <c r="B1042" s="37" t="str">
        <f aca="false">IF(C1042="","",ROW()-9)</f>
        <v/>
      </c>
      <c r="C1042" s="38"/>
      <c r="D1042" s="39" t="str">
        <f aca="false">IF(C1042="","",IFERROR(TEXT(C1042,"MMMM"),""))</f>
        <v/>
      </c>
      <c r="E1042" s="40"/>
      <c r="F1042" s="41" t="str">
        <f aca="false">IF(E1042="","",IFERROR(INDEX('Chart of Accounts'!$C$4:$C$200,MATCH(TEXT(E1042,"@"),TEXT('Chart of Accounts'!$B$4:$B$200,"@"),0)),"⚠ Not Found"))</f>
        <v/>
      </c>
      <c r="G1042" s="42"/>
      <c r="H1042" s="43"/>
      <c r="I1042" s="43"/>
      <c r="J1042" s="40"/>
    </row>
    <row r="1043" customFormat="false" ht="16.5" hidden="false" customHeight="true" outlineLevel="0" collapsed="false">
      <c r="B1043" s="44" t="str">
        <f aca="false">IF(C1043="","",ROW()-9)</f>
        <v/>
      </c>
      <c r="C1043" s="45"/>
      <c r="D1043" s="46" t="str">
        <f aca="false">IF(C1043="","",IFERROR(TEXT(C1043,"MMMM"),""))</f>
        <v/>
      </c>
      <c r="E1043" s="47"/>
      <c r="F1043" s="48" t="str">
        <f aca="false">IF(E1043="","",IFERROR(INDEX('Chart of Accounts'!$C$4:$C$200,MATCH(TEXT(E1043,"@"),TEXT('Chart of Accounts'!$B$4:$B$200,"@"),0)),"⚠ Not Found"))</f>
        <v/>
      </c>
      <c r="G1043" s="49"/>
      <c r="H1043" s="50"/>
      <c r="I1043" s="50"/>
      <c r="J1043" s="47"/>
    </row>
    <row r="1044" customFormat="false" ht="16.5" hidden="false" customHeight="true" outlineLevel="0" collapsed="false">
      <c r="B1044" s="37" t="str">
        <f aca="false">IF(C1044="","",ROW()-9)</f>
        <v/>
      </c>
      <c r="C1044" s="38"/>
      <c r="D1044" s="39" t="str">
        <f aca="false">IF(C1044="","",IFERROR(TEXT(C1044,"MMMM"),""))</f>
        <v/>
      </c>
      <c r="E1044" s="40"/>
      <c r="F1044" s="41" t="str">
        <f aca="false">IF(E1044="","",IFERROR(INDEX('Chart of Accounts'!$C$4:$C$200,MATCH(TEXT(E1044,"@"),TEXT('Chart of Accounts'!$B$4:$B$200,"@"),0)),"⚠ Not Found"))</f>
        <v/>
      </c>
      <c r="G1044" s="42"/>
      <c r="H1044" s="43"/>
      <c r="I1044" s="43"/>
      <c r="J1044" s="40"/>
    </row>
    <row r="1045" customFormat="false" ht="16.5" hidden="false" customHeight="true" outlineLevel="0" collapsed="false">
      <c r="B1045" s="44" t="str">
        <f aca="false">IF(C1045="","",ROW()-9)</f>
        <v/>
      </c>
      <c r="C1045" s="45"/>
      <c r="D1045" s="46" t="str">
        <f aca="false">IF(C1045="","",IFERROR(TEXT(C1045,"MMMM"),""))</f>
        <v/>
      </c>
      <c r="E1045" s="47"/>
      <c r="F1045" s="48" t="str">
        <f aca="false">IF(E1045="","",IFERROR(INDEX('Chart of Accounts'!$C$4:$C$200,MATCH(TEXT(E1045,"@"),TEXT('Chart of Accounts'!$B$4:$B$200,"@"),0)),"⚠ Not Found"))</f>
        <v/>
      </c>
      <c r="G1045" s="49"/>
      <c r="H1045" s="50"/>
      <c r="I1045" s="50"/>
      <c r="J1045" s="47"/>
    </row>
    <row r="1046" customFormat="false" ht="16.5" hidden="false" customHeight="true" outlineLevel="0" collapsed="false">
      <c r="B1046" s="37" t="str">
        <f aca="false">IF(C1046="","",ROW()-9)</f>
        <v/>
      </c>
      <c r="C1046" s="38"/>
      <c r="D1046" s="39" t="str">
        <f aca="false">IF(C1046="","",IFERROR(TEXT(C1046,"MMMM"),""))</f>
        <v/>
      </c>
      <c r="E1046" s="40"/>
      <c r="F1046" s="41" t="str">
        <f aca="false">IF(E1046="","",IFERROR(INDEX('Chart of Accounts'!$C$4:$C$200,MATCH(TEXT(E1046,"@"),TEXT('Chart of Accounts'!$B$4:$B$200,"@"),0)),"⚠ Not Found"))</f>
        <v/>
      </c>
      <c r="G1046" s="42"/>
      <c r="H1046" s="43"/>
      <c r="I1046" s="43"/>
      <c r="J1046" s="40"/>
    </row>
    <row r="1047" customFormat="false" ht="16.5" hidden="false" customHeight="true" outlineLevel="0" collapsed="false">
      <c r="B1047" s="44" t="str">
        <f aca="false">IF(C1047="","",ROW()-9)</f>
        <v/>
      </c>
      <c r="C1047" s="45"/>
      <c r="D1047" s="46" t="str">
        <f aca="false">IF(C1047="","",IFERROR(TEXT(C1047,"MMMM"),""))</f>
        <v/>
      </c>
      <c r="E1047" s="47"/>
      <c r="F1047" s="48" t="str">
        <f aca="false">IF(E1047="","",IFERROR(INDEX('Chart of Accounts'!$C$4:$C$200,MATCH(TEXT(E1047,"@"),TEXT('Chart of Accounts'!$B$4:$B$200,"@"),0)),"⚠ Not Found"))</f>
        <v/>
      </c>
      <c r="G1047" s="49"/>
      <c r="H1047" s="50"/>
      <c r="I1047" s="50"/>
      <c r="J1047" s="47"/>
    </row>
    <row r="1048" customFormat="false" ht="16.5" hidden="false" customHeight="true" outlineLevel="0" collapsed="false">
      <c r="B1048" s="37" t="str">
        <f aca="false">IF(C1048="","",ROW()-9)</f>
        <v/>
      </c>
      <c r="C1048" s="38"/>
      <c r="D1048" s="39" t="str">
        <f aca="false">IF(C1048="","",IFERROR(TEXT(C1048,"MMMM"),""))</f>
        <v/>
      </c>
      <c r="E1048" s="40"/>
      <c r="F1048" s="41" t="str">
        <f aca="false">IF(E1048="","",IFERROR(INDEX('Chart of Accounts'!$C$4:$C$200,MATCH(TEXT(E1048,"@"),TEXT('Chart of Accounts'!$B$4:$B$200,"@"),0)),"⚠ Not Found"))</f>
        <v/>
      </c>
      <c r="G1048" s="42"/>
      <c r="H1048" s="43"/>
      <c r="I1048" s="43"/>
      <c r="J1048" s="40"/>
    </row>
    <row r="1049" customFormat="false" ht="16.5" hidden="false" customHeight="true" outlineLevel="0" collapsed="false">
      <c r="B1049" s="44" t="str">
        <f aca="false">IF(C1049="","",ROW()-9)</f>
        <v/>
      </c>
      <c r="C1049" s="45"/>
      <c r="D1049" s="46" t="str">
        <f aca="false">IF(C1049="","",IFERROR(TEXT(C1049,"MMMM"),""))</f>
        <v/>
      </c>
      <c r="E1049" s="47"/>
      <c r="F1049" s="48" t="str">
        <f aca="false">IF(E1049="","",IFERROR(INDEX('Chart of Accounts'!$C$4:$C$200,MATCH(TEXT(E1049,"@"),TEXT('Chart of Accounts'!$B$4:$B$200,"@"),0)),"⚠ Not Found"))</f>
        <v/>
      </c>
      <c r="G1049" s="49"/>
      <c r="H1049" s="50"/>
      <c r="I1049" s="50"/>
      <c r="J1049" s="47"/>
    </row>
    <row r="1050" customFormat="false" ht="16.5" hidden="false" customHeight="true" outlineLevel="0" collapsed="false">
      <c r="B1050" s="37" t="str">
        <f aca="false">IF(C1050="","",ROW()-9)</f>
        <v/>
      </c>
      <c r="C1050" s="38"/>
      <c r="D1050" s="39" t="str">
        <f aca="false">IF(C1050="","",IFERROR(TEXT(C1050,"MMMM"),""))</f>
        <v/>
      </c>
      <c r="E1050" s="40"/>
      <c r="F1050" s="41" t="str">
        <f aca="false">IF(E1050="","",IFERROR(INDEX('Chart of Accounts'!$C$4:$C$200,MATCH(TEXT(E1050,"@"),TEXT('Chart of Accounts'!$B$4:$B$200,"@"),0)),"⚠ Not Found"))</f>
        <v/>
      </c>
      <c r="G1050" s="42"/>
      <c r="H1050" s="43"/>
      <c r="I1050" s="43"/>
      <c r="J1050" s="40"/>
    </row>
    <row r="1051" customFormat="false" ht="16.5" hidden="false" customHeight="true" outlineLevel="0" collapsed="false">
      <c r="B1051" s="44" t="str">
        <f aca="false">IF(C1051="","",ROW()-9)</f>
        <v/>
      </c>
      <c r="C1051" s="45"/>
      <c r="D1051" s="46" t="str">
        <f aca="false">IF(C1051="","",IFERROR(TEXT(C1051,"MMMM"),""))</f>
        <v/>
      </c>
      <c r="E1051" s="47"/>
      <c r="F1051" s="48" t="str">
        <f aca="false">IF(E1051="","",IFERROR(INDEX('Chart of Accounts'!$C$4:$C$200,MATCH(TEXT(E1051,"@"),TEXT('Chart of Accounts'!$B$4:$B$200,"@"),0)),"⚠ Not Found"))</f>
        <v/>
      </c>
      <c r="G1051" s="49"/>
      <c r="H1051" s="50"/>
      <c r="I1051" s="50"/>
      <c r="J1051" s="47"/>
    </row>
    <row r="1052" customFormat="false" ht="16.5" hidden="false" customHeight="true" outlineLevel="0" collapsed="false">
      <c r="B1052" s="37" t="str">
        <f aca="false">IF(C1052="","",ROW()-9)</f>
        <v/>
      </c>
      <c r="C1052" s="38"/>
      <c r="D1052" s="39" t="str">
        <f aca="false">IF(C1052="","",IFERROR(TEXT(C1052,"MMMM"),""))</f>
        <v/>
      </c>
      <c r="E1052" s="40"/>
      <c r="F1052" s="41" t="str">
        <f aca="false">IF(E1052="","",IFERROR(INDEX('Chart of Accounts'!$C$4:$C$200,MATCH(TEXT(E1052,"@"),TEXT('Chart of Accounts'!$B$4:$B$200,"@"),0)),"⚠ Not Found"))</f>
        <v/>
      </c>
      <c r="G1052" s="42"/>
      <c r="H1052" s="43"/>
      <c r="I1052" s="43"/>
      <c r="J1052" s="40"/>
    </row>
    <row r="1053" customFormat="false" ht="16.5" hidden="false" customHeight="true" outlineLevel="0" collapsed="false">
      <c r="B1053" s="44" t="str">
        <f aca="false">IF(C1053="","",ROW()-9)</f>
        <v/>
      </c>
      <c r="C1053" s="45"/>
      <c r="D1053" s="46" t="str">
        <f aca="false">IF(C1053="","",IFERROR(TEXT(C1053,"MMMM"),""))</f>
        <v/>
      </c>
      <c r="E1053" s="47"/>
      <c r="F1053" s="48" t="str">
        <f aca="false">IF(E1053="","",IFERROR(INDEX('Chart of Accounts'!$C$4:$C$200,MATCH(TEXT(E1053,"@"),TEXT('Chart of Accounts'!$B$4:$B$200,"@"),0)),"⚠ Not Found"))</f>
        <v/>
      </c>
      <c r="G1053" s="49"/>
      <c r="H1053" s="50"/>
      <c r="I1053" s="50"/>
      <c r="J1053" s="47"/>
    </row>
    <row r="1054" customFormat="false" ht="16.5" hidden="false" customHeight="true" outlineLevel="0" collapsed="false">
      <c r="B1054" s="37" t="str">
        <f aca="false">IF(C1054="","",ROW()-9)</f>
        <v/>
      </c>
      <c r="C1054" s="38"/>
      <c r="D1054" s="39" t="str">
        <f aca="false">IF(C1054="","",IFERROR(TEXT(C1054,"MMMM"),""))</f>
        <v/>
      </c>
      <c r="E1054" s="40"/>
      <c r="F1054" s="41" t="str">
        <f aca="false">IF(E1054="","",IFERROR(INDEX('Chart of Accounts'!$C$4:$C$200,MATCH(TEXT(E1054,"@"),TEXT('Chart of Accounts'!$B$4:$B$200,"@"),0)),"⚠ Not Found"))</f>
        <v/>
      </c>
      <c r="G1054" s="42"/>
      <c r="H1054" s="43"/>
      <c r="I1054" s="43"/>
      <c r="J1054" s="40"/>
    </row>
    <row r="1055" customFormat="false" ht="16.5" hidden="false" customHeight="true" outlineLevel="0" collapsed="false">
      <c r="B1055" s="44" t="str">
        <f aca="false">IF(C1055="","",ROW()-9)</f>
        <v/>
      </c>
      <c r="C1055" s="45"/>
      <c r="D1055" s="46" t="str">
        <f aca="false">IF(C1055="","",IFERROR(TEXT(C1055,"MMMM"),""))</f>
        <v/>
      </c>
      <c r="E1055" s="47"/>
      <c r="F1055" s="48" t="str">
        <f aca="false">IF(E1055="","",IFERROR(INDEX('Chart of Accounts'!$C$4:$C$200,MATCH(TEXT(E1055,"@"),TEXT('Chart of Accounts'!$B$4:$B$200,"@"),0)),"⚠ Not Found"))</f>
        <v/>
      </c>
      <c r="G1055" s="49"/>
      <c r="H1055" s="50"/>
      <c r="I1055" s="50"/>
      <c r="J1055" s="47"/>
    </row>
    <row r="1056" customFormat="false" ht="16.5" hidden="false" customHeight="true" outlineLevel="0" collapsed="false">
      <c r="B1056" s="37" t="str">
        <f aca="false">IF(C1056="","",ROW()-9)</f>
        <v/>
      </c>
      <c r="C1056" s="38"/>
      <c r="D1056" s="39" t="str">
        <f aca="false">IF(C1056="","",IFERROR(TEXT(C1056,"MMMM"),""))</f>
        <v/>
      </c>
      <c r="E1056" s="40"/>
      <c r="F1056" s="41" t="str">
        <f aca="false">IF(E1056="","",IFERROR(INDEX('Chart of Accounts'!$C$4:$C$200,MATCH(TEXT(E1056,"@"),TEXT('Chart of Accounts'!$B$4:$B$200,"@"),0)),"⚠ Not Found"))</f>
        <v/>
      </c>
      <c r="G1056" s="42"/>
      <c r="H1056" s="43"/>
      <c r="I1056" s="43"/>
      <c r="J1056" s="40"/>
    </row>
    <row r="1057" customFormat="false" ht="16.5" hidden="false" customHeight="true" outlineLevel="0" collapsed="false">
      <c r="B1057" s="44" t="str">
        <f aca="false">IF(C1057="","",ROW()-9)</f>
        <v/>
      </c>
      <c r="C1057" s="45"/>
      <c r="D1057" s="46" t="str">
        <f aca="false">IF(C1057="","",IFERROR(TEXT(C1057,"MMMM"),""))</f>
        <v/>
      </c>
      <c r="E1057" s="47"/>
      <c r="F1057" s="48" t="str">
        <f aca="false">IF(E1057="","",IFERROR(INDEX('Chart of Accounts'!$C$4:$C$200,MATCH(TEXT(E1057,"@"),TEXT('Chart of Accounts'!$B$4:$B$200,"@"),0)),"⚠ Not Found"))</f>
        <v/>
      </c>
      <c r="G1057" s="49"/>
      <c r="H1057" s="50"/>
      <c r="I1057" s="50"/>
      <c r="J1057" s="47"/>
    </row>
    <row r="1058" customFormat="false" ht="16.5" hidden="false" customHeight="true" outlineLevel="0" collapsed="false">
      <c r="B1058" s="37" t="str">
        <f aca="false">IF(C1058="","",ROW()-9)</f>
        <v/>
      </c>
      <c r="C1058" s="38"/>
      <c r="D1058" s="39" t="str">
        <f aca="false">IF(C1058="","",IFERROR(TEXT(C1058,"MMMM"),""))</f>
        <v/>
      </c>
      <c r="E1058" s="40"/>
      <c r="F1058" s="41" t="str">
        <f aca="false">IF(E1058="","",IFERROR(INDEX('Chart of Accounts'!$C$4:$C$200,MATCH(TEXT(E1058,"@"),TEXT('Chart of Accounts'!$B$4:$B$200,"@"),0)),"⚠ Not Found"))</f>
        <v/>
      </c>
      <c r="G1058" s="42"/>
      <c r="H1058" s="43"/>
      <c r="I1058" s="43"/>
      <c r="J1058" s="40"/>
    </row>
    <row r="1059" customFormat="false" ht="16.5" hidden="false" customHeight="true" outlineLevel="0" collapsed="false">
      <c r="B1059" s="44" t="str">
        <f aca="false">IF(C1059="","",ROW()-9)</f>
        <v/>
      </c>
      <c r="C1059" s="45"/>
      <c r="D1059" s="46" t="str">
        <f aca="false">IF(C1059="","",IFERROR(TEXT(C1059,"MMMM"),""))</f>
        <v/>
      </c>
      <c r="E1059" s="47"/>
      <c r="F1059" s="48" t="str">
        <f aca="false">IF(E1059="","",IFERROR(INDEX('Chart of Accounts'!$C$4:$C$200,MATCH(TEXT(E1059,"@"),TEXT('Chart of Accounts'!$B$4:$B$200,"@"),0)),"⚠ Not Found"))</f>
        <v/>
      </c>
      <c r="G1059" s="49"/>
      <c r="H1059" s="50"/>
      <c r="I1059" s="50"/>
      <c r="J1059" s="47"/>
    </row>
    <row r="1060" customFormat="false" ht="16.5" hidden="false" customHeight="true" outlineLevel="0" collapsed="false">
      <c r="B1060" s="37" t="str">
        <f aca="false">IF(C1060="","",ROW()-9)</f>
        <v/>
      </c>
      <c r="C1060" s="38"/>
      <c r="D1060" s="39" t="str">
        <f aca="false">IF(C1060="","",IFERROR(TEXT(C1060,"MMMM"),""))</f>
        <v/>
      </c>
      <c r="E1060" s="40"/>
      <c r="F1060" s="41" t="str">
        <f aca="false">IF(E1060="","",IFERROR(INDEX('Chart of Accounts'!$C$4:$C$200,MATCH(TEXT(E1060,"@"),TEXT('Chart of Accounts'!$B$4:$B$200,"@"),0)),"⚠ Not Found"))</f>
        <v/>
      </c>
      <c r="G1060" s="42"/>
      <c r="H1060" s="43"/>
      <c r="I1060" s="43"/>
      <c r="J1060" s="40"/>
    </row>
    <row r="1061" customFormat="false" ht="16.5" hidden="false" customHeight="true" outlineLevel="0" collapsed="false">
      <c r="B1061" s="44" t="str">
        <f aca="false">IF(C1061="","",ROW()-9)</f>
        <v/>
      </c>
      <c r="C1061" s="45"/>
      <c r="D1061" s="46" t="str">
        <f aca="false">IF(C1061="","",IFERROR(TEXT(C1061,"MMMM"),""))</f>
        <v/>
      </c>
      <c r="E1061" s="47"/>
      <c r="F1061" s="48" t="str">
        <f aca="false">IF(E1061="","",IFERROR(INDEX('Chart of Accounts'!$C$4:$C$200,MATCH(TEXT(E1061,"@"),TEXT('Chart of Accounts'!$B$4:$B$200,"@"),0)),"⚠ Not Found"))</f>
        <v/>
      </c>
      <c r="G1061" s="49"/>
      <c r="H1061" s="50"/>
      <c r="I1061" s="50"/>
      <c r="J1061" s="47"/>
    </row>
    <row r="1062" customFormat="false" ht="16.5" hidden="false" customHeight="true" outlineLevel="0" collapsed="false">
      <c r="B1062" s="37" t="str">
        <f aca="false">IF(C1062="","",ROW()-9)</f>
        <v/>
      </c>
      <c r="C1062" s="38"/>
      <c r="D1062" s="39" t="str">
        <f aca="false">IF(C1062="","",IFERROR(TEXT(C1062,"MMMM"),""))</f>
        <v/>
      </c>
      <c r="E1062" s="40"/>
      <c r="F1062" s="41" t="str">
        <f aca="false">IF(E1062="","",IFERROR(INDEX('Chart of Accounts'!$C$4:$C$200,MATCH(TEXT(E1062,"@"),TEXT('Chart of Accounts'!$B$4:$B$200,"@"),0)),"⚠ Not Found"))</f>
        <v/>
      </c>
      <c r="G1062" s="42"/>
      <c r="H1062" s="43"/>
      <c r="I1062" s="43"/>
      <c r="J1062" s="40"/>
    </row>
    <row r="1063" customFormat="false" ht="16.5" hidden="false" customHeight="true" outlineLevel="0" collapsed="false">
      <c r="B1063" s="44" t="str">
        <f aca="false">IF(C1063="","",ROW()-9)</f>
        <v/>
      </c>
      <c r="C1063" s="45"/>
      <c r="D1063" s="46" t="str">
        <f aca="false">IF(C1063="","",IFERROR(TEXT(C1063,"MMMM"),""))</f>
        <v/>
      </c>
      <c r="E1063" s="47"/>
      <c r="F1063" s="48" t="str">
        <f aca="false">IF(E1063="","",IFERROR(INDEX('Chart of Accounts'!$C$4:$C$200,MATCH(TEXT(E1063,"@"),TEXT('Chart of Accounts'!$B$4:$B$200,"@"),0)),"⚠ Not Found"))</f>
        <v/>
      </c>
      <c r="G1063" s="49"/>
      <c r="H1063" s="50"/>
      <c r="I1063" s="50"/>
      <c r="J1063" s="47"/>
    </row>
    <row r="1064" customFormat="false" ht="16.5" hidden="false" customHeight="true" outlineLevel="0" collapsed="false">
      <c r="B1064" s="37" t="str">
        <f aca="false">IF(C1064="","",ROW()-9)</f>
        <v/>
      </c>
      <c r="C1064" s="38"/>
      <c r="D1064" s="39" t="str">
        <f aca="false">IF(C1064="","",IFERROR(TEXT(C1064,"MMMM"),""))</f>
        <v/>
      </c>
      <c r="E1064" s="40"/>
      <c r="F1064" s="41" t="str">
        <f aca="false">IF(E1064="","",IFERROR(INDEX('Chart of Accounts'!$C$4:$C$200,MATCH(TEXT(E1064,"@"),TEXT('Chart of Accounts'!$B$4:$B$200,"@"),0)),"⚠ Not Found"))</f>
        <v/>
      </c>
      <c r="G1064" s="42"/>
      <c r="H1064" s="43"/>
      <c r="I1064" s="43"/>
      <c r="J1064" s="40"/>
    </row>
    <row r="1065" customFormat="false" ht="16.5" hidden="false" customHeight="true" outlineLevel="0" collapsed="false">
      <c r="B1065" s="44" t="str">
        <f aca="false">IF(C1065="","",ROW()-9)</f>
        <v/>
      </c>
      <c r="C1065" s="45"/>
      <c r="D1065" s="46" t="str">
        <f aca="false">IF(C1065="","",IFERROR(TEXT(C1065,"MMMM"),""))</f>
        <v/>
      </c>
      <c r="E1065" s="47"/>
      <c r="F1065" s="48" t="str">
        <f aca="false">IF(E1065="","",IFERROR(INDEX('Chart of Accounts'!$C$4:$C$200,MATCH(TEXT(E1065,"@"),TEXT('Chart of Accounts'!$B$4:$B$200,"@"),0)),"⚠ Not Found"))</f>
        <v/>
      </c>
      <c r="G1065" s="49"/>
      <c r="H1065" s="50"/>
      <c r="I1065" s="50"/>
      <c r="J1065" s="47"/>
    </row>
    <row r="1066" customFormat="false" ht="16.5" hidden="false" customHeight="true" outlineLevel="0" collapsed="false">
      <c r="B1066" s="37" t="str">
        <f aca="false">IF(C1066="","",ROW()-9)</f>
        <v/>
      </c>
      <c r="C1066" s="38"/>
      <c r="D1066" s="39" t="str">
        <f aca="false">IF(C1066="","",IFERROR(TEXT(C1066,"MMMM"),""))</f>
        <v/>
      </c>
      <c r="E1066" s="40"/>
      <c r="F1066" s="41" t="str">
        <f aca="false">IF(E1066="","",IFERROR(INDEX('Chart of Accounts'!$C$4:$C$200,MATCH(TEXT(E1066,"@"),TEXT('Chart of Accounts'!$B$4:$B$200,"@"),0)),"⚠ Not Found"))</f>
        <v/>
      </c>
      <c r="G1066" s="42"/>
      <c r="H1066" s="43"/>
      <c r="I1066" s="43"/>
      <c r="J1066" s="40"/>
    </row>
    <row r="1067" customFormat="false" ht="16.5" hidden="false" customHeight="true" outlineLevel="0" collapsed="false">
      <c r="B1067" s="44" t="str">
        <f aca="false">IF(C1067="","",ROW()-9)</f>
        <v/>
      </c>
      <c r="C1067" s="45"/>
      <c r="D1067" s="46" t="str">
        <f aca="false">IF(C1067="","",IFERROR(TEXT(C1067,"MMMM"),""))</f>
        <v/>
      </c>
      <c r="E1067" s="47"/>
      <c r="F1067" s="48" t="str">
        <f aca="false">IF(E1067="","",IFERROR(INDEX('Chart of Accounts'!$C$4:$C$200,MATCH(TEXT(E1067,"@"),TEXT('Chart of Accounts'!$B$4:$B$200,"@"),0)),"⚠ Not Found"))</f>
        <v/>
      </c>
      <c r="G1067" s="49"/>
      <c r="H1067" s="50"/>
      <c r="I1067" s="50"/>
      <c r="J1067" s="47"/>
    </row>
    <row r="1068" customFormat="false" ht="16.5" hidden="false" customHeight="true" outlineLevel="0" collapsed="false">
      <c r="B1068" s="37" t="str">
        <f aca="false">IF(C1068="","",ROW()-9)</f>
        <v/>
      </c>
      <c r="C1068" s="38"/>
      <c r="D1068" s="39" t="str">
        <f aca="false">IF(C1068="","",IFERROR(TEXT(C1068,"MMMM"),""))</f>
        <v/>
      </c>
      <c r="E1068" s="40"/>
      <c r="F1068" s="41" t="str">
        <f aca="false">IF(E1068="","",IFERROR(INDEX('Chart of Accounts'!$C$4:$C$200,MATCH(TEXT(E1068,"@"),TEXT('Chart of Accounts'!$B$4:$B$200,"@"),0)),"⚠ Not Found"))</f>
        <v/>
      </c>
      <c r="G1068" s="42"/>
      <c r="H1068" s="43"/>
      <c r="I1068" s="43"/>
      <c r="J1068" s="40"/>
    </row>
    <row r="1069" customFormat="false" ht="16.5" hidden="false" customHeight="true" outlineLevel="0" collapsed="false">
      <c r="B1069" s="44" t="str">
        <f aca="false">IF(C1069="","",ROW()-9)</f>
        <v/>
      </c>
      <c r="C1069" s="45"/>
      <c r="D1069" s="46" t="str">
        <f aca="false">IF(C1069="","",IFERROR(TEXT(C1069,"MMMM"),""))</f>
        <v/>
      </c>
      <c r="E1069" s="47"/>
      <c r="F1069" s="48" t="str">
        <f aca="false">IF(E1069="","",IFERROR(INDEX('Chart of Accounts'!$C$4:$C$200,MATCH(TEXT(E1069,"@"),TEXT('Chart of Accounts'!$B$4:$B$200,"@"),0)),"⚠ Not Found"))</f>
        <v/>
      </c>
      <c r="G1069" s="49"/>
      <c r="H1069" s="50"/>
      <c r="I1069" s="50"/>
      <c r="J1069" s="47"/>
    </row>
    <row r="1070" customFormat="false" ht="16.5" hidden="false" customHeight="true" outlineLevel="0" collapsed="false">
      <c r="B1070" s="37" t="str">
        <f aca="false">IF(C1070="","",ROW()-9)</f>
        <v/>
      </c>
      <c r="C1070" s="38"/>
      <c r="D1070" s="39" t="str">
        <f aca="false">IF(C1070="","",IFERROR(TEXT(C1070,"MMMM"),""))</f>
        <v/>
      </c>
      <c r="E1070" s="40"/>
      <c r="F1070" s="41" t="str">
        <f aca="false">IF(E1070="","",IFERROR(INDEX('Chart of Accounts'!$C$4:$C$200,MATCH(TEXT(E1070,"@"),TEXT('Chart of Accounts'!$B$4:$B$200,"@"),0)),"⚠ Not Found"))</f>
        <v/>
      </c>
      <c r="G1070" s="42"/>
      <c r="H1070" s="43"/>
      <c r="I1070" s="43"/>
      <c r="J1070" s="40"/>
    </row>
    <row r="1071" customFormat="false" ht="16.5" hidden="false" customHeight="true" outlineLevel="0" collapsed="false">
      <c r="B1071" s="44" t="str">
        <f aca="false">IF(C1071="","",ROW()-9)</f>
        <v/>
      </c>
      <c r="C1071" s="45"/>
      <c r="D1071" s="46" t="str">
        <f aca="false">IF(C1071="","",IFERROR(TEXT(C1071,"MMMM"),""))</f>
        <v/>
      </c>
      <c r="E1071" s="47"/>
      <c r="F1071" s="48" t="str">
        <f aca="false">IF(E1071="","",IFERROR(INDEX('Chart of Accounts'!$C$4:$C$200,MATCH(TEXT(E1071,"@"),TEXT('Chart of Accounts'!$B$4:$B$200,"@"),0)),"⚠ Not Found"))</f>
        <v/>
      </c>
      <c r="G1071" s="49"/>
      <c r="H1071" s="50"/>
      <c r="I1071" s="50"/>
      <c r="J1071" s="47"/>
    </row>
    <row r="1072" customFormat="false" ht="16.5" hidden="false" customHeight="true" outlineLevel="0" collapsed="false">
      <c r="B1072" s="37" t="str">
        <f aca="false">IF(C1072="","",ROW()-9)</f>
        <v/>
      </c>
      <c r="C1072" s="38"/>
      <c r="D1072" s="39" t="str">
        <f aca="false">IF(C1072="","",IFERROR(TEXT(C1072,"MMMM"),""))</f>
        <v/>
      </c>
      <c r="E1072" s="40"/>
      <c r="F1072" s="41" t="str">
        <f aca="false">IF(E1072="","",IFERROR(INDEX('Chart of Accounts'!$C$4:$C$200,MATCH(TEXT(E1072,"@"),TEXT('Chart of Accounts'!$B$4:$B$200,"@"),0)),"⚠ Not Found"))</f>
        <v/>
      </c>
      <c r="G1072" s="42"/>
      <c r="H1072" s="43"/>
      <c r="I1072" s="43"/>
      <c r="J1072" s="40"/>
    </row>
    <row r="1073" customFormat="false" ht="16.5" hidden="false" customHeight="true" outlineLevel="0" collapsed="false">
      <c r="B1073" s="44" t="str">
        <f aca="false">IF(C1073="","",ROW()-9)</f>
        <v/>
      </c>
      <c r="C1073" s="45"/>
      <c r="D1073" s="46" t="str">
        <f aca="false">IF(C1073="","",IFERROR(TEXT(C1073,"MMMM"),""))</f>
        <v/>
      </c>
      <c r="E1073" s="47"/>
      <c r="F1073" s="48" t="str">
        <f aca="false">IF(E1073="","",IFERROR(INDEX('Chart of Accounts'!$C$4:$C$200,MATCH(TEXT(E1073,"@"),TEXT('Chart of Accounts'!$B$4:$B$200,"@"),0)),"⚠ Not Found"))</f>
        <v/>
      </c>
      <c r="G1073" s="49"/>
      <c r="H1073" s="50"/>
      <c r="I1073" s="50"/>
      <c r="J1073" s="47"/>
    </row>
    <row r="1074" customFormat="false" ht="16.5" hidden="false" customHeight="true" outlineLevel="0" collapsed="false">
      <c r="B1074" s="37" t="str">
        <f aca="false">IF(C1074="","",ROW()-9)</f>
        <v/>
      </c>
      <c r="C1074" s="38"/>
      <c r="D1074" s="39" t="str">
        <f aca="false">IF(C1074="","",IFERROR(TEXT(C1074,"MMMM"),""))</f>
        <v/>
      </c>
      <c r="E1074" s="40"/>
      <c r="F1074" s="41" t="str">
        <f aca="false">IF(E1074="","",IFERROR(INDEX('Chart of Accounts'!$C$4:$C$200,MATCH(TEXT(E1074,"@"),TEXT('Chart of Accounts'!$B$4:$B$200,"@"),0)),"⚠ Not Found"))</f>
        <v/>
      </c>
      <c r="G1074" s="42"/>
      <c r="H1074" s="43"/>
      <c r="I1074" s="43"/>
      <c r="J1074" s="40"/>
    </row>
    <row r="1075" customFormat="false" ht="16.5" hidden="false" customHeight="true" outlineLevel="0" collapsed="false">
      <c r="B1075" s="44" t="str">
        <f aca="false">IF(C1075="","",ROW()-9)</f>
        <v/>
      </c>
      <c r="C1075" s="45"/>
      <c r="D1075" s="46" t="str">
        <f aca="false">IF(C1075="","",IFERROR(TEXT(C1075,"MMMM"),""))</f>
        <v/>
      </c>
      <c r="E1075" s="47"/>
      <c r="F1075" s="48" t="str">
        <f aca="false">IF(E1075="","",IFERROR(INDEX('Chart of Accounts'!$C$4:$C$200,MATCH(TEXT(E1075,"@"),TEXT('Chart of Accounts'!$B$4:$B$200,"@"),0)),"⚠ Not Found"))</f>
        <v/>
      </c>
      <c r="G1075" s="49"/>
      <c r="H1075" s="50"/>
      <c r="I1075" s="50"/>
      <c r="J1075" s="47"/>
    </row>
    <row r="1076" customFormat="false" ht="16.5" hidden="false" customHeight="true" outlineLevel="0" collapsed="false">
      <c r="B1076" s="37" t="str">
        <f aca="false">IF(C1076="","",ROW()-9)</f>
        <v/>
      </c>
      <c r="C1076" s="38"/>
      <c r="D1076" s="39" t="str">
        <f aca="false">IF(C1076="","",IFERROR(TEXT(C1076,"MMMM"),""))</f>
        <v/>
      </c>
      <c r="E1076" s="40"/>
      <c r="F1076" s="41" t="str">
        <f aca="false">IF(E1076="","",IFERROR(INDEX('Chart of Accounts'!$C$4:$C$200,MATCH(TEXT(E1076,"@"),TEXT('Chart of Accounts'!$B$4:$B$200,"@"),0)),"⚠ Not Found"))</f>
        <v/>
      </c>
      <c r="G1076" s="42"/>
      <c r="H1076" s="43"/>
      <c r="I1076" s="43"/>
      <c r="J1076" s="40"/>
    </row>
    <row r="1077" customFormat="false" ht="16.5" hidden="false" customHeight="true" outlineLevel="0" collapsed="false">
      <c r="B1077" s="44" t="str">
        <f aca="false">IF(C1077="","",ROW()-9)</f>
        <v/>
      </c>
      <c r="C1077" s="45"/>
      <c r="D1077" s="46" t="str">
        <f aca="false">IF(C1077="","",IFERROR(TEXT(C1077,"MMMM"),""))</f>
        <v/>
      </c>
      <c r="E1077" s="47"/>
      <c r="F1077" s="48" t="str">
        <f aca="false">IF(E1077="","",IFERROR(INDEX('Chart of Accounts'!$C$4:$C$200,MATCH(TEXT(E1077,"@"),TEXT('Chart of Accounts'!$B$4:$B$200,"@"),0)),"⚠ Not Found"))</f>
        <v/>
      </c>
      <c r="G1077" s="49"/>
      <c r="H1077" s="50"/>
      <c r="I1077" s="50"/>
      <c r="J1077" s="47"/>
    </row>
    <row r="1078" customFormat="false" ht="16.5" hidden="false" customHeight="true" outlineLevel="0" collapsed="false">
      <c r="B1078" s="37" t="str">
        <f aca="false">IF(C1078="","",ROW()-9)</f>
        <v/>
      </c>
      <c r="C1078" s="38"/>
      <c r="D1078" s="39" t="str">
        <f aca="false">IF(C1078="","",IFERROR(TEXT(C1078,"MMMM"),""))</f>
        <v/>
      </c>
      <c r="E1078" s="40"/>
      <c r="F1078" s="41" t="str">
        <f aca="false">IF(E1078="","",IFERROR(INDEX('Chart of Accounts'!$C$4:$C$200,MATCH(TEXT(E1078,"@"),TEXT('Chart of Accounts'!$B$4:$B$200,"@"),0)),"⚠ Not Found"))</f>
        <v/>
      </c>
      <c r="G1078" s="42"/>
      <c r="H1078" s="43"/>
      <c r="I1078" s="43"/>
      <c r="J1078" s="40"/>
    </row>
    <row r="1079" customFormat="false" ht="16.5" hidden="false" customHeight="true" outlineLevel="0" collapsed="false">
      <c r="B1079" s="44" t="str">
        <f aca="false">IF(C1079="","",ROW()-9)</f>
        <v/>
      </c>
      <c r="C1079" s="45"/>
      <c r="D1079" s="46" t="str">
        <f aca="false">IF(C1079="","",IFERROR(TEXT(C1079,"MMMM"),""))</f>
        <v/>
      </c>
      <c r="E1079" s="47"/>
      <c r="F1079" s="48" t="str">
        <f aca="false">IF(E1079="","",IFERROR(INDEX('Chart of Accounts'!$C$4:$C$200,MATCH(TEXT(E1079,"@"),TEXT('Chart of Accounts'!$B$4:$B$200,"@"),0)),"⚠ Not Found"))</f>
        <v/>
      </c>
      <c r="G1079" s="49"/>
      <c r="H1079" s="50"/>
      <c r="I1079" s="50"/>
      <c r="J1079" s="47"/>
    </row>
    <row r="1080" customFormat="false" ht="16.5" hidden="false" customHeight="true" outlineLevel="0" collapsed="false">
      <c r="B1080" s="37" t="str">
        <f aca="false">IF(C1080="","",ROW()-9)</f>
        <v/>
      </c>
      <c r="C1080" s="38"/>
      <c r="D1080" s="39" t="str">
        <f aca="false">IF(C1080="","",IFERROR(TEXT(C1080,"MMMM"),""))</f>
        <v/>
      </c>
      <c r="E1080" s="40"/>
      <c r="F1080" s="41" t="str">
        <f aca="false">IF(E1080="","",IFERROR(INDEX('Chart of Accounts'!$C$4:$C$200,MATCH(TEXT(E1080,"@"),TEXT('Chart of Accounts'!$B$4:$B$200,"@"),0)),"⚠ Not Found"))</f>
        <v/>
      </c>
      <c r="G1080" s="42"/>
      <c r="H1080" s="43"/>
      <c r="I1080" s="43"/>
      <c r="J1080" s="40"/>
    </row>
    <row r="1081" customFormat="false" ht="16.5" hidden="false" customHeight="true" outlineLevel="0" collapsed="false">
      <c r="B1081" s="44" t="str">
        <f aca="false">IF(C1081="","",ROW()-9)</f>
        <v/>
      </c>
      <c r="C1081" s="45"/>
      <c r="D1081" s="46" t="str">
        <f aca="false">IF(C1081="","",IFERROR(TEXT(C1081,"MMMM"),""))</f>
        <v/>
      </c>
      <c r="E1081" s="47"/>
      <c r="F1081" s="48" t="str">
        <f aca="false">IF(E1081="","",IFERROR(INDEX('Chart of Accounts'!$C$4:$C$200,MATCH(TEXT(E1081,"@"),TEXT('Chart of Accounts'!$B$4:$B$200,"@"),0)),"⚠ Not Found"))</f>
        <v/>
      </c>
      <c r="G1081" s="49"/>
      <c r="H1081" s="50"/>
      <c r="I1081" s="50"/>
      <c r="J1081" s="47"/>
    </row>
    <row r="1082" customFormat="false" ht="16.5" hidden="false" customHeight="true" outlineLevel="0" collapsed="false">
      <c r="B1082" s="37" t="str">
        <f aca="false">IF(C1082="","",ROW()-9)</f>
        <v/>
      </c>
      <c r="C1082" s="38"/>
      <c r="D1082" s="39" t="str">
        <f aca="false">IF(C1082="","",IFERROR(TEXT(C1082,"MMMM"),""))</f>
        <v/>
      </c>
      <c r="E1082" s="40"/>
      <c r="F1082" s="41" t="str">
        <f aca="false">IF(E1082="","",IFERROR(INDEX('Chart of Accounts'!$C$4:$C$200,MATCH(TEXT(E1082,"@"),TEXT('Chart of Accounts'!$B$4:$B$200,"@"),0)),"⚠ Not Found"))</f>
        <v/>
      </c>
      <c r="G1082" s="42"/>
      <c r="H1082" s="43"/>
      <c r="I1082" s="43"/>
      <c r="J1082" s="40"/>
    </row>
    <row r="1083" customFormat="false" ht="16.5" hidden="false" customHeight="true" outlineLevel="0" collapsed="false">
      <c r="B1083" s="44" t="str">
        <f aca="false">IF(C1083="","",ROW()-9)</f>
        <v/>
      </c>
      <c r="C1083" s="45"/>
      <c r="D1083" s="46" t="str">
        <f aca="false">IF(C1083="","",IFERROR(TEXT(C1083,"MMMM"),""))</f>
        <v/>
      </c>
      <c r="E1083" s="47"/>
      <c r="F1083" s="48" t="str">
        <f aca="false">IF(E1083="","",IFERROR(INDEX('Chart of Accounts'!$C$4:$C$200,MATCH(TEXT(E1083,"@"),TEXT('Chart of Accounts'!$B$4:$B$200,"@"),0)),"⚠ Not Found"))</f>
        <v/>
      </c>
      <c r="G1083" s="49"/>
      <c r="H1083" s="50"/>
      <c r="I1083" s="50"/>
      <c r="J1083" s="47"/>
    </row>
    <row r="1084" customFormat="false" ht="16.5" hidden="false" customHeight="true" outlineLevel="0" collapsed="false">
      <c r="B1084" s="37" t="str">
        <f aca="false">IF(C1084="","",ROW()-9)</f>
        <v/>
      </c>
      <c r="C1084" s="38"/>
      <c r="D1084" s="39" t="str">
        <f aca="false">IF(C1084="","",IFERROR(TEXT(C1084,"MMMM"),""))</f>
        <v/>
      </c>
      <c r="E1084" s="40"/>
      <c r="F1084" s="41" t="str">
        <f aca="false">IF(E1084="","",IFERROR(INDEX('Chart of Accounts'!$C$4:$C$200,MATCH(TEXT(E1084,"@"),TEXT('Chart of Accounts'!$B$4:$B$200,"@"),0)),"⚠ Not Found"))</f>
        <v/>
      </c>
      <c r="G1084" s="42"/>
      <c r="H1084" s="43"/>
      <c r="I1084" s="43"/>
      <c r="J1084" s="40"/>
    </row>
    <row r="1085" customFormat="false" ht="16.5" hidden="false" customHeight="true" outlineLevel="0" collapsed="false">
      <c r="B1085" s="44" t="str">
        <f aca="false">IF(C1085="","",ROW()-9)</f>
        <v/>
      </c>
      <c r="C1085" s="45"/>
      <c r="D1085" s="46" t="str">
        <f aca="false">IF(C1085="","",IFERROR(TEXT(C1085,"MMMM"),""))</f>
        <v/>
      </c>
      <c r="E1085" s="47"/>
      <c r="F1085" s="48" t="str">
        <f aca="false">IF(E1085="","",IFERROR(INDEX('Chart of Accounts'!$C$4:$C$200,MATCH(TEXT(E1085,"@"),TEXT('Chart of Accounts'!$B$4:$B$200,"@"),0)),"⚠ Not Found"))</f>
        <v/>
      </c>
      <c r="G1085" s="49"/>
      <c r="H1085" s="50"/>
      <c r="I1085" s="50"/>
      <c r="J1085" s="47"/>
    </row>
    <row r="1086" customFormat="false" ht="16.5" hidden="false" customHeight="true" outlineLevel="0" collapsed="false">
      <c r="B1086" s="37" t="str">
        <f aca="false">IF(C1086="","",ROW()-9)</f>
        <v/>
      </c>
      <c r="C1086" s="38"/>
      <c r="D1086" s="39" t="str">
        <f aca="false">IF(C1086="","",IFERROR(TEXT(C1086,"MMMM"),""))</f>
        <v/>
      </c>
      <c r="E1086" s="40"/>
      <c r="F1086" s="41" t="str">
        <f aca="false">IF(E1086="","",IFERROR(INDEX('Chart of Accounts'!$C$4:$C$200,MATCH(TEXT(E1086,"@"),TEXT('Chart of Accounts'!$B$4:$B$200,"@"),0)),"⚠ Not Found"))</f>
        <v/>
      </c>
      <c r="G1086" s="42"/>
      <c r="H1086" s="43"/>
      <c r="I1086" s="43"/>
      <c r="J1086" s="40"/>
    </row>
    <row r="1087" customFormat="false" ht="16.5" hidden="false" customHeight="true" outlineLevel="0" collapsed="false">
      <c r="B1087" s="44" t="str">
        <f aca="false">IF(C1087="","",ROW()-9)</f>
        <v/>
      </c>
      <c r="C1087" s="45"/>
      <c r="D1087" s="46" t="str">
        <f aca="false">IF(C1087="","",IFERROR(TEXT(C1087,"MMMM"),""))</f>
        <v/>
      </c>
      <c r="E1087" s="47"/>
      <c r="F1087" s="48" t="str">
        <f aca="false">IF(E1087="","",IFERROR(INDEX('Chart of Accounts'!$C$4:$C$200,MATCH(TEXT(E1087,"@"),TEXT('Chart of Accounts'!$B$4:$B$200,"@"),0)),"⚠ Not Found"))</f>
        <v/>
      </c>
      <c r="G1087" s="49"/>
      <c r="H1087" s="50"/>
      <c r="I1087" s="50"/>
      <c r="J1087" s="47"/>
    </row>
    <row r="1088" customFormat="false" ht="16.5" hidden="false" customHeight="true" outlineLevel="0" collapsed="false">
      <c r="B1088" s="37" t="str">
        <f aca="false">IF(C1088="","",ROW()-9)</f>
        <v/>
      </c>
      <c r="C1088" s="38"/>
      <c r="D1088" s="39" t="str">
        <f aca="false">IF(C1088="","",IFERROR(TEXT(C1088,"MMMM"),""))</f>
        <v/>
      </c>
      <c r="E1088" s="40"/>
      <c r="F1088" s="41" t="str">
        <f aca="false">IF(E1088="","",IFERROR(INDEX('Chart of Accounts'!$C$4:$C$200,MATCH(TEXT(E1088,"@"),TEXT('Chart of Accounts'!$B$4:$B$200,"@"),0)),"⚠ Not Found"))</f>
        <v/>
      </c>
      <c r="G1088" s="42"/>
      <c r="H1088" s="43"/>
      <c r="I1088" s="43"/>
      <c r="J1088" s="40"/>
    </row>
    <row r="1089" customFormat="false" ht="16.5" hidden="false" customHeight="true" outlineLevel="0" collapsed="false">
      <c r="B1089" s="44" t="str">
        <f aca="false">IF(C1089="","",ROW()-9)</f>
        <v/>
      </c>
      <c r="C1089" s="45"/>
      <c r="D1089" s="46" t="str">
        <f aca="false">IF(C1089="","",IFERROR(TEXT(C1089,"MMMM"),""))</f>
        <v/>
      </c>
      <c r="E1089" s="47"/>
      <c r="F1089" s="48" t="str">
        <f aca="false">IF(E1089="","",IFERROR(INDEX('Chart of Accounts'!$C$4:$C$200,MATCH(TEXT(E1089,"@"),TEXT('Chart of Accounts'!$B$4:$B$200,"@"),0)),"⚠ Not Found"))</f>
        <v/>
      </c>
      <c r="G1089" s="49"/>
      <c r="H1089" s="50"/>
      <c r="I1089" s="50"/>
      <c r="J1089" s="47"/>
    </row>
    <row r="1090" customFormat="false" ht="16.5" hidden="false" customHeight="true" outlineLevel="0" collapsed="false">
      <c r="B1090" s="37" t="str">
        <f aca="false">IF(C1090="","",ROW()-9)</f>
        <v/>
      </c>
      <c r="C1090" s="38"/>
      <c r="D1090" s="39" t="str">
        <f aca="false">IF(C1090="","",IFERROR(TEXT(C1090,"MMMM"),""))</f>
        <v/>
      </c>
      <c r="E1090" s="40"/>
      <c r="F1090" s="41" t="str">
        <f aca="false">IF(E1090="","",IFERROR(INDEX('Chart of Accounts'!$C$4:$C$200,MATCH(TEXT(E1090,"@"),TEXT('Chart of Accounts'!$B$4:$B$200,"@"),0)),"⚠ Not Found"))</f>
        <v/>
      </c>
      <c r="G1090" s="42"/>
      <c r="H1090" s="43"/>
      <c r="I1090" s="43"/>
      <c r="J1090" s="40"/>
    </row>
    <row r="1091" customFormat="false" ht="16.5" hidden="false" customHeight="true" outlineLevel="0" collapsed="false">
      <c r="B1091" s="44" t="str">
        <f aca="false">IF(C1091="","",ROW()-9)</f>
        <v/>
      </c>
      <c r="C1091" s="45"/>
      <c r="D1091" s="46" t="str">
        <f aca="false">IF(C1091="","",IFERROR(TEXT(C1091,"MMMM"),""))</f>
        <v/>
      </c>
      <c r="E1091" s="47"/>
      <c r="F1091" s="48" t="str">
        <f aca="false">IF(E1091="","",IFERROR(INDEX('Chart of Accounts'!$C$4:$C$200,MATCH(TEXT(E1091,"@"),TEXT('Chart of Accounts'!$B$4:$B$200,"@"),0)),"⚠ Not Found"))</f>
        <v/>
      </c>
      <c r="G1091" s="49"/>
      <c r="H1091" s="50"/>
      <c r="I1091" s="50"/>
      <c r="J1091" s="47"/>
    </row>
    <row r="1092" customFormat="false" ht="16.5" hidden="false" customHeight="true" outlineLevel="0" collapsed="false">
      <c r="B1092" s="37" t="str">
        <f aca="false">IF(C1092="","",ROW()-9)</f>
        <v/>
      </c>
      <c r="C1092" s="38"/>
      <c r="D1092" s="39" t="str">
        <f aca="false">IF(C1092="","",IFERROR(TEXT(C1092,"MMMM"),""))</f>
        <v/>
      </c>
      <c r="E1092" s="40"/>
      <c r="F1092" s="41" t="str">
        <f aca="false">IF(E1092="","",IFERROR(INDEX('Chart of Accounts'!$C$4:$C$200,MATCH(TEXT(E1092,"@"),TEXT('Chart of Accounts'!$B$4:$B$200,"@"),0)),"⚠ Not Found"))</f>
        <v/>
      </c>
      <c r="G1092" s="42"/>
      <c r="H1092" s="43"/>
      <c r="I1092" s="43"/>
      <c r="J1092" s="40"/>
    </row>
    <row r="1093" customFormat="false" ht="16.5" hidden="false" customHeight="true" outlineLevel="0" collapsed="false">
      <c r="B1093" s="44" t="str">
        <f aca="false">IF(C1093="","",ROW()-9)</f>
        <v/>
      </c>
      <c r="C1093" s="45"/>
      <c r="D1093" s="46" t="str">
        <f aca="false">IF(C1093="","",IFERROR(TEXT(C1093,"MMMM"),""))</f>
        <v/>
      </c>
      <c r="E1093" s="47"/>
      <c r="F1093" s="48" t="str">
        <f aca="false">IF(E1093="","",IFERROR(INDEX('Chart of Accounts'!$C$4:$C$200,MATCH(TEXT(E1093,"@"),TEXT('Chart of Accounts'!$B$4:$B$200,"@"),0)),"⚠ Not Found"))</f>
        <v/>
      </c>
      <c r="G1093" s="49"/>
      <c r="H1093" s="50"/>
      <c r="I1093" s="50"/>
      <c r="J1093" s="47"/>
    </row>
    <row r="1094" customFormat="false" ht="16.5" hidden="false" customHeight="true" outlineLevel="0" collapsed="false">
      <c r="B1094" s="37" t="str">
        <f aca="false">IF(C1094="","",ROW()-9)</f>
        <v/>
      </c>
      <c r="C1094" s="38"/>
      <c r="D1094" s="39" t="str">
        <f aca="false">IF(C1094="","",IFERROR(TEXT(C1094,"MMMM"),""))</f>
        <v/>
      </c>
      <c r="E1094" s="40"/>
      <c r="F1094" s="41" t="str">
        <f aca="false">IF(E1094="","",IFERROR(INDEX('Chart of Accounts'!$C$4:$C$200,MATCH(TEXT(E1094,"@"),TEXT('Chart of Accounts'!$B$4:$B$200,"@"),0)),"⚠ Not Found"))</f>
        <v/>
      </c>
      <c r="G1094" s="42"/>
      <c r="H1094" s="43"/>
      <c r="I1094" s="43"/>
      <c r="J1094" s="40"/>
    </row>
    <row r="1095" customFormat="false" ht="16.5" hidden="false" customHeight="true" outlineLevel="0" collapsed="false">
      <c r="B1095" s="44" t="str">
        <f aca="false">IF(C1095="","",ROW()-9)</f>
        <v/>
      </c>
      <c r="C1095" s="45"/>
      <c r="D1095" s="46" t="str">
        <f aca="false">IF(C1095="","",IFERROR(TEXT(C1095,"MMMM"),""))</f>
        <v/>
      </c>
      <c r="E1095" s="47"/>
      <c r="F1095" s="48" t="str">
        <f aca="false">IF(E1095="","",IFERROR(INDEX('Chart of Accounts'!$C$4:$C$200,MATCH(TEXT(E1095,"@"),TEXT('Chart of Accounts'!$B$4:$B$200,"@"),0)),"⚠ Not Found"))</f>
        <v/>
      </c>
      <c r="G1095" s="49"/>
      <c r="H1095" s="50"/>
      <c r="I1095" s="50"/>
      <c r="J1095" s="47"/>
    </row>
    <row r="1096" customFormat="false" ht="16.5" hidden="false" customHeight="true" outlineLevel="0" collapsed="false">
      <c r="B1096" s="37" t="str">
        <f aca="false">IF(C1096="","",ROW()-9)</f>
        <v/>
      </c>
      <c r="C1096" s="38"/>
      <c r="D1096" s="39" t="str">
        <f aca="false">IF(C1096="","",IFERROR(TEXT(C1096,"MMMM"),""))</f>
        <v/>
      </c>
      <c r="E1096" s="40"/>
      <c r="F1096" s="41" t="str">
        <f aca="false">IF(E1096="","",IFERROR(INDEX('Chart of Accounts'!$C$4:$C$200,MATCH(TEXT(E1096,"@"),TEXT('Chart of Accounts'!$B$4:$B$200,"@"),0)),"⚠ Not Found"))</f>
        <v/>
      </c>
      <c r="G1096" s="42"/>
      <c r="H1096" s="43"/>
      <c r="I1096" s="43"/>
      <c r="J1096" s="40"/>
    </row>
    <row r="1097" customFormat="false" ht="16.5" hidden="false" customHeight="true" outlineLevel="0" collapsed="false">
      <c r="B1097" s="44" t="str">
        <f aca="false">IF(C1097="","",ROW()-9)</f>
        <v/>
      </c>
      <c r="C1097" s="45"/>
      <c r="D1097" s="46" t="str">
        <f aca="false">IF(C1097="","",IFERROR(TEXT(C1097,"MMMM"),""))</f>
        <v/>
      </c>
      <c r="E1097" s="47"/>
      <c r="F1097" s="48" t="str">
        <f aca="false">IF(E1097="","",IFERROR(INDEX('Chart of Accounts'!$C$4:$C$200,MATCH(TEXT(E1097,"@"),TEXT('Chart of Accounts'!$B$4:$B$200,"@"),0)),"⚠ Not Found"))</f>
        <v/>
      </c>
      <c r="G1097" s="49"/>
      <c r="H1097" s="50"/>
      <c r="I1097" s="50"/>
      <c r="J1097" s="47"/>
    </row>
    <row r="1098" customFormat="false" ht="16.5" hidden="false" customHeight="true" outlineLevel="0" collapsed="false">
      <c r="B1098" s="37" t="str">
        <f aca="false">IF(C1098="","",ROW()-9)</f>
        <v/>
      </c>
      <c r="C1098" s="38"/>
      <c r="D1098" s="39" t="str">
        <f aca="false">IF(C1098="","",IFERROR(TEXT(C1098,"MMMM"),""))</f>
        <v/>
      </c>
      <c r="E1098" s="40"/>
      <c r="F1098" s="41" t="str">
        <f aca="false">IF(E1098="","",IFERROR(INDEX('Chart of Accounts'!$C$4:$C$200,MATCH(TEXT(E1098,"@"),TEXT('Chart of Accounts'!$B$4:$B$200,"@"),0)),"⚠ Not Found"))</f>
        <v/>
      </c>
      <c r="G1098" s="42"/>
      <c r="H1098" s="43"/>
      <c r="I1098" s="43"/>
      <c r="J1098" s="40"/>
    </row>
    <row r="1099" customFormat="false" ht="16.5" hidden="false" customHeight="true" outlineLevel="0" collapsed="false">
      <c r="B1099" s="44" t="str">
        <f aca="false">IF(C1099="","",ROW()-9)</f>
        <v/>
      </c>
      <c r="C1099" s="45"/>
      <c r="D1099" s="46" t="str">
        <f aca="false">IF(C1099="","",IFERROR(TEXT(C1099,"MMMM"),""))</f>
        <v/>
      </c>
      <c r="E1099" s="47"/>
      <c r="F1099" s="48" t="str">
        <f aca="false">IF(E1099="","",IFERROR(INDEX('Chart of Accounts'!$C$4:$C$200,MATCH(TEXT(E1099,"@"),TEXT('Chart of Accounts'!$B$4:$B$200,"@"),0)),"⚠ Not Found"))</f>
        <v/>
      </c>
      <c r="G1099" s="49"/>
      <c r="H1099" s="50"/>
      <c r="I1099" s="50"/>
      <c r="J1099" s="47"/>
    </row>
    <row r="1100" customFormat="false" ht="16.5" hidden="false" customHeight="true" outlineLevel="0" collapsed="false">
      <c r="B1100" s="37" t="str">
        <f aca="false">IF(C1100="","",ROW()-9)</f>
        <v/>
      </c>
      <c r="C1100" s="38"/>
      <c r="D1100" s="39" t="str">
        <f aca="false">IF(C1100="","",IFERROR(TEXT(C1100,"MMMM"),""))</f>
        <v/>
      </c>
      <c r="E1100" s="40"/>
      <c r="F1100" s="41" t="str">
        <f aca="false">IF(E1100="","",IFERROR(INDEX('Chart of Accounts'!$C$4:$C$200,MATCH(TEXT(E1100,"@"),TEXT('Chart of Accounts'!$B$4:$B$200,"@"),0)),"⚠ Not Found"))</f>
        <v/>
      </c>
      <c r="G1100" s="42"/>
      <c r="H1100" s="43"/>
      <c r="I1100" s="43"/>
      <c r="J1100" s="40"/>
    </row>
    <row r="1101" customFormat="false" ht="16.5" hidden="false" customHeight="true" outlineLevel="0" collapsed="false">
      <c r="B1101" s="44" t="str">
        <f aca="false">IF(C1101="","",ROW()-9)</f>
        <v/>
      </c>
      <c r="C1101" s="45"/>
      <c r="D1101" s="46" t="str">
        <f aca="false">IF(C1101="","",IFERROR(TEXT(C1101,"MMMM"),""))</f>
        <v/>
      </c>
      <c r="E1101" s="47"/>
      <c r="F1101" s="48" t="str">
        <f aca="false">IF(E1101="","",IFERROR(INDEX('Chart of Accounts'!$C$4:$C$200,MATCH(TEXT(E1101,"@"),TEXT('Chart of Accounts'!$B$4:$B$200,"@"),0)),"⚠ Not Found"))</f>
        <v/>
      </c>
      <c r="G1101" s="49"/>
      <c r="H1101" s="50"/>
      <c r="I1101" s="50"/>
      <c r="J1101" s="47"/>
    </row>
    <row r="1102" customFormat="false" ht="16.5" hidden="false" customHeight="true" outlineLevel="0" collapsed="false">
      <c r="B1102" s="37" t="str">
        <f aca="false">IF(C1102="","",ROW()-9)</f>
        <v/>
      </c>
      <c r="C1102" s="38"/>
      <c r="D1102" s="39" t="str">
        <f aca="false">IF(C1102="","",IFERROR(TEXT(C1102,"MMMM"),""))</f>
        <v/>
      </c>
      <c r="E1102" s="40"/>
      <c r="F1102" s="41" t="str">
        <f aca="false">IF(E1102="","",IFERROR(INDEX('Chart of Accounts'!$C$4:$C$200,MATCH(TEXT(E1102,"@"),TEXT('Chart of Accounts'!$B$4:$B$200,"@"),0)),"⚠ Not Found"))</f>
        <v/>
      </c>
      <c r="G1102" s="42"/>
      <c r="H1102" s="43"/>
      <c r="I1102" s="43"/>
      <c r="J1102" s="40"/>
    </row>
    <row r="1103" customFormat="false" ht="16.5" hidden="false" customHeight="true" outlineLevel="0" collapsed="false">
      <c r="B1103" s="44" t="str">
        <f aca="false">IF(C1103="","",ROW()-9)</f>
        <v/>
      </c>
      <c r="C1103" s="45"/>
      <c r="D1103" s="46" t="str">
        <f aca="false">IF(C1103="","",IFERROR(TEXT(C1103,"MMMM"),""))</f>
        <v/>
      </c>
      <c r="E1103" s="47"/>
      <c r="F1103" s="48" t="str">
        <f aca="false">IF(E1103="","",IFERROR(INDEX('Chart of Accounts'!$C$4:$C$200,MATCH(TEXT(E1103,"@"),TEXT('Chart of Accounts'!$B$4:$B$200,"@"),0)),"⚠ Not Found"))</f>
        <v/>
      </c>
      <c r="G1103" s="49"/>
      <c r="H1103" s="50"/>
      <c r="I1103" s="50"/>
      <c r="J1103" s="47"/>
    </row>
    <row r="1104" customFormat="false" ht="16.5" hidden="false" customHeight="true" outlineLevel="0" collapsed="false">
      <c r="B1104" s="37" t="str">
        <f aca="false">IF(C1104="","",ROW()-9)</f>
        <v/>
      </c>
      <c r="C1104" s="38"/>
      <c r="D1104" s="39" t="str">
        <f aca="false">IF(C1104="","",IFERROR(TEXT(C1104,"MMMM"),""))</f>
        <v/>
      </c>
      <c r="E1104" s="40"/>
      <c r="F1104" s="41" t="str">
        <f aca="false">IF(E1104="","",IFERROR(INDEX('Chart of Accounts'!$C$4:$C$200,MATCH(TEXT(E1104,"@"),TEXT('Chart of Accounts'!$B$4:$B$200,"@"),0)),"⚠ Not Found"))</f>
        <v/>
      </c>
      <c r="G1104" s="42"/>
      <c r="H1104" s="43"/>
      <c r="I1104" s="43"/>
      <c r="J1104" s="40"/>
    </row>
    <row r="1105" customFormat="false" ht="16.5" hidden="false" customHeight="true" outlineLevel="0" collapsed="false">
      <c r="B1105" s="44" t="str">
        <f aca="false">IF(C1105="","",ROW()-9)</f>
        <v/>
      </c>
      <c r="C1105" s="45"/>
      <c r="D1105" s="46" t="str">
        <f aca="false">IF(C1105="","",IFERROR(TEXT(C1105,"MMMM"),""))</f>
        <v/>
      </c>
      <c r="E1105" s="47"/>
      <c r="F1105" s="48" t="str">
        <f aca="false">IF(E1105="","",IFERROR(INDEX('Chart of Accounts'!$C$4:$C$200,MATCH(TEXT(E1105,"@"),TEXT('Chart of Accounts'!$B$4:$B$200,"@"),0)),"⚠ Not Found"))</f>
        <v/>
      </c>
      <c r="G1105" s="49"/>
      <c r="H1105" s="50"/>
      <c r="I1105" s="50"/>
      <c r="J1105" s="47"/>
    </row>
    <row r="1106" customFormat="false" ht="16.5" hidden="false" customHeight="true" outlineLevel="0" collapsed="false">
      <c r="B1106" s="37" t="str">
        <f aca="false">IF(C1106="","",ROW()-9)</f>
        <v/>
      </c>
      <c r="C1106" s="38"/>
      <c r="D1106" s="39" t="str">
        <f aca="false">IF(C1106="","",IFERROR(TEXT(C1106,"MMMM"),""))</f>
        <v/>
      </c>
      <c r="E1106" s="40"/>
      <c r="F1106" s="41" t="str">
        <f aca="false">IF(E1106="","",IFERROR(INDEX('Chart of Accounts'!$C$4:$C$200,MATCH(TEXT(E1106,"@"),TEXT('Chart of Accounts'!$B$4:$B$200,"@"),0)),"⚠ Not Found"))</f>
        <v/>
      </c>
      <c r="G1106" s="42"/>
      <c r="H1106" s="43"/>
      <c r="I1106" s="43"/>
      <c r="J1106" s="40"/>
    </row>
    <row r="1107" customFormat="false" ht="16.5" hidden="false" customHeight="true" outlineLevel="0" collapsed="false">
      <c r="B1107" s="44" t="str">
        <f aca="false">IF(C1107="","",ROW()-9)</f>
        <v/>
      </c>
      <c r="C1107" s="45"/>
      <c r="D1107" s="46" t="str">
        <f aca="false">IF(C1107="","",IFERROR(TEXT(C1107,"MMMM"),""))</f>
        <v/>
      </c>
      <c r="E1107" s="47"/>
      <c r="F1107" s="48" t="str">
        <f aca="false">IF(E1107="","",IFERROR(INDEX('Chart of Accounts'!$C$4:$C$200,MATCH(TEXT(E1107,"@"),TEXT('Chart of Accounts'!$B$4:$B$200,"@"),0)),"⚠ Not Found"))</f>
        <v/>
      </c>
      <c r="G1107" s="49"/>
      <c r="H1107" s="50"/>
      <c r="I1107" s="50"/>
      <c r="J1107" s="47"/>
    </row>
    <row r="1108" customFormat="false" ht="16.5" hidden="false" customHeight="true" outlineLevel="0" collapsed="false">
      <c r="B1108" s="37" t="str">
        <f aca="false">IF(C1108="","",ROW()-9)</f>
        <v/>
      </c>
      <c r="C1108" s="38"/>
      <c r="D1108" s="39" t="str">
        <f aca="false">IF(C1108="","",IFERROR(TEXT(C1108,"MMMM"),""))</f>
        <v/>
      </c>
      <c r="E1108" s="40"/>
      <c r="F1108" s="41" t="str">
        <f aca="false">IF(E1108="","",IFERROR(INDEX('Chart of Accounts'!$C$4:$C$200,MATCH(TEXT(E1108,"@"),TEXT('Chart of Accounts'!$B$4:$B$200,"@"),0)),"⚠ Not Found"))</f>
        <v/>
      </c>
      <c r="G1108" s="42"/>
      <c r="H1108" s="43"/>
      <c r="I1108" s="43"/>
      <c r="J1108" s="40"/>
    </row>
    <row r="1109" customFormat="false" ht="16.5" hidden="false" customHeight="true" outlineLevel="0" collapsed="false">
      <c r="B1109" s="44" t="str">
        <f aca="false">IF(C1109="","",ROW()-9)</f>
        <v/>
      </c>
      <c r="C1109" s="45"/>
      <c r="D1109" s="46" t="str">
        <f aca="false">IF(C1109="","",IFERROR(TEXT(C1109,"MMMM"),""))</f>
        <v/>
      </c>
      <c r="E1109" s="47"/>
      <c r="F1109" s="48" t="str">
        <f aca="false">IF(E1109="","",IFERROR(INDEX('Chart of Accounts'!$C$4:$C$200,MATCH(TEXT(E1109,"@"),TEXT('Chart of Accounts'!$B$4:$B$200,"@"),0)),"⚠ Not Found"))</f>
        <v/>
      </c>
      <c r="G1109" s="49"/>
      <c r="H1109" s="50"/>
      <c r="I1109" s="50"/>
      <c r="J1109" s="47"/>
    </row>
    <row r="1110" customFormat="false" ht="16.5" hidden="false" customHeight="true" outlineLevel="0" collapsed="false">
      <c r="B1110" s="37" t="str">
        <f aca="false">IF(C1110="","",ROW()-9)</f>
        <v/>
      </c>
      <c r="C1110" s="38"/>
      <c r="D1110" s="39" t="str">
        <f aca="false">IF(C1110="","",IFERROR(TEXT(C1110,"MMMM"),""))</f>
        <v/>
      </c>
      <c r="E1110" s="40"/>
      <c r="F1110" s="41" t="str">
        <f aca="false">IF(E1110="","",IFERROR(INDEX('Chart of Accounts'!$C$4:$C$200,MATCH(TEXT(E1110,"@"),TEXT('Chart of Accounts'!$B$4:$B$200,"@"),0)),"⚠ Not Found"))</f>
        <v/>
      </c>
      <c r="G1110" s="42"/>
      <c r="H1110" s="43"/>
      <c r="I1110" s="43"/>
      <c r="J1110" s="40"/>
    </row>
    <row r="1111" customFormat="false" ht="16.5" hidden="false" customHeight="true" outlineLevel="0" collapsed="false">
      <c r="B1111" s="44" t="str">
        <f aca="false">IF(C1111="","",ROW()-9)</f>
        <v/>
      </c>
      <c r="C1111" s="45"/>
      <c r="D1111" s="46" t="str">
        <f aca="false">IF(C1111="","",IFERROR(TEXT(C1111,"MMMM"),""))</f>
        <v/>
      </c>
      <c r="E1111" s="47"/>
      <c r="F1111" s="48" t="str">
        <f aca="false">IF(E1111="","",IFERROR(INDEX('Chart of Accounts'!$C$4:$C$200,MATCH(TEXT(E1111,"@"),TEXT('Chart of Accounts'!$B$4:$B$200,"@"),0)),"⚠ Not Found"))</f>
        <v/>
      </c>
      <c r="G1111" s="49"/>
      <c r="H1111" s="50"/>
      <c r="I1111" s="50"/>
      <c r="J1111" s="47"/>
    </row>
    <row r="1112" customFormat="false" ht="16.5" hidden="false" customHeight="true" outlineLevel="0" collapsed="false">
      <c r="B1112" s="37" t="str">
        <f aca="false">IF(C1112="","",ROW()-9)</f>
        <v/>
      </c>
      <c r="C1112" s="38"/>
      <c r="D1112" s="39" t="str">
        <f aca="false">IF(C1112="","",IFERROR(TEXT(C1112,"MMMM"),""))</f>
        <v/>
      </c>
      <c r="E1112" s="40"/>
      <c r="F1112" s="41" t="str">
        <f aca="false">IF(E1112="","",IFERROR(INDEX('Chart of Accounts'!$C$4:$C$200,MATCH(TEXT(E1112,"@"),TEXT('Chart of Accounts'!$B$4:$B$200,"@"),0)),"⚠ Not Found"))</f>
        <v/>
      </c>
      <c r="G1112" s="42"/>
      <c r="H1112" s="43"/>
      <c r="I1112" s="43"/>
      <c r="J1112" s="40"/>
    </row>
    <row r="1113" customFormat="false" ht="16.5" hidden="false" customHeight="true" outlineLevel="0" collapsed="false">
      <c r="B1113" s="44" t="str">
        <f aca="false">IF(C1113="","",ROW()-9)</f>
        <v/>
      </c>
      <c r="C1113" s="45"/>
      <c r="D1113" s="46" t="str">
        <f aca="false">IF(C1113="","",IFERROR(TEXT(C1113,"MMMM"),""))</f>
        <v/>
      </c>
      <c r="E1113" s="47"/>
      <c r="F1113" s="48" t="str">
        <f aca="false">IF(E1113="","",IFERROR(INDEX('Chart of Accounts'!$C$4:$C$200,MATCH(TEXT(E1113,"@"),TEXT('Chart of Accounts'!$B$4:$B$200,"@"),0)),"⚠ Not Found"))</f>
        <v/>
      </c>
      <c r="G1113" s="49"/>
      <c r="H1113" s="50"/>
      <c r="I1113" s="50"/>
      <c r="J1113" s="47"/>
    </row>
    <row r="1114" customFormat="false" ht="16.5" hidden="false" customHeight="true" outlineLevel="0" collapsed="false">
      <c r="B1114" s="37" t="str">
        <f aca="false">IF(C1114="","",ROW()-9)</f>
        <v/>
      </c>
      <c r="C1114" s="38"/>
      <c r="D1114" s="39" t="str">
        <f aca="false">IF(C1114="","",IFERROR(TEXT(C1114,"MMMM"),""))</f>
        <v/>
      </c>
      <c r="E1114" s="40"/>
      <c r="F1114" s="41" t="str">
        <f aca="false">IF(E1114="","",IFERROR(INDEX('Chart of Accounts'!$C$4:$C$200,MATCH(TEXT(E1114,"@"),TEXT('Chart of Accounts'!$B$4:$B$200,"@"),0)),"⚠ Not Found"))</f>
        <v/>
      </c>
      <c r="G1114" s="42"/>
      <c r="H1114" s="43"/>
      <c r="I1114" s="43"/>
      <c r="J1114" s="40"/>
    </row>
    <row r="1115" customFormat="false" ht="16.5" hidden="false" customHeight="true" outlineLevel="0" collapsed="false">
      <c r="B1115" s="44" t="str">
        <f aca="false">IF(C1115="","",ROW()-9)</f>
        <v/>
      </c>
      <c r="C1115" s="45"/>
      <c r="D1115" s="46" t="str">
        <f aca="false">IF(C1115="","",IFERROR(TEXT(C1115,"MMMM"),""))</f>
        <v/>
      </c>
      <c r="E1115" s="47"/>
      <c r="F1115" s="48" t="str">
        <f aca="false">IF(E1115="","",IFERROR(INDEX('Chart of Accounts'!$C$4:$C$200,MATCH(TEXT(E1115,"@"),TEXT('Chart of Accounts'!$B$4:$B$200,"@"),0)),"⚠ Not Found"))</f>
        <v/>
      </c>
      <c r="G1115" s="49"/>
      <c r="H1115" s="50"/>
      <c r="I1115" s="50"/>
      <c r="J1115" s="47"/>
    </row>
    <row r="1116" customFormat="false" ht="16.5" hidden="false" customHeight="true" outlineLevel="0" collapsed="false">
      <c r="B1116" s="37" t="str">
        <f aca="false">IF(C1116="","",ROW()-9)</f>
        <v/>
      </c>
      <c r="C1116" s="38"/>
      <c r="D1116" s="39" t="str">
        <f aca="false">IF(C1116="","",IFERROR(TEXT(C1116,"MMMM"),""))</f>
        <v/>
      </c>
      <c r="E1116" s="40"/>
      <c r="F1116" s="41" t="str">
        <f aca="false">IF(E1116="","",IFERROR(INDEX('Chart of Accounts'!$C$4:$C$200,MATCH(TEXT(E1116,"@"),TEXT('Chart of Accounts'!$B$4:$B$200,"@"),0)),"⚠ Not Found"))</f>
        <v/>
      </c>
      <c r="G1116" s="42"/>
      <c r="H1116" s="43"/>
      <c r="I1116" s="43"/>
      <c r="J1116" s="40"/>
    </row>
    <row r="1117" customFormat="false" ht="16.5" hidden="false" customHeight="true" outlineLevel="0" collapsed="false">
      <c r="B1117" s="44" t="str">
        <f aca="false">IF(C1117="","",ROW()-9)</f>
        <v/>
      </c>
      <c r="C1117" s="45"/>
      <c r="D1117" s="46" t="str">
        <f aca="false">IF(C1117="","",IFERROR(TEXT(C1117,"MMMM"),""))</f>
        <v/>
      </c>
      <c r="E1117" s="47"/>
      <c r="F1117" s="48" t="str">
        <f aca="false">IF(E1117="","",IFERROR(INDEX('Chart of Accounts'!$C$4:$C$200,MATCH(TEXT(E1117,"@"),TEXT('Chart of Accounts'!$B$4:$B$200,"@"),0)),"⚠ Not Found"))</f>
        <v/>
      </c>
      <c r="G1117" s="49"/>
      <c r="H1117" s="50"/>
      <c r="I1117" s="50"/>
      <c r="J1117" s="47"/>
    </row>
    <row r="1118" customFormat="false" ht="16.5" hidden="false" customHeight="true" outlineLevel="0" collapsed="false">
      <c r="B1118" s="37" t="str">
        <f aca="false">IF(C1118="","",ROW()-9)</f>
        <v/>
      </c>
      <c r="C1118" s="38"/>
      <c r="D1118" s="39" t="str">
        <f aca="false">IF(C1118="","",IFERROR(TEXT(C1118,"MMMM"),""))</f>
        <v/>
      </c>
      <c r="E1118" s="40"/>
      <c r="F1118" s="41" t="str">
        <f aca="false">IF(E1118="","",IFERROR(INDEX('Chart of Accounts'!$C$4:$C$200,MATCH(TEXT(E1118,"@"),TEXT('Chart of Accounts'!$B$4:$B$200,"@"),0)),"⚠ Not Found"))</f>
        <v/>
      </c>
      <c r="G1118" s="42"/>
      <c r="H1118" s="43"/>
      <c r="I1118" s="43"/>
      <c r="J1118" s="40"/>
    </row>
    <row r="1119" customFormat="false" ht="16.5" hidden="false" customHeight="true" outlineLevel="0" collapsed="false">
      <c r="B1119" s="44" t="str">
        <f aca="false">IF(C1119="","",ROW()-9)</f>
        <v/>
      </c>
      <c r="C1119" s="45"/>
      <c r="D1119" s="46" t="str">
        <f aca="false">IF(C1119="","",IFERROR(TEXT(C1119,"MMMM"),""))</f>
        <v/>
      </c>
      <c r="E1119" s="47"/>
      <c r="F1119" s="48" t="str">
        <f aca="false">IF(E1119="","",IFERROR(INDEX('Chart of Accounts'!$C$4:$C$200,MATCH(TEXT(E1119,"@"),TEXT('Chart of Accounts'!$B$4:$B$200,"@"),0)),"⚠ Not Found"))</f>
        <v/>
      </c>
      <c r="G1119" s="49"/>
      <c r="H1119" s="50"/>
      <c r="I1119" s="50"/>
      <c r="J1119" s="47"/>
    </row>
    <row r="1120" customFormat="false" ht="16.5" hidden="false" customHeight="true" outlineLevel="0" collapsed="false">
      <c r="B1120" s="37" t="str">
        <f aca="false">IF(C1120="","",ROW()-9)</f>
        <v/>
      </c>
      <c r="C1120" s="38"/>
      <c r="D1120" s="39" t="str">
        <f aca="false">IF(C1120="","",IFERROR(TEXT(C1120,"MMMM"),""))</f>
        <v/>
      </c>
      <c r="E1120" s="40"/>
      <c r="F1120" s="41" t="str">
        <f aca="false">IF(E1120="","",IFERROR(INDEX('Chart of Accounts'!$C$4:$C$200,MATCH(TEXT(E1120,"@"),TEXT('Chart of Accounts'!$B$4:$B$200,"@"),0)),"⚠ Not Found"))</f>
        <v/>
      </c>
      <c r="G1120" s="42"/>
      <c r="H1120" s="43"/>
      <c r="I1120" s="43"/>
      <c r="J1120" s="40"/>
    </row>
    <row r="1121" customFormat="false" ht="16.5" hidden="false" customHeight="true" outlineLevel="0" collapsed="false">
      <c r="B1121" s="44" t="str">
        <f aca="false">IF(C1121="","",ROW()-9)</f>
        <v/>
      </c>
      <c r="C1121" s="45"/>
      <c r="D1121" s="46" t="str">
        <f aca="false">IF(C1121="","",IFERROR(TEXT(C1121,"MMMM"),""))</f>
        <v/>
      </c>
      <c r="E1121" s="47"/>
      <c r="F1121" s="48" t="str">
        <f aca="false">IF(E1121="","",IFERROR(INDEX('Chart of Accounts'!$C$4:$C$200,MATCH(TEXT(E1121,"@"),TEXT('Chart of Accounts'!$B$4:$B$200,"@"),0)),"⚠ Not Found"))</f>
        <v/>
      </c>
      <c r="G1121" s="49"/>
      <c r="H1121" s="50"/>
      <c r="I1121" s="50"/>
      <c r="J1121" s="47"/>
    </row>
    <row r="1122" customFormat="false" ht="16.5" hidden="false" customHeight="true" outlineLevel="0" collapsed="false">
      <c r="B1122" s="37" t="str">
        <f aca="false">IF(C1122="","",ROW()-9)</f>
        <v/>
      </c>
      <c r="C1122" s="38"/>
      <c r="D1122" s="39" t="str">
        <f aca="false">IF(C1122="","",IFERROR(TEXT(C1122,"MMMM"),""))</f>
        <v/>
      </c>
      <c r="E1122" s="40"/>
      <c r="F1122" s="41" t="str">
        <f aca="false">IF(E1122="","",IFERROR(INDEX('Chart of Accounts'!$C$4:$C$200,MATCH(TEXT(E1122,"@"),TEXT('Chart of Accounts'!$B$4:$B$200,"@"),0)),"⚠ Not Found"))</f>
        <v/>
      </c>
      <c r="G1122" s="42"/>
      <c r="H1122" s="43"/>
      <c r="I1122" s="43"/>
      <c r="J1122" s="40"/>
    </row>
    <row r="1123" customFormat="false" ht="16.5" hidden="false" customHeight="true" outlineLevel="0" collapsed="false">
      <c r="B1123" s="44" t="str">
        <f aca="false">IF(C1123="","",ROW()-9)</f>
        <v/>
      </c>
      <c r="C1123" s="45"/>
      <c r="D1123" s="46" t="str">
        <f aca="false">IF(C1123="","",IFERROR(TEXT(C1123,"MMMM"),""))</f>
        <v/>
      </c>
      <c r="E1123" s="47"/>
      <c r="F1123" s="48" t="str">
        <f aca="false">IF(E1123="","",IFERROR(INDEX('Chart of Accounts'!$C$4:$C$200,MATCH(TEXT(E1123,"@"),TEXT('Chart of Accounts'!$B$4:$B$200,"@"),0)),"⚠ Not Found"))</f>
        <v/>
      </c>
      <c r="G1123" s="49"/>
      <c r="H1123" s="50"/>
      <c r="I1123" s="50"/>
      <c r="J1123" s="47"/>
    </row>
    <row r="1124" customFormat="false" ht="16.5" hidden="false" customHeight="true" outlineLevel="0" collapsed="false">
      <c r="B1124" s="37" t="str">
        <f aca="false">IF(C1124="","",ROW()-9)</f>
        <v/>
      </c>
      <c r="C1124" s="38"/>
      <c r="D1124" s="39" t="str">
        <f aca="false">IF(C1124="","",IFERROR(TEXT(C1124,"MMMM"),""))</f>
        <v/>
      </c>
      <c r="E1124" s="40"/>
      <c r="F1124" s="41" t="str">
        <f aca="false">IF(E1124="","",IFERROR(INDEX('Chart of Accounts'!$C$4:$C$200,MATCH(TEXT(E1124,"@"),TEXT('Chart of Accounts'!$B$4:$B$200,"@"),0)),"⚠ Not Found"))</f>
        <v/>
      </c>
      <c r="G1124" s="42"/>
      <c r="H1124" s="43"/>
      <c r="I1124" s="43"/>
      <c r="J1124" s="40"/>
    </row>
    <row r="1125" customFormat="false" ht="16.5" hidden="false" customHeight="true" outlineLevel="0" collapsed="false">
      <c r="B1125" s="44" t="str">
        <f aca="false">IF(C1125="","",ROW()-9)</f>
        <v/>
      </c>
      <c r="C1125" s="45"/>
      <c r="D1125" s="46" t="str">
        <f aca="false">IF(C1125="","",IFERROR(TEXT(C1125,"MMMM"),""))</f>
        <v/>
      </c>
      <c r="E1125" s="47"/>
      <c r="F1125" s="48" t="str">
        <f aca="false">IF(E1125="","",IFERROR(INDEX('Chart of Accounts'!$C$4:$C$200,MATCH(TEXT(E1125,"@"),TEXT('Chart of Accounts'!$B$4:$B$200,"@"),0)),"⚠ Not Found"))</f>
        <v/>
      </c>
      <c r="G1125" s="49"/>
      <c r="H1125" s="50"/>
      <c r="I1125" s="50"/>
      <c r="J1125" s="47"/>
    </row>
    <row r="1126" customFormat="false" ht="16.5" hidden="false" customHeight="true" outlineLevel="0" collapsed="false">
      <c r="B1126" s="37" t="str">
        <f aca="false">IF(C1126="","",ROW()-9)</f>
        <v/>
      </c>
      <c r="C1126" s="38"/>
      <c r="D1126" s="39" t="str">
        <f aca="false">IF(C1126="","",IFERROR(TEXT(C1126,"MMMM"),""))</f>
        <v/>
      </c>
      <c r="E1126" s="40"/>
      <c r="F1126" s="41" t="str">
        <f aca="false">IF(E1126="","",IFERROR(INDEX('Chart of Accounts'!$C$4:$C$200,MATCH(TEXT(E1126,"@"),TEXT('Chart of Accounts'!$B$4:$B$200,"@"),0)),"⚠ Not Found"))</f>
        <v/>
      </c>
      <c r="G1126" s="42"/>
      <c r="H1126" s="43"/>
      <c r="I1126" s="43"/>
      <c r="J1126" s="40"/>
    </row>
    <row r="1127" customFormat="false" ht="16.5" hidden="false" customHeight="true" outlineLevel="0" collapsed="false">
      <c r="B1127" s="44" t="str">
        <f aca="false">IF(C1127="","",ROW()-9)</f>
        <v/>
      </c>
      <c r="C1127" s="45"/>
      <c r="D1127" s="46" t="str">
        <f aca="false">IF(C1127="","",IFERROR(TEXT(C1127,"MMMM"),""))</f>
        <v/>
      </c>
      <c r="E1127" s="47"/>
      <c r="F1127" s="48" t="str">
        <f aca="false">IF(E1127="","",IFERROR(INDEX('Chart of Accounts'!$C$4:$C$200,MATCH(TEXT(E1127,"@"),TEXT('Chart of Accounts'!$B$4:$B$200,"@"),0)),"⚠ Not Found"))</f>
        <v/>
      </c>
      <c r="G1127" s="49"/>
      <c r="H1127" s="50"/>
      <c r="I1127" s="50"/>
      <c r="J1127" s="47"/>
    </row>
    <row r="1128" customFormat="false" ht="16.5" hidden="false" customHeight="true" outlineLevel="0" collapsed="false">
      <c r="B1128" s="37" t="str">
        <f aca="false">IF(C1128="","",ROW()-9)</f>
        <v/>
      </c>
      <c r="C1128" s="38"/>
      <c r="D1128" s="39" t="str">
        <f aca="false">IF(C1128="","",IFERROR(TEXT(C1128,"MMMM"),""))</f>
        <v/>
      </c>
      <c r="E1128" s="40"/>
      <c r="F1128" s="41" t="str">
        <f aca="false">IF(E1128="","",IFERROR(INDEX('Chart of Accounts'!$C$4:$C$200,MATCH(TEXT(E1128,"@"),TEXT('Chart of Accounts'!$B$4:$B$200,"@"),0)),"⚠ Not Found"))</f>
        <v/>
      </c>
      <c r="G1128" s="42"/>
      <c r="H1128" s="43"/>
      <c r="I1128" s="43"/>
      <c r="J1128" s="40"/>
    </row>
    <row r="1129" customFormat="false" ht="16.5" hidden="false" customHeight="true" outlineLevel="0" collapsed="false">
      <c r="B1129" s="44" t="str">
        <f aca="false">IF(C1129="","",ROW()-9)</f>
        <v/>
      </c>
      <c r="C1129" s="45"/>
      <c r="D1129" s="46" t="str">
        <f aca="false">IF(C1129="","",IFERROR(TEXT(C1129,"MMMM"),""))</f>
        <v/>
      </c>
      <c r="E1129" s="47"/>
      <c r="F1129" s="48" t="str">
        <f aca="false">IF(E1129="","",IFERROR(INDEX('Chart of Accounts'!$C$4:$C$200,MATCH(TEXT(E1129,"@"),TEXT('Chart of Accounts'!$B$4:$B$200,"@"),0)),"⚠ Not Found"))</f>
        <v/>
      </c>
      <c r="G1129" s="49"/>
      <c r="H1129" s="50"/>
      <c r="I1129" s="50"/>
      <c r="J1129" s="47"/>
    </row>
    <row r="1130" customFormat="false" ht="16.5" hidden="false" customHeight="true" outlineLevel="0" collapsed="false">
      <c r="B1130" s="37" t="str">
        <f aca="false">IF(C1130="","",ROW()-9)</f>
        <v/>
      </c>
      <c r="C1130" s="38"/>
      <c r="D1130" s="39" t="str">
        <f aca="false">IF(C1130="","",IFERROR(TEXT(C1130,"MMMM"),""))</f>
        <v/>
      </c>
      <c r="E1130" s="40"/>
      <c r="F1130" s="41" t="str">
        <f aca="false">IF(E1130="","",IFERROR(INDEX('Chart of Accounts'!$C$4:$C$200,MATCH(TEXT(E1130,"@"),TEXT('Chart of Accounts'!$B$4:$B$200,"@"),0)),"⚠ Not Found"))</f>
        <v/>
      </c>
      <c r="G1130" s="42"/>
      <c r="H1130" s="43"/>
      <c r="I1130" s="43"/>
      <c r="J1130" s="40"/>
    </row>
    <row r="1131" customFormat="false" ht="16.5" hidden="false" customHeight="true" outlineLevel="0" collapsed="false">
      <c r="B1131" s="44" t="str">
        <f aca="false">IF(C1131="","",ROW()-9)</f>
        <v/>
      </c>
      <c r="C1131" s="45"/>
      <c r="D1131" s="46" t="str">
        <f aca="false">IF(C1131="","",IFERROR(TEXT(C1131,"MMMM"),""))</f>
        <v/>
      </c>
      <c r="E1131" s="47"/>
      <c r="F1131" s="48" t="str">
        <f aca="false">IF(E1131="","",IFERROR(INDEX('Chart of Accounts'!$C$4:$C$200,MATCH(TEXT(E1131,"@"),TEXT('Chart of Accounts'!$B$4:$B$200,"@"),0)),"⚠ Not Found"))</f>
        <v/>
      </c>
      <c r="G1131" s="49"/>
      <c r="H1131" s="50"/>
      <c r="I1131" s="50"/>
      <c r="J1131" s="47"/>
    </row>
    <row r="1132" customFormat="false" ht="16.5" hidden="false" customHeight="true" outlineLevel="0" collapsed="false">
      <c r="B1132" s="37" t="str">
        <f aca="false">IF(C1132="","",ROW()-9)</f>
        <v/>
      </c>
      <c r="C1132" s="38"/>
      <c r="D1132" s="39" t="str">
        <f aca="false">IF(C1132="","",IFERROR(TEXT(C1132,"MMMM"),""))</f>
        <v/>
      </c>
      <c r="E1132" s="40"/>
      <c r="F1132" s="41" t="str">
        <f aca="false">IF(E1132="","",IFERROR(INDEX('Chart of Accounts'!$C$4:$C$200,MATCH(TEXT(E1132,"@"),TEXT('Chart of Accounts'!$B$4:$B$200,"@"),0)),"⚠ Not Found"))</f>
        <v/>
      </c>
      <c r="G1132" s="42"/>
      <c r="H1132" s="43"/>
      <c r="I1132" s="43"/>
      <c r="J1132" s="40"/>
    </row>
    <row r="1133" customFormat="false" ht="16.5" hidden="false" customHeight="true" outlineLevel="0" collapsed="false">
      <c r="B1133" s="44" t="str">
        <f aca="false">IF(C1133="","",ROW()-9)</f>
        <v/>
      </c>
      <c r="C1133" s="45"/>
      <c r="D1133" s="46" t="str">
        <f aca="false">IF(C1133="","",IFERROR(TEXT(C1133,"MMMM"),""))</f>
        <v/>
      </c>
      <c r="E1133" s="47"/>
      <c r="F1133" s="48" t="str">
        <f aca="false">IF(E1133="","",IFERROR(INDEX('Chart of Accounts'!$C$4:$C$200,MATCH(TEXT(E1133,"@"),TEXT('Chart of Accounts'!$B$4:$B$200,"@"),0)),"⚠ Not Found"))</f>
        <v/>
      </c>
      <c r="G1133" s="49"/>
      <c r="H1133" s="50"/>
      <c r="I1133" s="50"/>
      <c r="J1133" s="47"/>
    </row>
    <row r="1134" customFormat="false" ht="16.5" hidden="false" customHeight="true" outlineLevel="0" collapsed="false">
      <c r="B1134" s="37" t="str">
        <f aca="false">IF(C1134="","",ROW()-9)</f>
        <v/>
      </c>
      <c r="C1134" s="38"/>
      <c r="D1134" s="39" t="str">
        <f aca="false">IF(C1134="","",IFERROR(TEXT(C1134,"MMMM"),""))</f>
        <v/>
      </c>
      <c r="E1134" s="40"/>
      <c r="F1134" s="41" t="str">
        <f aca="false">IF(E1134="","",IFERROR(INDEX('Chart of Accounts'!$C$4:$C$200,MATCH(TEXT(E1134,"@"),TEXT('Chart of Accounts'!$B$4:$B$200,"@"),0)),"⚠ Not Found"))</f>
        <v/>
      </c>
      <c r="G1134" s="42"/>
      <c r="H1134" s="43"/>
      <c r="I1134" s="43"/>
      <c r="J1134" s="40"/>
    </row>
    <row r="1135" customFormat="false" ht="16.5" hidden="false" customHeight="true" outlineLevel="0" collapsed="false">
      <c r="B1135" s="44" t="str">
        <f aca="false">IF(C1135="","",ROW()-9)</f>
        <v/>
      </c>
      <c r="C1135" s="45"/>
      <c r="D1135" s="46" t="str">
        <f aca="false">IF(C1135="","",IFERROR(TEXT(C1135,"MMMM"),""))</f>
        <v/>
      </c>
      <c r="E1135" s="47"/>
      <c r="F1135" s="48" t="str">
        <f aca="false">IF(E1135="","",IFERROR(INDEX('Chart of Accounts'!$C$4:$C$200,MATCH(TEXT(E1135,"@"),TEXT('Chart of Accounts'!$B$4:$B$200,"@"),0)),"⚠ Not Found"))</f>
        <v/>
      </c>
      <c r="G1135" s="49"/>
      <c r="H1135" s="50"/>
      <c r="I1135" s="50"/>
      <c r="J1135" s="47"/>
    </row>
    <row r="1136" customFormat="false" ht="16.5" hidden="false" customHeight="true" outlineLevel="0" collapsed="false">
      <c r="B1136" s="37" t="str">
        <f aca="false">IF(C1136="","",ROW()-9)</f>
        <v/>
      </c>
      <c r="C1136" s="38"/>
      <c r="D1136" s="39" t="str">
        <f aca="false">IF(C1136="","",IFERROR(TEXT(C1136,"MMMM"),""))</f>
        <v/>
      </c>
      <c r="E1136" s="40"/>
      <c r="F1136" s="41" t="str">
        <f aca="false">IF(E1136="","",IFERROR(INDEX('Chart of Accounts'!$C$4:$C$200,MATCH(TEXT(E1136,"@"),TEXT('Chart of Accounts'!$B$4:$B$200,"@"),0)),"⚠ Not Found"))</f>
        <v/>
      </c>
      <c r="G1136" s="42"/>
      <c r="H1136" s="43"/>
      <c r="I1136" s="43"/>
      <c r="J1136" s="40"/>
    </row>
    <row r="1137" customFormat="false" ht="16.5" hidden="false" customHeight="true" outlineLevel="0" collapsed="false">
      <c r="B1137" s="44" t="str">
        <f aca="false">IF(C1137="","",ROW()-9)</f>
        <v/>
      </c>
      <c r="C1137" s="45"/>
      <c r="D1137" s="46" t="str">
        <f aca="false">IF(C1137="","",IFERROR(TEXT(C1137,"MMMM"),""))</f>
        <v/>
      </c>
      <c r="E1137" s="47"/>
      <c r="F1137" s="48" t="str">
        <f aca="false">IF(E1137="","",IFERROR(INDEX('Chart of Accounts'!$C$4:$C$200,MATCH(TEXT(E1137,"@"),TEXT('Chart of Accounts'!$B$4:$B$200,"@"),0)),"⚠ Not Found"))</f>
        <v/>
      </c>
      <c r="G1137" s="49"/>
      <c r="H1137" s="50"/>
      <c r="I1137" s="50"/>
      <c r="J1137" s="47"/>
    </row>
    <row r="1138" customFormat="false" ht="16.5" hidden="false" customHeight="true" outlineLevel="0" collapsed="false">
      <c r="B1138" s="37" t="str">
        <f aca="false">IF(C1138="","",ROW()-9)</f>
        <v/>
      </c>
      <c r="C1138" s="38"/>
      <c r="D1138" s="39" t="str">
        <f aca="false">IF(C1138="","",IFERROR(TEXT(C1138,"MMMM"),""))</f>
        <v/>
      </c>
      <c r="E1138" s="40"/>
      <c r="F1138" s="41" t="str">
        <f aca="false">IF(E1138="","",IFERROR(INDEX('Chart of Accounts'!$C$4:$C$200,MATCH(TEXT(E1138,"@"),TEXT('Chart of Accounts'!$B$4:$B$200,"@"),0)),"⚠ Not Found"))</f>
        <v/>
      </c>
      <c r="G1138" s="42"/>
      <c r="H1138" s="43"/>
      <c r="I1138" s="43"/>
      <c r="J1138" s="40"/>
    </row>
    <row r="1139" customFormat="false" ht="16.5" hidden="false" customHeight="true" outlineLevel="0" collapsed="false">
      <c r="B1139" s="44" t="str">
        <f aca="false">IF(C1139="","",ROW()-9)</f>
        <v/>
      </c>
      <c r="C1139" s="45"/>
      <c r="D1139" s="46" t="str">
        <f aca="false">IF(C1139="","",IFERROR(TEXT(C1139,"MMMM"),""))</f>
        <v/>
      </c>
      <c r="E1139" s="47"/>
      <c r="F1139" s="48" t="str">
        <f aca="false">IF(E1139="","",IFERROR(INDEX('Chart of Accounts'!$C$4:$C$200,MATCH(TEXT(E1139,"@"),TEXT('Chart of Accounts'!$B$4:$B$200,"@"),0)),"⚠ Not Found"))</f>
        <v/>
      </c>
      <c r="G1139" s="49"/>
      <c r="H1139" s="50"/>
      <c r="I1139" s="50"/>
      <c r="J1139" s="47"/>
    </row>
    <row r="1140" customFormat="false" ht="16.5" hidden="false" customHeight="true" outlineLevel="0" collapsed="false">
      <c r="B1140" s="37" t="str">
        <f aca="false">IF(C1140="","",ROW()-9)</f>
        <v/>
      </c>
      <c r="C1140" s="38"/>
      <c r="D1140" s="39" t="str">
        <f aca="false">IF(C1140="","",IFERROR(TEXT(C1140,"MMMM"),""))</f>
        <v/>
      </c>
      <c r="E1140" s="40"/>
      <c r="F1140" s="41" t="str">
        <f aca="false">IF(E1140="","",IFERROR(INDEX('Chart of Accounts'!$C$4:$C$200,MATCH(TEXT(E1140,"@"),TEXT('Chart of Accounts'!$B$4:$B$200,"@"),0)),"⚠ Not Found"))</f>
        <v/>
      </c>
      <c r="G1140" s="42"/>
      <c r="H1140" s="43"/>
      <c r="I1140" s="43"/>
      <c r="J1140" s="40"/>
    </row>
    <row r="1141" customFormat="false" ht="16.5" hidden="false" customHeight="true" outlineLevel="0" collapsed="false">
      <c r="B1141" s="44" t="str">
        <f aca="false">IF(C1141="","",ROW()-9)</f>
        <v/>
      </c>
      <c r="C1141" s="45"/>
      <c r="D1141" s="46" t="str">
        <f aca="false">IF(C1141="","",IFERROR(TEXT(C1141,"MMMM"),""))</f>
        <v/>
      </c>
      <c r="E1141" s="47"/>
      <c r="F1141" s="48" t="str">
        <f aca="false">IF(E1141="","",IFERROR(INDEX('Chart of Accounts'!$C$4:$C$200,MATCH(TEXT(E1141,"@"),TEXT('Chart of Accounts'!$B$4:$B$200,"@"),0)),"⚠ Not Found"))</f>
        <v/>
      </c>
      <c r="G1141" s="49"/>
      <c r="H1141" s="50"/>
      <c r="I1141" s="50"/>
      <c r="J1141" s="47"/>
    </row>
    <row r="1142" customFormat="false" ht="16.5" hidden="false" customHeight="true" outlineLevel="0" collapsed="false">
      <c r="B1142" s="37" t="str">
        <f aca="false">IF(C1142="","",ROW()-9)</f>
        <v/>
      </c>
      <c r="C1142" s="38"/>
      <c r="D1142" s="39" t="str">
        <f aca="false">IF(C1142="","",IFERROR(TEXT(C1142,"MMMM"),""))</f>
        <v/>
      </c>
      <c r="E1142" s="40"/>
      <c r="F1142" s="41" t="str">
        <f aca="false">IF(E1142="","",IFERROR(INDEX('Chart of Accounts'!$C$4:$C$200,MATCH(TEXT(E1142,"@"),TEXT('Chart of Accounts'!$B$4:$B$200,"@"),0)),"⚠ Not Found"))</f>
        <v/>
      </c>
      <c r="G1142" s="42"/>
      <c r="H1142" s="43"/>
      <c r="I1142" s="43"/>
      <c r="J1142" s="40"/>
    </row>
    <row r="1143" customFormat="false" ht="16.5" hidden="false" customHeight="true" outlineLevel="0" collapsed="false">
      <c r="B1143" s="44" t="str">
        <f aca="false">IF(C1143="","",ROW()-9)</f>
        <v/>
      </c>
      <c r="C1143" s="45"/>
      <c r="D1143" s="46" t="str">
        <f aca="false">IF(C1143="","",IFERROR(TEXT(C1143,"MMMM"),""))</f>
        <v/>
      </c>
      <c r="E1143" s="47"/>
      <c r="F1143" s="48" t="str">
        <f aca="false">IF(E1143="","",IFERROR(INDEX('Chart of Accounts'!$C$4:$C$200,MATCH(TEXT(E1143,"@"),TEXT('Chart of Accounts'!$B$4:$B$200,"@"),0)),"⚠ Not Found"))</f>
        <v/>
      </c>
      <c r="G1143" s="49"/>
      <c r="H1143" s="50"/>
      <c r="I1143" s="50"/>
      <c r="J1143" s="47"/>
    </row>
    <row r="1144" customFormat="false" ht="16.5" hidden="false" customHeight="true" outlineLevel="0" collapsed="false">
      <c r="B1144" s="37" t="str">
        <f aca="false">IF(C1144="","",ROW()-9)</f>
        <v/>
      </c>
      <c r="C1144" s="38"/>
      <c r="D1144" s="39" t="str">
        <f aca="false">IF(C1144="","",IFERROR(TEXT(C1144,"MMMM"),""))</f>
        <v/>
      </c>
      <c r="E1144" s="40"/>
      <c r="F1144" s="41" t="str">
        <f aca="false">IF(E1144="","",IFERROR(INDEX('Chart of Accounts'!$C$4:$C$200,MATCH(TEXT(E1144,"@"),TEXT('Chart of Accounts'!$B$4:$B$200,"@"),0)),"⚠ Not Found"))</f>
        <v/>
      </c>
      <c r="G1144" s="42"/>
      <c r="H1144" s="43"/>
      <c r="I1144" s="43"/>
      <c r="J1144" s="40"/>
    </row>
    <row r="1145" customFormat="false" ht="16.5" hidden="false" customHeight="true" outlineLevel="0" collapsed="false">
      <c r="B1145" s="44" t="str">
        <f aca="false">IF(C1145="","",ROW()-9)</f>
        <v/>
      </c>
      <c r="C1145" s="45"/>
      <c r="D1145" s="46" t="str">
        <f aca="false">IF(C1145="","",IFERROR(TEXT(C1145,"MMMM"),""))</f>
        <v/>
      </c>
      <c r="E1145" s="47"/>
      <c r="F1145" s="48" t="str">
        <f aca="false">IF(E1145="","",IFERROR(INDEX('Chart of Accounts'!$C$4:$C$200,MATCH(TEXT(E1145,"@"),TEXT('Chart of Accounts'!$B$4:$B$200,"@"),0)),"⚠ Not Found"))</f>
        <v/>
      </c>
      <c r="G1145" s="49"/>
      <c r="H1145" s="50"/>
      <c r="I1145" s="50"/>
      <c r="J1145" s="47"/>
    </row>
    <row r="1146" customFormat="false" ht="16.5" hidden="false" customHeight="true" outlineLevel="0" collapsed="false">
      <c r="B1146" s="37" t="str">
        <f aca="false">IF(C1146="","",ROW()-9)</f>
        <v/>
      </c>
      <c r="C1146" s="38"/>
      <c r="D1146" s="39" t="str">
        <f aca="false">IF(C1146="","",IFERROR(TEXT(C1146,"MMMM"),""))</f>
        <v/>
      </c>
      <c r="E1146" s="40"/>
      <c r="F1146" s="41" t="str">
        <f aca="false">IF(E1146="","",IFERROR(INDEX('Chart of Accounts'!$C$4:$C$200,MATCH(TEXT(E1146,"@"),TEXT('Chart of Accounts'!$B$4:$B$200,"@"),0)),"⚠ Not Found"))</f>
        <v/>
      </c>
      <c r="G1146" s="42"/>
      <c r="H1146" s="43"/>
      <c r="I1146" s="43"/>
      <c r="J1146" s="40"/>
    </row>
    <row r="1147" customFormat="false" ht="16.5" hidden="false" customHeight="true" outlineLevel="0" collapsed="false">
      <c r="B1147" s="44" t="str">
        <f aca="false">IF(C1147="","",ROW()-9)</f>
        <v/>
      </c>
      <c r="C1147" s="45"/>
      <c r="D1147" s="46" t="str">
        <f aca="false">IF(C1147="","",IFERROR(TEXT(C1147,"MMMM"),""))</f>
        <v/>
      </c>
      <c r="E1147" s="47"/>
      <c r="F1147" s="48" t="str">
        <f aca="false">IF(E1147="","",IFERROR(INDEX('Chart of Accounts'!$C$4:$C$200,MATCH(TEXT(E1147,"@"),TEXT('Chart of Accounts'!$B$4:$B$200,"@"),0)),"⚠ Not Found"))</f>
        <v/>
      </c>
      <c r="G1147" s="49"/>
      <c r="H1147" s="50"/>
      <c r="I1147" s="50"/>
      <c r="J1147" s="47"/>
    </row>
    <row r="1148" customFormat="false" ht="16.5" hidden="false" customHeight="true" outlineLevel="0" collapsed="false">
      <c r="B1148" s="37" t="str">
        <f aca="false">IF(C1148="","",ROW()-9)</f>
        <v/>
      </c>
      <c r="C1148" s="38"/>
      <c r="D1148" s="39" t="str">
        <f aca="false">IF(C1148="","",IFERROR(TEXT(C1148,"MMMM"),""))</f>
        <v/>
      </c>
      <c r="E1148" s="40"/>
      <c r="F1148" s="41" t="str">
        <f aca="false">IF(E1148="","",IFERROR(INDEX('Chart of Accounts'!$C$4:$C$200,MATCH(TEXT(E1148,"@"),TEXT('Chart of Accounts'!$B$4:$B$200,"@"),0)),"⚠ Not Found"))</f>
        <v/>
      </c>
      <c r="G1148" s="42"/>
      <c r="H1148" s="43"/>
      <c r="I1148" s="43"/>
      <c r="J1148" s="40"/>
    </row>
    <row r="1149" customFormat="false" ht="16.5" hidden="false" customHeight="true" outlineLevel="0" collapsed="false">
      <c r="B1149" s="44" t="str">
        <f aca="false">IF(C1149="","",ROW()-9)</f>
        <v/>
      </c>
      <c r="C1149" s="45"/>
      <c r="D1149" s="46" t="str">
        <f aca="false">IF(C1149="","",IFERROR(TEXT(C1149,"MMMM"),""))</f>
        <v/>
      </c>
      <c r="E1149" s="47"/>
      <c r="F1149" s="48" t="str">
        <f aca="false">IF(E1149="","",IFERROR(INDEX('Chart of Accounts'!$C$4:$C$200,MATCH(TEXT(E1149,"@"),TEXT('Chart of Accounts'!$B$4:$B$200,"@"),0)),"⚠ Not Found"))</f>
        <v/>
      </c>
      <c r="G1149" s="49"/>
      <c r="H1149" s="50"/>
      <c r="I1149" s="50"/>
      <c r="J1149" s="47"/>
    </row>
    <row r="1150" customFormat="false" ht="16.5" hidden="false" customHeight="true" outlineLevel="0" collapsed="false">
      <c r="B1150" s="37" t="str">
        <f aca="false">IF(C1150="","",ROW()-9)</f>
        <v/>
      </c>
      <c r="C1150" s="38"/>
      <c r="D1150" s="39" t="str">
        <f aca="false">IF(C1150="","",IFERROR(TEXT(C1150,"MMMM"),""))</f>
        <v/>
      </c>
      <c r="E1150" s="40"/>
      <c r="F1150" s="41" t="str">
        <f aca="false">IF(E1150="","",IFERROR(INDEX('Chart of Accounts'!$C$4:$C$200,MATCH(TEXT(E1150,"@"),TEXT('Chart of Accounts'!$B$4:$B$200,"@"),0)),"⚠ Not Found"))</f>
        <v/>
      </c>
      <c r="G1150" s="42"/>
      <c r="H1150" s="43"/>
      <c r="I1150" s="43"/>
      <c r="J1150" s="40"/>
    </row>
    <row r="1151" customFormat="false" ht="16.5" hidden="false" customHeight="true" outlineLevel="0" collapsed="false">
      <c r="B1151" s="44" t="str">
        <f aca="false">IF(C1151="","",ROW()-9)</f>
        <v/>
      </c>
      <c r="C1151" s="45"/>
      <c r="D1151" s="46" t="str">
        <f aca="false">IF(C1151="","",IFERROR(TEXT(C1151,"MMMM"),""))</f>
        <v/>
      </c>
      <c r="E1151" s="47"/>
      <c r="F1151" s="48" t="str">
        <f aca="false">IF(E1151="","",IFERROR(INDEX('Chart of Accounts'!$C$4:$C$200,MATCH(TEXT(E1151,"@"),TEXT('Chart of Accounts'!$B$4:$B$200,"@"),0)),"⚠ Not Found"))</f>
        <v/>
      </c>
      <c r="G1151" s="49"/>
      <c r="H1151" s="50"/>
      <c r="I1151" s="50"/>
      <c r="J1151" s="47"/>
    </row>
    <row r="1152" customFormat="false" ht="16.5" hidden="false" customHeight="true" outlineLevel="0" collapsed="false">
      <c r="B1152" s="37" t="str">
        <f aca="false">IF(C1152="","",ROW()-9)</f>
        <v/>
      </c>
      <c r="C1152" s="38"/>
      <c r="D1152" s="39" t="str">
        <f aca="false">IF(C1152="","",IFERROR(TEXT(C1152,"MMMM"),""))</f>
        <v/>
      </c>
      <c r="E1152" s="40"/>
      <c r="F1152" s="41" t="str">
        <f aca="false">IF(E1152="","",IFERROR(INDEX('Chart of Accounts'!$C$4:$C$200,MATCH(TEXT(E1152,"@"),TEXT('Chart of Accounts'!$B$4:$B$200,"@"),0)),"⚠ Not Found"))</f>
        <v/>
      </c>
      <c r="G1152" s="42"/>
      <c r="H1152" s="43"/>
      <c r="I1152" s="43"/>
      <c r="J1152" s="40"/>
    </row>
    <row r="1153" customFormat="false" ht="16.5" hidden="false" customHeight="true" outlineLevel="0" collapsed="false">
      <c r="B1153" s="44" t="str">
        <f aca="false">IF(C1153="","",ROW()-9)</f>
        <v/>
      </c>
      <c r="C1153" s="45"/>
      <c r="D1153" s="46" t="str">
        <f aca="false">IF(C1153="","",IFERROR(TEXT(C1153,"MMMM"),""))</f>
        <v/>
      </c>
      <c r="E1153" s="47"/>
      <c r="F1153" s="48" t="str">
        <f aca="false">IF(E1153="","",IFERROR(INDEX('Chart of Accounts'!$C$4:$C$200,MATCH(TEXT(E1153,"@"),TEXT('Chart of Accounts'!$B$4:$B$200,"@"),0)),"⚠ Not Found"))</f>
        <v/>
      </c>
      <c r="G1153" s="49"/>
      <c r="H1153" s="50"/>
      <c r="I1153" s="50"/>
      <c r="J1153" s="47"/>
    </row>
    <row r="1154" customFormat="false" ht="16.5" hidden="false" customHeight="true" outlineLevel="0" collapsed="false">
      <c r="B1154" s="37" t="str">
        <f aca="false">IF(C1154="","",ROW()-9)</f>
        <v/>
      </c>
      <c r="C1154" s="38"/>
      <c r="D1154" s="39" t="str">
        <f aca="false">IF(C1154="","",IFERROR(TEXT(C1154,"MMMM"),""))</f>
        <v/>
      </c>
      <c r="E1154" s="40"/>
      <c r="F1154" s="41" t="str">
        <f aca="false">IF(E1154="","",IFERROR(INDEX('Chart of Accounts'!$C$4:$C$200,MATCH(TEXT(E1154,"@"),TEXT('Chart of Accounts'!$B$4:$B$200,"@"),0)),"⚠ Not Found"))</f>
        <v/>
      </c>
      <c r="G1154" s="42"/>
      <c r="H1154" s="43"/>
      <c r="I1154" s="43"/>
      <c r="J1154" s="40"/>
    </row>
    <row r="1155" customFormat="false" ht="16.5" hidden="false" customHeight="true" outlineLevel="0" collapsed="false">
      <c r="B1155" s="44" t="str">
        <f aca="false">IF(C1155="","",ROW()-9)</f>
        <v/>
      </c>
      <c r="C1155" s="45"/>
      <c r="D1155" s="46" t="str">
        <f aca="false">IF(C1155="","",IFERROR(TEXT(C1155,"MMMM"),""))</f>
        <v/>
      </c>
      <c r="E1155" s="47"/>
      <c r="F1155" s="48" t="str">
        <f aca="false">IF(E1155="","",IFERROR(INDEX('Chart of Accounts'!$C$4:$C$200,MATCH(TEXT(E1155,"@"),TEXT('Chart of Accounts'!$B$4:$B$200,"@"),0)),"⚠ Not Found"))</f>
        <v/>
      </c>
      <c r="G1155" s="49"/>
      <c r="H1155" s="50"/>
      <c r="I1155" s="50"/>
      <c r="J1155" s="47"/>
    </row>
    <row r="1156" customFormat="false" ht="16.5" hidden="false" customHeight="true" outlineLevel="0" collapsed="false">
      <c r="B1156" s="37" t="str">
        <f aca="false">IF(C1156="","",ROW()-9)</f>
        <v/>
      </c>
      <c r="C1156" s="38"/>
      <c r="D1156" s="39" t="str">
        <f aca="false">IF(C1156="","",IFERROR(TEXT(C1156,"MMMM"),""))</f>
        <v/>
      </c>
      <c r="E1156" s="40"/>
      <c r="F1156" s="41" t="str">
        <f aca="false">IF(E1156="","",IFERROR(INDEX('Chart of Accounts'!$C$4:$C$200,MATCH(TEXT(E1156,"@"),TEXT('Chart of Accounts'!$B$4:$B$200,"@"),0)),"⚠ Not Found"))</f>
        <v/>
      </c>
      <c r="G1156" s="42"/>
      <c r="H1156" s="43"/>
      <c r="I1156" s="43"/>
      <c r="J1156" s="40"/>
    </row>
    <row r="1157" customFormat="false" ht="16.5" hidden="false" customHeight="true" outlineLevel="0" collapsed="false">
      <c r="B1157" s="44" t="str">
        <f aca="false">IF(C1157="","",ROW()-9)</f>
        <v/>
      </c>
      <c r="C1157" s="45"/>
      <c r="D1157" s="46" t="str">
        <f aca="false">IF(C1157="","",IFERROR(TEXT(C1157,"MMMM"),""))</f>
        <v/>
      </c>
      <c r="E1157" s="47"/>
      <c r="F1157" s="48" t="str">
        <f aca="false">IF(E1157="","",IFERROR(INDEX('Chart of Accounts'!$C$4:$C$200,MATCH(TEXT(E1157,"@"),TEXT('Chart of Accounts'!$B$4:$B$200,"@"),0)),"⚠ Not Found"))</f>
        <v/>
      </c>
      <c r="G1157" s="49"/>
      <c r="H1157" s="50"/>
      <c r="I1157" s="50"/>
      <c r="J1157" s="47"/>
    </row>
    <row r="1158" customFormat="false" ht="16.5" hidden="false" customHeight="true" outlineLevel="0" collapsed="false">
      <c r="B1158" s="37" t="str">
        <f aca="false">IF(C1158="","",ROW()-9)</f>
        <v/>
      </c>
      <c r="C1158" s="38"/>
      <c r="D1158" s="39" t="str">
        <f aca="false">IF(C1158="","",IFERROR(TEXT(C1158,"MMMM"),""))</f>
        <v/>
      </c>
      <c r="E1158" s="40"/>
      <c r="F1158" s="41" t="str">
        <f aca="false">IF(E1158="","",IFERROR(INDEX('Chart of Accounts'!$C$4:$C$200,MATCH(TEXT(E1158,"@"),TEXT('Chart of Accounts'!$B$4:$B$200,"@"),0)),"⚠ Not Found"))</f>
        <v/>
      </c>
      <c r="G1158" s="42"/>
      <c r="H1158" s="43"/>
      <c r="I1158" s="43"/>
      <c r="J1158" s="40"/>
    </row>
    <row r="1159" customFormat="false" ht="16.5" hidden="false" customHeight="true" outlineLevel="0" collapsed="false">
      <c r="B1159" s="44" t="str">
        <f aca="false">IF(C1159="","",ROW()-9)</f>
        <v/>
      </c>
      <c r="C1159" s="45"/>
      <c r="D1159" s="46" t="str">
        <f aca="false">IF(C1159="","",IFERROR(TEXT(C1159,"MMMM"),""))</f>
        <v/>
      </c>
      <c r="E1159" s="47"/>
      <c r="F1159" s="48" t="str">
        <f aca="false">IF(E1159="","",IFERROR(INDEX('Chart of Accounts'!$C$4:$C$200,MATCH(TEXT(E1159,"@"),TEXT('Chart of Accounts'!$B$4:$B$200,"@"),0)),"⚠ Not Found"))</f>
        <v/>
      </c>
      <c r="G1159" s="49"/>
      <c r="H1159" s="50"/>
      <c r="I1159" s="50"/>
      <c r="J1159" s="47"/>
    </row>
    <row r="1160" customFormat="false" ht="16.5" hidden="false" customHeight="true" outlineLevel="0" collapsed="false">
      <c r="B1160" s="37" t="str">
        <f aca="false">IF(C1160="","",ROW()-9)</f>
        <v/>
      </c>
      <c r="C1160" s="38"/>
      <c r="D1160" s="39" t="str">
        <f aca="false">IF(C1160="","",IFERROR(TEXT(C1160,"MMMM"),""))</f>
        <v/>
      </c>
      <c r="E1160" s="40"/>
      <c r="F1160" s="41" t="str">
        <f aca="false">IF(E1160="","",IFERROR(INDEX('Chart of Accounts'!$C$4:$C$200,MATCH(TEXT(E1160,"@"),TEXT('Chart of Accounts'!$B$4:$B$200,"@"),0)),"⚠ Not Found"))</f>
        <v/>
      </c>
      <c r="G1160" s="42"/>
      <c r="H1160" s="43"/>
      <c r="I1160" s="43"/>
      <c r="J1160" s="40"/>
    </row>
    <row r="1161" customFormat="false" ht="16.5" hidden="false" customHeight="true" outlineLevel="0" collapsed="false">
      <c r="B1161" s="44" t="str">
        <f aca="false">IF(C1161="","",ROW()-9)</f>
        <v/>
      </c>
      <c r="C1161" s="45"/>
      <c r="D1161" s="46" t="str">
        <f aca="false">IF(C1161="","",IFERROR(TEXT(C1161,"MMMM"),""))</f>
        <v/>
      </c>
      <c r="E1161" s="47"/>
      <c r="F1161" s="48" t="str">
        <f aca="false">IF(E1161="","",IFERROR(INDEX('Chart of Accounts'!$C$4:$C$200,MATCH(TEXT(E1161,"@"),TEXT('Chart of Accounts'!$B$4:$B$200,"@"),0)),"⚠ Not Found"))</f>
        <v/>
      </c>
      <c r="G1161" s="49"/>
      <c r="H1161" s="50"/>
      <c r="I1161" s="50"/>
      <c r="J1161" s="47"/>
    </row>
    <row r="1162" customFormat="false" ht="16.5" hidden="false" customHeight="true" outlineLevel="0" collapsed="false">
      <c r="B1162" s="37" t="str">
        <f aca="false">IF(C1162="","",ROW()-9)</f>
        <v/>
      </c>
      <c r="C1162" s="38"/>
      <c r="D1162" s="39" t="str">
        <f aca="false">IF(C1162="","",IFERROR(TEXT(C1162,"MMMM"),""))</f>
        <v/>
      </c>
      <c r="E1162" s="40"/>
      <c r="F1162" s="41" t="str">
        <f aca="false">IF(E1162="","",IFERROR(INDEX('Chart of Accounts'!$C$4:$C$200,MATCH(TEXT(E1162,"@"),TEXT('Chart of Accounts'!$B$4:$B$200,"@"),0)),"⚠ Not Found"))</f>
        <v/>
      </c>
      <c r="G1162" s="42"/>
      <c r="H1162" s="43"/>
      <c r="I1162" s="43"/>
      <c r="J1162" s="40"/>
    </row>
    <row r="1163" customFormat="false" ht="16.5" hidden="false" customHeight="true" outlineLevel="0" collapsed="false">
      <c r="B1163" s="44" t="str">
        <f aca="false">IF(C1163="","",ROW()-9)</f>
        <v/>
      </c>
      <c r="C1163" s="45"/>
      <c r="D1163" s="46" t="str">
        <f aca="false">IF(C1163="","",IFERROR(TEXT(C1163,"MMMM"),""))</f>
        <v/>
      </c>
      <c r="E1163" s="47"/>
      <c r="F1163" s="48" t="str">
        <f aca="false">IF(E1163="","",IFERROR(INDEX('Chart of Accounts'!$C$4:$C$200,MATCH(TEXT(E1163,"@"),TEXT('Chart of Accounts'!$B$4:$B$200,"@"),0)),"⚠ Not Found"))</f>
        <v/>
      </c>
      <c r="G1163" s="49"/>
      <c r="H1163" s="50"/>
      <c r="I1163" s="50"/>
      <c r="J1163" s="47"/>
    </row>
    <row r="1164" customFormat="false" ht="16.5" hidden="false" customHeight="true" outlineLevel="0" collapsed="false">
      <c r="B1164" s="37" t="str">
        <f aca="false">IF(C1164="","",ROW()-9)</f>
        <v/>
      </c>
      <c r="C1164" s="38"/>
      <c r="D1164" s="39" t="str">
        <f aca="false">IF(C1164="","",IFERROR(TEXT(C1164,"MMMM"),""))</f>
        <v/>
      </c>
      <c r="E1164" s="40"/>
      <c r="F1164" s="41" t="str">
        <f aca="false">IF(E1164="","",IFERROR(INDEX('Chart of Accounts'!$C$4:$C$200,MATCH(TEXT(E1164,"@"),TEXT('Chart of Accounts'!$B$4:$B$200,"@"),0)),"⚠ Not Found"))</f>
        <v/>
      </c>
      <c r="G1164" s="42"/>
      <c r="H1164" s="43"/>
      <c r="I1164" s="43"/>
      <c r="J1164" s="40"/>
    </row>
    <row r="1165" customFormat="false" ht="16.5" hidden="false" customHeight="true" outlineLevel="0" collapsed="false">
      <c r="B1165" s="44" t="str">
        <f aca="false">IF(C1165="","",ROW()-9)</f>
        <v/>
      </c>
      <c r="C1165" s="45"/>
      <c r="D1165" s="46" t="str">
        <f aca="false">IF(C1165="","",IFERROR(TEXT(C1165,"MMMM"),""))</f>
        <v/>
      </c>
      <c r="E1165" s="47"/>
      <c r="F1165" s="48" t="str">
        <f aca="false">IF(E1165="","",IFERROR(INDEX('Chart of Accounts'!$C$4:$C$200,MATCH(TEXT(E1165,"@"),TEXT('Chart of Accounts'!$B$4:$B$200,"@"),0)),"⚠ Not Found"))</f>
        <v/>
      </c>
      <c r="G1165" s="49"/>
      <c r="H1165" s="50"/>
      <c r="I1165" s="50"/>
      <c r="J1165" s="47"/>
    </row>
    <row r="1166" customFormat="false" ht="16.5" hidden="false" customHeight="true" outlineLevel="0" collapsed="false">
      <c r="B1166" s="37" t="str">
        <f aca="false">IF(C1166="","",ROW()-9)</f>
        <v/>
      </c>
      <c r="C1166" s="38"/>
      <c r="D1166" s="39" t="str">
        <f aca="false">IF(C1166="","",IFERROR(TEXT(C1166,"MMMM"),""))</f>
        <v/>
      </c>
      <c r="E1166" s="40"/>
      <c r="F1166" s="41" t="str">
        <f aca="false">IF(E1166="","",IFERROR(INDEX('Chart of Accounts'!$C$4:$C$200,MATCH(TEXT(E1166,"@"),TEXT('Chart of Accounts'!$B$4:$B$200,"@"),0)),"⚠ Not Found"))</f>
        <v/>
      </c>
      <c r="G1166" s="42"/>
      <c r="H1166" s="43"/>
      <c r="I1166" s="43"/>
      <c r="J1166" s="40"/>
    </row>
    <row r="1167" customFormat="false" ht="16.5" hidden="false" customHeight="true" outlineLevel="0" collapsed="false">
      <c r="B1167" s="44" t="str">
        <f aca="false">IF(C1167="","",ROW()-9)</f>
        <v/>
      </c>
      <c r="C1167" s="45"/>
      <c r="D1167" s="46" t="str">
        <f aca="false">IF(C1167="","",IFERROR(TEXT(C1167,"MMMM"),""))</f>
        <v/>
      </c>
      <c r="E1167" s="47"/>
      <c r="F1167" s="48" t="str">
        <f aca="false">IF(E1167="","",IFERROR(INDEX('Chart of Accounts'!$C$4:$C$200,MATCH(TEXT(E1167,"@"),TEXT('Chart of Accounts'!$B$4:$B$200,"@"),0)),"⚠ Not Found"))</f>
        <v/>
      </c>
      <c r="G1167" s="49"/>
      <c r="H1167" s="50"/>
      <c r="I1167" s="50"/>
      <c r="J1167" s="47"/>
    </row>
    <row r="1168" customFormat="false" ht="16.5" hidden="false" customHeight="true" outlineLevel="0" collapsed="false">
      <c r="B1168" s="37" t="str">
        <f aca="false">IF(C1168="","",ROW()-9)</f>
        <v/>
      </c>
      <c r="C1168" s="38"/>
      <c r="D1168" s="39" t="str">
        <f aca="false">IF(C1168="","",IFERROR(TEXT(C1168,"MMMM"),""))</f>
        <v/>
      </c>
      <c r="E1168" s="40"/>
      <c r="F1168" s="41" t="str">
        <f aca="false">IF(E1168="","",IFERROR(INDEX('Chart of Accounts'!$C$4:$C$200,MATCH(TEXT(E1168,"@"),TEXT('Chart of Accounts'!$B$4:$B$200,"@"),0)),"⚠ Not Found"))</f>
        <v/>
      </c>
      <c r="G1168" s="42"/>
      <c r="H1168" s="43"/>
      <c r="I1168" s="43"/>
      <c r="J1168" s="40"/>
    </row>
    <row r="1169" customFormat="false" ht="16.5" hidden="false" customHeight="true" outlineLevel="0" collapsed="false">
      <c r="B1169" s="44" t="str">
        <f aca="false">IF(C1169="","",ROW()-9)</f>
        <v/>
      </c>
      <c r="C1169" s="45"/>
      <c r="D1169" s="46" t="str">
        <f aca="false">IF(C1169="","",IFERROR(TEXT(C1169,"MMMM"),""))</f>
        <v/>
      </c>
      <c r="E1169" s="47"/>
      <c r="F1169" s="48" t="str">
        <f aca="false">IF(E1169="","",IFERROR(INDEX('Chart of Accounts'!$C$4:$C$200,MATCH(TEXT(E1169,"@"),TEXT('Chart of Accounts'!$B$4:$B$200,"@"),0)),"⚠ Not Found"))</f>
        <v/>
      </c>
      <c r="G1169" s="49"/>
      <c r="H1169" s="50"/>
      <c r="I1169" s="50"/>
      <c r="J1169" s="47"/>
    </row>
    <row r="1170" customFormat="false" ht="16.5" hidden="false" customHeight="true" outlineLevel="0" collapsed="false">
      <c r="B1170" s="37" t="str">
        <f aca="false">IF(C1170="","",ROW()-9)</f>
        <v/>
      </c>
      <c r="C1170" s="38"/>
      <c r="D1170" s="39" t="str">
        <f aca="false">IF(C1170="","",IFERROR(TEXT(C1170,"MMMM"),""))</f>
        <v/>
      </c>
      <c r="E1170" s="40"/>
      <c r="F1170" s="41" t="str">
        <f aca="false">IF(E1170="","",IFERROR(INDEX('Chart of Accounts'!$C$4:$C$200,MATCH(TEXT(E1170,"@"),TEXT('Chart of Accounts'!$B$4:$B$200,"@"),0)),"⚠ Not Found"))</f>
        <v/>
      </c>
      <c r="G1170" s="42"/>
      <c r="H1170" s="43"/>
      <c r="I1170" s="43"/>
      <c r="J1170" s="40"/>
    </row>
    <row r="1171" customFormat="false" ht="16.5" hidden="false" customHeight="true" outlineLevel="0" collapsed="false">
      <c r="B1171" s="44" t="str">
        <f aca="false">IF(C1171="","",ROW()-9)</f>
        <v/>
      </c>
      <c r="C1171" s="45"/>
      <c r="D1171" s="46" t="str">
        <f aca="false">IF(C1171="","",IFERROR(TEXT(C1171,"MMMM"),""))</f>
        <v/>
      </c>
      <c r="E1171" s="47"/>
      <c r="F1171" s="48" t="str">
        <f aca="false">IF(E1171="","",IFERROR(INDEX('Chart of Accounts'!$C$4:$C$200,MATCH(TEXT(E1171,"@"),TEXT('Chart of Accounts'!$B$4:$B$200,"@"),0)),"⚠ Not Found"))</f>
        <v/>
      </c>
      <c r="G1171" s="49"/>
      <c r="H1171" s="50"/>
      <c r="I1171" s="50"/>
      <c r="J1171" s="47"/>
    </row>
    <row r="1172" customFormat="false" ht="16.5" hidden="false" customHeight="true" outlineLevel="0" collapsed="false">
      <c r="B1172" s="37" t="str">
        <f aca="false">IF(C1172="","",ROW()-9)</f>
        <v/>
      </c>
      <c r="C1172" s="38"/>
      <c r="D1172" s="39" t="str">
        <f aca="false">IF(C1172="","",IFERROR(TEXT(C1172,"MMMM"),""))</f>
        <v/>
      </c>
      <c r="E1172" s="40"/>
      <c r="F1172" s="41" t="str">
        <f aca="false">IF(E1172="","",IFERROR(INDEX('Chart of Accounts'!$C$4:$C$200,MATCH(TEXT(E1172,"@"),TEXT('Chart of Accounts'!$B$4:$B$200,"@"),0)),"⚠ Not Found"))</f>
        <v/>
      </c>
      <c r="G1172" s="42"/>
      <c r="H1172" s="43"/>
      <c r="I1172" s="43"/>
      <c r="J1172" s="40"/>
    </row>
    <row r="1173" customFormat="false" ht="16.5" hidden="false" customHeight="true" outlineLevel="0" collapsed="false">
      <c r="B1173" s="44" t="str">
        <f aca="false">IF(C1173="","",ROW()-9)</f>
        <v/>
      </c>
      <c r="C1173" s="45"/>
      <c r="D1173" s="46" t="str">
        <f aca="false">IF(C1173="","",IFERROR(TEXT(C1173,"MMMM"),""))</f>
        <v/>
      </c>
      <c r="E1173" s="47"/>
      <c r="F1173" s="48" t="str">
        <f aca="false">IF(E1173="","",IFERROR(INDEX('Chart of Accounts'!$C$4:$C$200,MATCH(TEXT(E1173,"@"),TEXT('Chart of Accounts'!$B$4:$B$200,"@"),0)),"⚠ Not Found"))</f>
        <v/>
      </c>
      <c r="G1173" s="49"/>
      <c r="H1173" s="50"/>
      <c r="I1173" s="50"/>
      <c r="J1173" s="47"/>
    </row>
    <row r="1174" customFormat="false" ht="16.5" hidden="false" customHeight="true" outlineLevel="0" collapsed="false">
      <c r="B1174" s="37" t="str">
        <f aca="false">IF(C1174="","",ROW()-9)</f>
        <v/>
      </c>
      <c r="C1174" s="38"/>
      <c r="D1174" s="39" t="str">
        <f aca="false">IF(C1174="","",IFERROR(TEXT(C1174,"MMMM"),""))</f>
        <v/>
      </c>
      <c r="E1174" s="40"/>
      <c r="F1174" s="41" t="str">
        <f aca="false">IF(E1174="","",IFERROR(INDEX('Chart of Accounts'!$C$4:$C$200,MATCH(TEXT(E1174,"@"),TEXT('Chart of Accounts'!$B$4:$B$200,"@"),0)),"⚠ Not Found"))</f>
        <v/>
      </c>
      <c r="G1174" s="42"/>
      <c r="H1174" s="43"/>
      <c r="I1174" s="43"/>
      <c r="J1174" s="40"/>
    </row>
    <row r="1175" customFormat="false" ht="16.5" hidden="false" customHeight="true" outlineLevel="0" collapsed="false">
      <c r="B1175" s="44" t="str">
        <f aca="false">IF(C1175="","",ROW()-9)</f>
        <v/>
      </c>
      <c r="C1175" s="45"/>
      <c r="D1175" s="46" t="str">
        <f aca="false">IF(C1175="","",IFERROR(TEXT(C1175,"MMMM"),""))</f>
        <v/>
      </c>
      <c r="E1175" s="47"/>
      <c r="F1175" s="48" t="str">
        <f aca="false">IF(E1175="","",IFERROR(INDEX('Chart of Accounts'!$C$4:$C$200,MATCH(TEXT(E1175,"@"),TEXT('Chart of Accounts'!$B$4:$B$200,"@"),0)),"⚠ Not Found"))</f>
        <v/>
      </c>
      <c r="G1175" s="49"/>
      <c r="H1175" s="50"/>
      <c r="I1175" s="50"/>
      <c r="J1175" s="47"/>
    </row>
    <row r="1176" customFormat="false" ht="16.5" hidden="false" customHeight="true" outlineLevel="0" collapsed="false">
      <c r="B1176" s="37" t="str">
        <f aca="false">IF(C1176="","",ROW()-9)</f>
        <v/>
      </c>
      <c r="C1176" s="38"/>
      <c r="D1176" s="39" t="str">
        <f aca="false">IF(C1176="","",IFERROR(TEXT(C1176,"MMMM"),""))</f>
        <v/>
      </c>
      <c r="E1176" s="40"/>
      <c r="F1176" s="41" t="str">
        <f aca="false">IF(E1176="","",IFERROR(INDEX('Chart of Accounts'!$C$4:$C$200,MATCH(TEXT(E1176,"@"),TEXT('Chart of Accounts'!$B$4:$B$200,"@"),0)),"⚠ Not Found"))</f>
        <v/>
      </c>
      <c r="G1176" s="42"/>
      <c r="H1176" s="43"/>
      <c r="I1176" s="43"/>
      <c r="J1176" s="40"/>
    </row>
    <row r="1177" customFormat="false" ht="16.5" hidden="false" customHeight="true" outlineLevel="0" collapsed="false">
      <c r="B1177" s="44" t="str">
        <f aca="false">IF(C1177="","",ROW()-9)</f>
        <v/>
      </c>
      <c r="C1177" s="45"/>
      <c r="D1177" s="46" t="str">
        <f aca="false">IF(C1177="","",IFERROR(TEXT(C1177,"MMMM"),""))</f>
        <v/>
      </c>
      <c r="E1177" s="47"/>
      <c r="F1177" s="48" t="str">
        <f aca="false">IF(E1177="","",IFERROR(INDEX('Chart of Accounts'!$C$4:$C$200,MATCH(TEXT(E1177,"@"),TEXT('Chart of Accounts'!$B$4:$B$200,"@"),0)),"⚠ Not Found"))</f>
        <v/>
      </c>
      <c r="G1177" s="49"/>
      <c r="H1177" s="50"/>
      <c r="I1177" s="50"/>
      <c r="J1177" s="47"/>
    </row>
    <row r="1178" customFormat="false" ht="16.5" hidden="false" customHeight="true" outlineLevel="0" collapsed="false">
      <c r="B1178" s="37" t="str">
        <f aca="false">IF(C1178="","",ROW()-9)</f>
        <v/>
      </c>
      <c r="C1178" s="38"/>
      <c r="D1178" s="39" t="str">
        <f aca="false">IF(C1178="","",IFERROR(TEXT(C1178,"MMMM"),""))</f>
        <v/>
      </c>
      <c r="E1178" s="40"/>
      <c r="F1178" s="41" t="str">
        <f aca="false">IF(E1178="","",IFERROR(INDEX('Chart of Accounts'!$C$4:$C$200,MATCH(TEXT(E1178,"@"),TEXT('Chart of Accounts'!$B$4:$B$200,"@"),0)),"⚠ Not Found"))</f>
        <v/>
      </c>
      <c r="G1178" s="42"/>
      <c r="H1178" s="43"/>
      <c r="I1178" s="43"/>
      <c r="J1178" s="40"/>
    </row>
    <row r="1179" customFormat="false" ht="16.5" hidden="false" customHeight="true" outlineLevel="0" collapsed="false">
      <c r="B1179" s="44" t="str">
        <f aca="false">IF(C1179="","",ROW()-9)</f>
        <v/>
      </c>
      <c r="C1179" s="45"/>
      <c r="D1179" s="46" t="str">
        <f aca="false">IF(C1179="","",IFERROR(TEXT(C1179,"MMMM"),""))</f>
        <v/>
      </c>
      <c r="E1179" s="47"/>
      <c r="F1179" s="48" t="str">
        <f aca="false">IF(E1179="","",IFERROR(INDEX('Chart of Accounts'!$C$4:$C$200,MATCH(TEXT(E1179,"@"),TEXT('Chart of Accounts'!$B$4:$B$200,"@"),0)),"⚠ Not Found"))</f>
        <v/>
      </c>
      <c r="G1179" s="49"/>
      <c r="H1179" s="50"/>
      <c r="I1179" s="50"/>
      <c r="J1179" s="47"/>
    </row>
    <row r="1180" customFormat="false" ht="16.5" hidden="false" customHeight="true" outlineLevel="0" collapsed="false">
      <c r="B1180" s="37" t="str">
        <f aca="false">IF(C1180="","",ROW()-9)</f>
        <v/>
      </c>
      <c r="C1180" s="38"/>
      <c r="D1180" s="39" t="str">
        <f aca="false">IF(C1180="","",IFERROR(TEXT(C1180,"MMMM"),""))</f>
        <v/>
      </c>
      <c r="E1180" s="40"/>
      <c r="F1180" s="41" t="str">
        <f aca="false">IF(E1180="","",IFERROR(INDEX('Chart of Accounts'!$C$4:$C$200,MATCH(TEXT(E1180,"@"),TEXT('Chart of Accounts'!$B$4:$B$200,"@"),0)),"⚠ Not Found"))</f>
        <v/>
      </c>
      <c r="G1180" s="42"/>
      <c r="H1180" s="43"/>
      <c r="I1180" s="43"/>
      <c r="J1180" s="40"/>
    </row>
    <row r="1181" customFormat="false" ht="16.5" hidden="false" customHeight="true" outlineLevel="0" collapsed="false">
      <c r="B1181" s="44" t="str">
        <f aca="false">IF(C1181="","",ROW()-9)</f>
        <v/>
      </c>
      <c r="C1181" s="45"/>
      <c r="D1181" s="46" t="str">
        <f aca="false">IF(C1181="","",IFERROR(TEXT(C1181,"MMMM"),""))</f>
        <v/>
      </c>
      <c r="E1181" s="47"/>
      <c r="F1181" s="48" t="str">
        <f aca="false">IF(E1181="","",IFERROR(INDEX('Chart of Accounts'!$C$4:$C$200,MATCH(TEXT(E1181,"@"),TEXT('Chart of Accounts'!$B$4:$B$200,"@"),0)),"⚠ Not Found"))</f>
        <v/>
      </c>
      <c r="G1181" s="49"/>
      <c r="H1181" s="50"/>
      <c r="I1181" s="50"/>
      <c r="J1181" s="47"/>
    </row>
    <row r="1182" customFormat="false" ht="16.5" hidden="false" customHeight="true" outlineLevel="0" collapsed="false">
      <c r="B1182" s="37" t="str">
        <f aca="false">IF(C1182="","",ROW()-9)</f>
        <v/>
      </c>
      <c r="C1182" s="38"/>
      <c r="D1182" s="39" t="str">
        <f aca="false">IF(C1182="","",IFERROR(TEXT(C1182,"MMMM"),""))</f>
        <v/>
      </c>
      <c r="E1182" s="40"/>
      <c r="F1182" s="41" t="str">
        <f aca="false">IF(E1182="","",IFERROR(INDEX('Chart of Accounts'!$C$4:$C$200,MATCH(TEXT(E1182,"@"),TEXT('Chart of Accounts'!$B$4:$B$200,"@"),0)),"⚠ Not Found"))</f>
        <v/>
      </c>
      <c r="G1182" s="42"/>
      <c r="H1182" s="43"/>
      <c r="I1182" s="43"/>
      <c r="J1182" s="40"/>
    </row>
    <row r="1183" customFormat="false" ht="16.5" hidden="false" customHeight="true" outlineLevel="0" collapsed="false">
      <c r="B1183" s="44" t="str">
        <f aca="false">IF(C1183="","",ROW()-9)</f>
        <v/>
      </c>
      <c r="C1183" s="45"/>
      <c r="D1183" s="46" t="str">
        <f aca="false">IF(C1183="","",IFERROR(TEXT(C1183,"MMMM"),""))</f>
        <v/>
      </c>
      <c r="E1183" s="47"/>
      <c r="F1183" s="48" t="str">
        <f aca="false">IF(E1183="","",IFERROR(INDEX('Chart of Accounts'!$C$4:$C$200,MATCH(TEXT(E1183,"@"),TEXT('Chart of Accounts'!$B$4:$B$200,"@"),0)),"⚠ Not Found"))</f>
        <v/>
      </c>
      <c r="G1183" s="49"/>
      <c r="H1183" s="50"/>
      <c r="I1183" s="50"/>
      <c r="J1183" s="47"/>
    </row>
    <row r="1184" customFormat="false" ht="16.5" hidden="false" customHeight="true" outlineLevel="0" collapsed="false">
      <c r="B1184" s="37" t="str">
        <f aca="false">IF(C1184="","",ROW()-9)</f>
        <v/>
      </c>
      <c r="C1184" s="38"/>
      <c r="D1184" s="39" t="str">
        <f aca="false">IF(C1184="","",IFERROR(TEXT(C1184,"MMMM"),""))</f>
        <v/>
      </c>
      <c r="E1184" s="40"/>
      <c r="F1184" s="41" t="str">
        <f aca="false">IF(E1184="","",IFERROR(INDEX('Chart of Accounts'!$C$4:$C$200,MATCH(TEXT(E1184,"@"),TEXT('Chart of Accounts'!$B$4:$B$200,"@"),0)),"⚠ Not Found"))</f>
        <v/>
      </c>
      <c r="G1184" s="42"/>
      <c r="H1184" s="43"/>
      <c r="I1184" s="43"/>
      <c r="J1184" s="40"/>
    </row>
    <row r="1185" customFormat="false" ht="16.5" hidden="false" customHeight="true" outlineLevel="0" collapsed="false">
      <c r="B1185" s="44" t="str">
        <f aca="false">IF(C1185="","",ROW()-9)</f>
        <v/>
      </c>
      <c r="C1185" s="45"/>
      <c r="D1185" s="46" t="str">
        <f aca="false">IF(C1185="","",IFERROR(TEXT(C1185,"MMMM"),""))</f>
        <v/>
      </c>
      <c r="E1185" s="47"/>
      <c r="F1185" s="48" t="str">
        <f aca="false">IF(E1185="","",IFERROR(INDEX('Chart of Accounts'!$C$4:$C$200,MATCH(TEXT(E1185,"@"),TEXT('Chart of Accounts'!$B$4:$B$200,"@"),0)),"⚠ Not Found"))</f>
        <v/>
      </c>
      <c r="G1185" s="49"/>
      <c r="H1185" s="50"/>
      <c r="I1185" s="50"/>
      <c r="J1185" s="47"/>
    </row>
    <row r="1186" customFormat="false" ht="16.5" hidden="false" customHeight="true" outlineLevel="0" collapsed="false">
      <c r="B1186" s="37" t="str">
        <f aca="false">IF(C1186="","",ROW()-9)</f>
        <v/>
      </c>
      <c r="C1186" s="38"/>
      <c r="D1186" s="39" t="str">
        <f aca="false">IF(C1186="","",IFERROR(TEXT(C1186,"MMMM"),""))</f>
        <v/>
      </c>
      <c r="E1186" s="40"/>
      <c r="F1186" s="41" t="str">
        <f aca="false">IF(E1186="","",IFERROR(INDEX('Chart of Accounts'!$C$4:$C$200,MATCH(TEXT(E1186,"@"),TEXT('Chart of Accounts'!$B$4:$B$200,"@"),0)),"⚠ Not Found"))</f>
        <v/>
      </c>
      <c r="G1186" s="42"/>
      <c r="H1186" s="43"/>
      <c r="I1186" s="43"/>
      <c r="J1186" s="40"/>
    </row>
    <row r="1187" customFormat="false" ht="16.5" hidden="false" customHeight="true" outlineLevel="0" collapsed="false">
      <c r="B1187" s="44" t="str">
        <f aca="false">IF(C1187="","",ROW()-9)</f>
        <v/>
      </c>
      <c r="C1187" s="45"/>
      <c r="D1187" s="46" t="str">
        <f aca="false">IF(C1187="","",IFERROR(TEXT(C1187,"MMMM"),""))</f>
        <v/>
      </c>
      <c r="E1187" s="47"/>
      <c r="F1187" s="48" t="str">
        <f aca="false">IF(E1187="","",IFERROR(INDEX('Chart of Accounts'!$C$4:$C$200,MATCH(TEXT(E1187,"@"),TEXT('Chart of Accounts'!$B$4:$B$200,"@"),0)),"⚠ Not Found"))</f>
        <v/>
      </c>
      <c r="G1187" s="49"/>
      <c r="H1187" s="50"/>
      <c r="I1187" s="50"/>
      <c r="J1187" s="47"/>
    </row>
    <row r="1188" customFormat="false" ht="16.5" hidden="false" customHeight="true" outlineLevel="0" collapsed="false">
      <c r="B1188" s="37" t="str">
        <f aca="false">IF(C1188="","",ROW()-9)</f>
        <v/>
      </c>
      <c r="C1188" s="38"/>
      <c r="D1188" s="39" t="str">
        <f aca="false">IF(C1188="","",IFERROR(TEXT(C1188,"MMMM"),""))</f>
        <v/>
      </c>
      <c r="E1188" s="40"/>
      <c r="F1188" s="41" t="str">
        <f aca="false">IF(E1188="","",IFERROR(INDEX('Chart of Accounts'!$C$4:$C$200,MATCH(TEXT(E1188,"@"),TEXT('Chart of Accounts'!$B$4:$B$200,"@"),0)),"⚠ Not Found"))</f>
        <v/>
      </c>
      <c r="G1188" s="42"/>
      <c r="H1188" s="43"/>
      <c r="I1188" s="43"/>
      <c r="J1188" s="40"/>
    </row>
    <row r="1189" customFormat="false" ht="16.5" hidden="false" customHeight="true" outlineLevel="0" collapsed="false">
      <c r="B1189" s="44" t="str">
        <f aca="false">IF(C1189="","",ROW()-9)</f>
        <v/>
      </c>
      <c r="C1189" s="45"/>
      <c r="D1189" s="46" t="str">
        <f aca="false">IF(C1189="","",IFERROR(TEXT(C1189,"MMMM"),""))</f>
        <v/>
      </c>
      <c r="E1189" s="47"/>
      <c r="F1189" s="48" t="str">
        <f aca="false">IF(E1189="","",IFERROR(INDEX('Chart of Accounts'!$C$4:$C$200,MATCH(TEXT(E1189,"@"),TEXT('Chart of Accounts'!$B$4:$B$200,"@"),0)),"⚠ Not Found"))</f>
        <v/>
      </c>
      <c r="G1189" s="49"/>
      <c r="H1189" s="50"/>
      <c r="I1189" s="50"/>
      <c r="J1189" s="47"/>
    </row>
    <row r="1190" customFormat="false" ht="16.5" hidden="false" customHeight="true" outlineLevel="0" collapsed="false">
      <c r="B1190" s="37" t="str">
        <f aca="false">IF(C1190="","",ROW()-9)</f>
        <v/>
      </c>
      <c r="C1190" s="38"/>
      <c r="D1190" s="39" t="str">
        <f aca="false">IF(C1190="","",IFERROR(TEXT(C1190,"MMMM"),""))</f>
        <v/>
      </c>
      <c r="E1190" s="40"/>
      <c r="F1190" s="41" t="str">
        <f aca="false">IF(E1190="","",IFERROR(INDEX('Chart of Accounts'!$C$4:$C$200,MATCH(TEXT(E1190,"@"),TEXT('Chart of Accounts'!$B$4:$B$200,"@"),0)),"⚠ Not Found"))</f>
        <v/>
      </c>
      <c r="G1190" s="42"/>
      <c r="H1190" s="43"/>
      <c r="I1190" s="43"/>
      <c r="J1190" s="40"/>
    </row>
    <row r="1191" customFormat="false" ht="16.5" hidden="false" customHeight="true" outlineLevel="0" collapsed="false">
      <c r="B1191" s="44" t="str">
        <f aca="false">IF(C1191="","",ROW()-9)</f>
        <v/>
      </c>
      <c r="C1191" s="45"/>
      <c r="D1191" s="46" t="str">
        <f aca="false">IF(C1191="","",IFERROR(TEXT(C1191,"MMMM"),""))</f>
        <v/>
      </c>
      <c r="E1191" s="47"/>
      <c r="F1191" s="48" t="str">
        <f aca="false">IF(E1191="","",IFERROR(INDEX('Chart of Accounts'!$C$4:$C$200,MATCH(TEXT(E1191,"@"),TEXT('Chart of Accounts'!$B$4:$B$200,"@"),0)),"⚠ Not Found"))</f>
        <v/>
      </c>
      <c r="G1191" s="49"/>
      <c r="H1191" s="50"/>
      <c r="I1191" s="50"/>
      <c r="J1191" s="47"/>
    </row>
    <row r="1192" customFormat="false" ht="16.5" hidden="false" customHeight="true" outlineLevel="0" collapsed="false">
      <c r="B1192" s="37" t="str">
        <f aca="false">IF(C1192="","",ROW()-9)</f>
        <v/>
      </c>
      <c r="C1192" s="38"/>
      <c r="D1192" s="39" t="str">
        <f aca="false">IF(C1192="","",IFERROR(TEXT(C1192,"MMMM"),""))</f>
        <v/>
      </c>
      <c r="E1192" s="40"/>
      <c r="F1192" s="41" t="str">
        <f aca="false">IF(E1192="","",IFERROR(INDEX('Chart of Accounts'!$C$4:$C$200,MATCH(TEXT(E1192,"@"),TEXT('Chart of Accounts'!$B$4:$B$200,"@"),0)),"⚠ Not Found"))</f>
        <v/>
      </c>
      <c r="G1192" s="42"/>
      <c r="H1192" s="43"/>
      <c r="I1192" s="43"/>
      <c r="J1192" s="40"/>
    </row>
    <row r="1193" customFormat="false" ht="16.5" hidden="false" customHeight="true" outlineLevel="0" collapsed="false">
      <c r="B1193" s="44" t="str">
        <f aca="false">IF(C1193="","",ROW()-9)</f>
        <v/>
      </c>
      <c r="C1193" s="45"/>
      <c r="D1193" s="46" t="str">
        <f aca="false">IF(C1193="","",IFERROR(TEXT(C1193,"MMMM"),""))</f>
        <v/>
      </c>
      <c r="E1193" s="47"/>
      <c r="F1193" s="48" t="str">
        <f aca="false">IF(E1193="","",IFERROR(INDEX('Chart of Accounts'!$C$4:$C$200,MATCH(TEXT(E1193,"@"),TEXT('Chart of Accounts'!$B$4:$B$200,"@"),0)),"⚠ Not Found"))</f>
        <v/>
      </c>
      <c r="G1193" s="49"/>
      <c r="H1193" s="50"/>
      <c r="I1193" s="50"/>
      <c r="J1193" s="47"/>
    </row>
    <row r="1194" customFormat="false" ht="16.5" hidden="false" customHeight="true" outlineLevel="0" collapsed="false">
      <c r="B1194" s="37" t="str">
        <f aca="false">IF(C1194="","",ROW()-9)</f>
        <v/>
      </c>
      <c r="C1194" s="38"/>
      <c r="D1194" s="39" t="str">
        <f aca="false">IF(C1194="","",IFERROR(TEXT(C1194,"MMMM"),""))</f>
        <v/>
      </c>
      <c r="E1194" s="40"/>
      <c r="F1194" s="41" t="str">
        <f aca="false">IF(E1194="","",IFERROR(INDEX('Chart of Accounts'!$C$4:$C$200,MATCH(TEXT(E1194,"@"),TEXT('Chart of Accounts'!$B$4:$B$200,"@"),0)),"⚠ Not Found"))</f>
        <v/>
      </c>
      <c r="G1194" s="42"/>
      <c r="H1194" s="43"/>
      <c r="I1194" s="43"/>
      <c r="J1194" s="40"/>
    </row>
    <row r="1195" customFormat="false" ht="16.5" hidden="false" customHeight="true" outlineLevel="0" collapsed="false">
      <c r="B1195" s="44" t="str">
        <f aca="false">IF(C1195="","",ROW()-9)</f>
        <v/>
      </c>
      <c r="C1195" s="45"/>
      <c r="D1195" s="46" t="str">
        <f aca="false">IF(C1195="","",IFERROR(TEXT(C1195,"MMMM"),""))</f>
        <v/>
      </c>
      <c r="E1195" s="47"/>
      <c r="F1195" s="48" t="str">
        <f aca="false">IF(E1195="","",IFERROR(INDEX('Chart of Accounts'!$C$4:$C$200,MATCH(TEXT(E1195,"@"),TEXT('Chart of Accounts'!$B$4:$B$200,"@"),0)),"⚠ Not Found"))</f>
        <v/>
      </c>
      <c r="G1195" s="49"/>
      <c r="H1195" s="50"/>
      <c r="I1195" s="50"/>
      <c r="J1195" s="47"/>
    </row>
    <row r="1196" customFormat="false" ht="16.5" hidden="false" customHeight="true" outlineLevel="0" collapsed="false">
      <c r="B1196" s="37" t="str">
        <f aca="false">IF(C1196="","",ROW()-9)</f>
        <v/>
      </c>
      <c r="C1196" s="38"/>
      <c r="D1196" s="39" t="str">
        <f aca="false">IF(C1196="","",IFERROR(TEXT(C1196,"MMMM"),""))</f>
        <v/>
      </c>
      <c r="E1196" s="40"/>
      <c r="F1196" s="41" t="str">
        <f aca="false">IF(E1196="","",IFERROR(INDEX('Chart of Accounts'!$C$4:$C$200,MATCH(TEXT(E1196,"@"),TEXT('Chart of Accounts'!$B$4:$B$200,"@"),0)),"⚠ Not Found"))</f>
        <v/>
      </c>
      <c r="G1196" s="42"/>
      <c r="H1196" s="43"/>
      <c r="I1196" s="43"/>
      <c r="J1196" s="40"/>
    </row>
    <row r="1197" customFormat="false" ht="16.5" hidden="false" customHeight="true" outlineLevel="0" collapsed="false">
      <c r="B1197" s="44" t="str">
        <f aca="false">IF(C1197="","",ROW()-9)</f>
        <v/>
      </c>
      <c r="C1197" s="45"/>
      <c r="D1197" s="46" t="str">
        <f aca="false">IF(C1197="","",IFERROR(TEXT(C1197,"MMMM"),""))</f>
        <v/>
      </c>
      <c r="E1197" s="47"/>
      <c r="F1197" s="48" t="str">
        <f aca="false">IF(E1197="","",IFERROR(INDEX('Chart of Accounts'!$C$4:$C$200,MATCH(TEXT(E1197,"@"),TEXT('Chart of Accounts'!$B$4:$B$200,"@"),0)),"⚠ Not Found"))</f>
        <v/>
      </c>
      <c r="G1197" s="49"/>
      <c r="H1197" s="50"/>
      <c r="I1197" s="50"/>
      <c r="J1197" s="47"/>
    </row>
    <row r="1198" customFormat="false" ht="16.5" hidden="false" customHeight="true" outlineLevel="0" collapsed="false">
      <c r="B1198" s="37" t="str">
        <f aca="false">IF(C1198="","",ROW()-9)</f>
        <v/>
      </c>
      <c r="C1198" s="38"/>
      <c r="D1198" s="39" t="str">
        <f aca="false">IF(C1198="","",IFERROR(TEXT(C1198,"MMMM"),""))</f>
        <v/>
      </c>
      <c r="E1198" s="40"/>
      <c r="F1198" s="41" t="str">
        <f aca="false">IF(E1198="","",IFERROR(INDEX('Chart of Accounts'!$C$4:$C$200,MATCH(TEXT(E1198,"@"),TEXT('Chart of Accounts'!$B$4:$B$200,"@"),0)),"⚠ Not Found"))</f>
        <v/>
      </c>
      <c r="G1198" s="42"/>
      <c r="H1198" s="43"/>
      <c r="I1198" s="43"/>
      <c r="J1198" s="40"/>
    </row>
    <row r="1199" customFormat="false" ht="16.5" hidden="false" customHeight="true" outlineLevel="0" collapsed="false">
      <c r="B1199" s="44" t="str">
        <f aca="false">IF(C1199="","",ROW()-9)</f>
        <v/>
      </c>
      <c r="C1199" s="45"/>
      <c r="D1199" s="46" t="str">
        <f aca="false">IF(C1199="","",IFERROR(TEXT(C1199,"MMMM"),""))</f>
        <v/>
      </c>
      <c r="E1199" s="47"/>
      <c r="F1199" s="48" t="str">
        <f aca="false">IF(E1199="","",IFERROR(INDEX('Chart of Accounts'!$C$4:$C$200,MATCH(TEXT(E1199,"@"),TEXT('Chart of Accounts'!$B$4:$B$200,"@"),0)),"⚠ Not Found"))</f>
        <v/>
      </c>
      <c r="G1199" s="49"/>
      <c r="H1199" s="50"/>
      <c r="I1199" s="50"/>
      <c r="J1199" s="47"/>
    </row>
    <row r="1200" customFormat="false" ht="16.5" hidden="false" customHeight="true" outlineLevel="0" collapsed="false">
      <c r="B1200" s="37" t="str">
        <f aca="false">IF(C1200="","",ROW()-9)</f>
        <v/>
      </c>
      <c r="C1200" s="38"/>
      <c r="D1200" s="39" t="str">
        <f aca="false">IF(C1200="","",IFERROR(TEXT(C1200,"MMMM"),""))</f>
        <v/>
      </c>
      <c r="E1200" s="40"/>
      <c r="F1200" s="41" t="str">
        <f aca="false">IF(E1200="","",IFERROR(INDEX('Chart of Accounts'!$C$4:$C$200,MATCH(TEXT(E1200,"@"),TEXT('Chart of Accounts'!$B$4:$B$200,"@"),0)),"⚠ Not Found"))</f>
        <v/>
      </c>
      <c r="G1200" s="42"/>
      <c r="H1200" s="43"/>
      <c r="I1200" s="43"/>
      <c r="J1200" s="40"/>
    </row>
    <row r="1201" customFormat="false" ht="16.5" hidden="false" customHeight="true" outlineLevel="0" collapsed="false">
      <c r="B1201" s="44" t="str">
        <f aca="false">IF(C1201="","",ROW()-9)</f>
        <v/>
      </c>
      <c r="C1201" s="45"/>
      <c r="D1201" s="46" t="str">
        <f aca="false">IF(C1201="","",IFERROR(TEXT(C1201,"MMMM"),""))</f>
        <v/>
      </c>
      <c r="E1201" s="47"/>
      <c r="F1201" s="48" t="str">
        <f aca="false">IF(E1201="","",IFERROR(INDEX('Chart of Accounts'!$C$4:$C$200,MATCH(TEXT(E1201,"@"),TEXT('Chart of Accounts'!$B$4:$B$200,"@"),0)),"⚠ Not Found"))</f>
        <v/>
      </c>
      <c r="G1201" s="49"/>
      <c r="H1201" s="50"/>
      <c r="I1201" s="50"/>
      <c r="J1201" s="47"/>
    </row>
    <row r="1202" customFormat="false" ht="16.5" hidden="false" customHeight="true" outlineLevel="0" collapsed="false">
      <c r="B1202" s="37" t="str">
        <f aca="false">IF(C1202="","",ROW()-9)</f>
        <v/>
      </c>
      <c r="C1202" s="38"/>
      <c r="D1202" s="39" t="str">
        <f aca="false">IF(C1202="","",IFERROR(TEXT(C1202,"MMMM"),""))</f>
        <v/>
      </c>
      <c r="E1202" s="40"/>
      <c r="F1202" s="41" t="str">
        <f aca="false">IF(E1202="","",IFERROR(INDEX('Chart of Accounts'!$C$4:$C$200,MATCH(TEXT(E1202,"@"),TEXT('Chart of Accounts'!$B$4:$B$200,"@"),0)),"⚠ Not Found"))</f>
        <v/>
      </c>
      <c r="G1202" s="42"/>
      <c r="H1202" s="43"/>
      <c r="I1202" s="43"/>
      <c r="J1202" s="40"/>
    </row>
    <row r="1203" customFormat="false" ht="16.5" hidden="false" customHeight="true" outlineLevel="0" collapsed="false">
      <c r="B1203" s="44" t="str">
        <f aca="false">IF(C1203="","",ROW()-9)</f>
        <v/>
      </c>
      <c r="C1203" s="45"/>
      <c r="D1203" s="46" t="str">
        <f aca="false">IF(C1203="","",IFERROR(TEXT(C1203,"MMMM"),""))</f>
        <v/>
      </c>
      <c r="E1203" s="47"/>
      <c r="F1203" s="48" t="str">
        <f aca="false">IF(E1203="","",IFERROR(INDEX('Chart of Accounts'!$C$4:$C$200,MATCH(TEXT(E1203,"@"),TEXT('Chart of Accounts'!$B$4:$B$200,"@"),0)),"⚠ Not Found"))</f>
        <v/>
      </c>
      <c r="G1203" s="49"/>
      <c r="H1203" s="50"/>
      <c r="I1203" s="50"/>
      <c r="J1203" s="47"/>
    </row>
    <row r="1204" customFormat="false" ht="16.5" hidden="false" customHeight="true" outlineLevel="0" collapsed="false">
      <c r="B1204" s="37" t="str">
        <f aca="false">IF(C1204="","",ROW()-9)</f>
        <v/>
      </c>
      <c r="C1204" s="38"/>
      <c r="D1204" s="39" t="str">
        <f aca="false">IF(C1204="","",IFERROR(TEXT(C1204,"MMMM"),""))</f>
        <v/>
      </c>
      <c r="E1204" s="40"/>
      <c r="F1204" s="41" t="str">
        <f aca="false">IF(E1204="","",IFERROR(INDEX('Chart of Accounts'!$C$4:$C$200,MATCH(TEXT(E1204,"@"),TEXT('Chart of Accounts'!$B$4:$B$200,"@"),0)),"⚠ Not Found"))</f>
        <v/>
      </c>
      <c r="G1204" s="42"/>
      <c r="H1204" s="43"/>
      <c r="I1204" s="43"/>
      <c r="J1204" s="40"/>
    </row>
    <row r="1205" customFormat="false" ht="16.5" hidden="false" customHeight="true" outlineLevel="0" collapsed="false">
      <c r="B1205" s="44" t="str">
        <f aca="false">IF(C1205="","",ROW()-9)</f>
        <v/>
      </c>
      <c r="C1205" s="45"/>
      <c r="D1205" s="46" t="str">
        <f aca="false">IF(C1205="","",IFERROR(TEXT(C1205,"MMMM"),""))</f>
        <v/>
      </c>
      <c r="E1205" s="47"/>
      <c r="F1205" s="48" t="str">
        <f aca="false">IF(E1205="","",IFERROR(INDEX('Chart of Accounts'!$C$4:$C$200,MATCH(TEXT(E1205,"@"),TEXT('Chart of Accounts'!$B$4:$B$200,"@"),0)),"⚠ Not Found"))</f>
        <v/>
      </c>
      <c r="G1205" s="49"/>
      <c r="H1205" s="50"/>
      <c r="I1205" s="50"/>
      <c r="J1205" s="47"/>
    </row>
    <row r="1206" customFormat="false" ht="16.5" hidden="false" customHeight="true" outlineLevel="0" collapsed="false">
      <c r="B1206" s="37" t="str">
        <f aca="false">IF(C1206="","",ROW()-9)</f>
        <v/>
      </c>
      <c r="C1206" s="38"/>
      <c r="D1206" s="39" t="str">
        <f aca="false">IF(C1206="","",IFERROR(TEXT(C1206,"MMMM"),""))</f>
        <v/>
      </c>
      <c r="E1206" s="40"/>
      <c r="F1206" s="41" t="str">
        <f aca="false">IF(E1206="","",IFERROR(INDEX('Chart of Accounts'!$C$4:$C$200,MATCH(TEXT(E1206,"@"),TEXT('Chart of Accounts'!$B$4:$B$200,"@"),0)),"⚠ Not Found"))</f>
        <v/>
      </c>
      <c r="G1206" s="42"/>
      <c r="H1206" s="43"/>
      <c r="I1206" s="43"/>
      <c r="J1206" s="40"/>
    </row>
    <row r="1207" customFormat="false" ht="16.5" hidden="false" customHeight="true" outlineLevel="0" collapsed="false">
      <c r="B1207" s="44" t="str">
        <f aca="false">IF(C1207="","",ROW()-9)</f>
        <v/>
      </c>
      <c r="C1207" s="45"/>
      <c r="D1207" s="46" t="str">
        <f aca="false">IF(C1207="","",IFERROR(TEXT(C1207,"MMMM"),""))</f>
        <v/>
      </c>
      <c r="E1207" s="47"/>
      <c r="F1207" s="48" t="str">
        <f aca="false">IF(E1207="","",IFERROR(INDEX('Chart of Accounts'!$C$4:$C$200,MATCH(TEXT(E1207,"@"),TEXT('Chart of Accounts'!$B$4:$B$200,"@"),0)),"⚠ Not Found"))</f>
        <v/>
      </c>
      <c r="G1207" s="49"/>
      <c r="H1207" s="50"/>
      <c r="I1207" s="50"/>
      <c r="J1207" s="47"/>
    </row>
    <row r="1208" customFormat="false" ht="16.5" hidden="false" customHeight="true" outlineLevel="0" collapsed="false">
      <c r="B1208" s="37" t="str">
        <f aca="false">IF(C1208="","",ROW()-9)</f>
        <v/>
      </c>
      <c r="C1208" s="38"/>
      <c r="D1208" s="39" t="str">
        <f aca="false">IF(C1208="","",IFERROR(TEXT(C1208,"MMMM"),""))</f>
        <v/>
      </c>
      <c r="E1208" s="40"/>
      <c r="F1208" s="41" t="str">
        <f aca="false">IF(E1208="","",IFERROR(INDEX('Chart of Accounts'!$C$4:$C$200,MATCH(TEXT(E1208,"@"),TEXT('Chart of Accounts'!$B$4:$B$200,"@"),0)),"⚠ Not Found"))</f>
        <v/>
      </c>
      <c r="G1208" s="42"/>
      <c r="H1208" s="43"/>
      <c r="I1208" s="43"/>
      <c r="J1208" s="40"/>
    </row>
    <row r="1209" customFormat="false" ht="16.5" hidden="false" customHeight="true" outlineLevel="0" collapsed="false">
      <c r="B1209" s="44" t="str">
        <f aca="false">IF(C1209="","",ROW()-9)</f>
        <v/>
      </c>
      <c r="C1209" s="45"/>
      <c r="D1209" s="46" t="str">
        <f aca="false">IF(C1209="","",IFERROR(TEXT(C1209,"MMMM"),""))</f>
        <v/>
      </c>
      <c r="E1209" s="47"/>
      <c r="F1209" s="48" t="str">
        <f aca="false">IF(E1209="","",IFERROR(INDEX('Chart of Accounts'!$C$4:$C$200,MATCH(TEXT(E1209,"@"),TEXT('Chart of Accounts'!$B$4:$B$200,"@"),0)),"⚠ Not Found"))</f>
        <v/>
      </c>
      <c r="G1209" s="49"/>
      <c r="H1209" s="50"/>
      <c r="I1209" s="50"/>
      <c r="J1209" s="47"/>
    </row>
    <row r="1210" customFormat="false" ht="16.5" hidden="false" customHeight="true" outlineLevel="0" collapsed="false">
      <c r="B1210" s="37" t="str">
        <f aca="false">IF(C1210="","",ROW()-9)</f>
        <v/>
      </c>
      <c r="C1210" s="38"/>
      <c r="D1210" s="39" t="str">
        <f aca="false">IF(C1210="","",IFERROR(TEXT(C1210,"MMMM"),""))</f>
        <v/>
      </c>
      <c r="E1210" s="40"/>
      <c r="F1210" s="41" t="str">
        <f aca="false">IF(E1210="","",IFERROR(INDEX('Chart of Accounts'!$C$4:$C$200,MATCH(TEXT(E1210,"@"),TEXT('Chart of Accounts'!$B$4:$B$200,"@"),0)),"⚠ Not Found"))</f>
        <v/>
      </c>
      <c r="G1210" s="42"/>
      <c r="H1210" s="43"/>
      <c r="I1210" s="43"/>
      <c r="J1210" s="40"/>
    </row>
    <row r="1211" customFormat="false" ht="16.5" hidden="false" customHeight="true" outlineLevel="0" collapsed="false">
      <c r="B1211" s="44" t="str">
        <f aca="false">IF(C1211="","",ROW()-9)</f>
        <v/>
      </c>
      <c r="C1211" s="45"/>
      <c r="D1211" s="46" t="str">
        <f aca="false">IF(C1211="","",IFERROR(TEXT(C1211,"MMMM"),""))</f>
        <v/>
      </c>
      <c r="E1211" s="47"/>
      <c r="F1211" s="48" t="str">
        <f aca="false">IF(E1211="","",IFERROR(INDEX('Chart of Accounts'!$C$4:$C$200,MATCH(TEXT(E1211,"@"),TEXT('Chart of Accounts'!$B$4:$B$200,"@"),0)),"⚠ Not Found"))</f>
        <v/>
      </c>
      <c r="G1211" s="49"/>
      <c r="H1211" s="50"/>
      <c r="I1211" s="50"/>
      <c r="J1211" s="47"/>
    </row>
    <row r="1212" customFormat="false" ht="16.5" hidden="false" customHeight="true" outlineLevel="0" collapsed="false">
      <c r="B1212" s="37" t="str">
        <f aca="false">IF(C1212="","",ROW()-9)</f>
        <v/>
      </c>
      <c r="C1212" s="38"/>
      <c r="D1212" s="39" t="str">
        <f aca="false">IF(C1212="","",IFERROR(TEXT(C1212,"MMMM"),""))</f>
        <v/>
      </c>
      <c r="E1212" s="40"/>
      <c r="F1212" s="41" t="str">
        <f aca="false">IF(E1212="","",IFERROR(INDEX('Chart of Accounts'!$C$4:$C$200,MATCH(TEXT(E1212,"@"),TEXT('Chart of Accounts'!$B$4:$B$200,"@"),0)),"⚠ Not Found"))</f>
        <v/>
      </c>
      <c r="G1212" s="42"/>
      <c r="H1212" s="43"/>
      <c r="I1212" s="43"/>
      <c r="J1212" s="40"/>
    </row>
    <row r="1213" customFormat="false" ht="16.5" hidden="false" customHeight="true" outlineLevel="0" collapsed="false">
      <c r="B1213" s="44" t="str">
        <f aca="false">IF(C1213="","",ROW()-9)</f>
        <v/>
      </c>
      <c r="C1213" s="45"/>
      <c r="D1213" s="46" t="str">
        <f aca="false">IF(C1213="","",IFERROR(TEXT(C1213,"MMMM"),""))</f>
        <v/>
      </c>
      <c r="E1213" s="47"/>
      <c r="F1213" s="48" t="str">
        <f aca="false">IF(E1213="","",IFERROR(INDEX('Chart of Accounts'!$C$4:$C$200,MATCH(TEXT(E1213,"@"),TEXT('Chart of Accounts'!$B$4:$B$200,"@"),0)),"⚠ Not Found"))</f>
        <v/>
      </c>
      <c r="G1213" s="49"/>
      <c r="H1213" s="50"/>
      <c r="I1213" s="50"/>
      <c r="J1213" s="47"/>
    </row>
    <row r="1214" customFormat="false" ht="16.5" hidden="false" customHeight="true" outlineLevel="0" collapsed="false">
      <c r="B1214" s="37" t="str">
        <f aca="false">IF(C1214="","",ROW()-9)</f>
        <v/>
      </c>
      <c r="C1214" s="38"/>
      <c r="D1214" s="39" t="str">
        <f aca="false">IF(C1214="","",IFERROR(TEXT(C1214,"MMMM"),""))</f>
        <v/>
      </c>
      <c r="E1214" s="40"/>
      <c r="F1214" s="41" t="str">
        <f aca="false">IF(E1214="","",IFERROR(INDEX('Chart of Accounts'!$C$4:$C$200,MATCH(TEXT(E1214,"@"),TEXT('Chart of Accounts'!$B$4:$B$200,"@"),0)),"⚠ Not Found"))</f>
        <v/>
      </c>
      <c r="G1214" s="42"/>
      <c r="H1214" s="43"/>
      <c r="I1214" s="43"/>
      <c r="J1214" s="40"/>
    </row>
    <row r="1215" customFormat="false" ht="16.5" hidden="false" customHeight="true" outlineLevel="0" collapsed="false">
      <c r="B1215" s="44" t="str">
        <f aca="false">IF(C1215="","",ROW()-9)</f>
        <v/>
      </c>
      <c r="C1215" s="45"/>
      <c r="D1215" s="46" t="str">
        <f aca="false">IF(C1215="","",IFERROR(TEXT(C1215,"MMMM"),""))</f>
        <v/>
      </c>
      <c r="E1215" s="47"/>
      <c r="F1215" s="48" t="str">
        <f aca="false">IF(E1215="","",IFERROR(INDEX('Chart of Accounts'!$C$4:$C$200,MATCH(TEXT(E1215,"@"),TEXT('Chart of Accounts'!$B$4:$B$200,"@"),0)),"⚠ Not Found"))</f>
        <v/>
      </c>
      <c r="G1215" s="49"/>
      <c r="H1215" s="50"/>
      <c r="I1215" s="50"/>
      <c r="J1215" s="47"/>
    </row>
    <row r="1216" customFormat="false" ht="16.5" hidden="false" customHeight="true" outlineLevel="0" collapsed="false">
      <c r="B1216" s="37" t="str">
        <f aca="false">IF(C1216="","",ROW()-9)</f>
        <v/>
      </c>
      <c r="C1216" s="38"/>
      <c r="D1216" s="39" t="str">
        <f aca="false">IF(C1216="","",IFERROR(TEXT(C1216,"MMMM"),""))</f>
        <v/>
      </c>
      <c r="E1216" s="40"/>
      <c r="F1216" s="41" t="str">
        <f aca="false">IF(E1216="","",IFERROR(INDEX('Chart of Accounts'!$C$4:$C$200,MATCH(TEXT(E1216,"@"),TEXT('Chart of Accounts'!$B$4:$B$200,"@"),0)),"⚠ Not Found"))</f>
        <v/>
      </c>
      <c r="G1216" s="42"/>
      <c r="H1216" s="43"/>
      <c r="I1216" s="43"/>
      <c r="J1216" s="40"/>
    </row>
    <row r="1217" customFormat="false" ht="16.5" hidden="false" customHeight="true" outlineLevel="0" collapsed="false">
      <c r="B1217" s="44" t="str">
        <f aca="false">IF(C1217="","",ROW()-9)</f>
        <v/>
      </c>
      <c r="C1217" s="45"/>
      <c r="D1217" s="46" t="str">
        <f aca="false">IF(C1217="","",IFERROR(TEXT(C1217,"MMMM"),""))</f>
        <v/>
      </c>
      <c r="E1217" s="47"/>
      <c r="F1217" s="48" t="str">
        <f aca="false">IF(E1217="","",IFERROR(INDEX('Chart of Accounts'!$C$4:$C$200,MATCH(TEXT(E1217,"@"),TEXT('Chart of Accounts'!$B$4:$B$200,"@"),0)),"⚠ Not Found"))</f>
        <v/>
      </c>
      <c r="G1217" s="49"/>
      <c r="H1217" s="50"/>
      <c r="I1217" s="50"/>
      <c r="J1217" s="47"/>
    </row>
    <row r="1218" customFormat="false" ht="16.5" hidden="false" customHeight="true" outlineLevel="0" collapsed="false">
      <c r="B1218" s="37" t="str">
        <f aca="false">IF(C1218="","",ROW()-9)</f>
        <v/>
      </c>
      <c r="C1218" s="38"/>
      <c r="D1218" s="39" t="str">
        <f aca="false">IF(C1218="","",IFERROR(TEXT(C1218,"MMMM"),""))</f>
        <v/>
      </c>
      <c r="E1218" s="40"/>
      <c r="F1218" s="41" t="str">
        <f aca="false">IF(E1218="","",IFERROR(INDEX('Chart of Accounts'!$C$4:$C$200,MATCH(TEXT(E1218,"@"),TEXT('Chart of Accounts'!$B$4:$B$200,"@"),0)),"⚠ Not Found"))</f>
        <v/>
      </c>
      <c r="G1218" s="42"/>
      <c r="H1218" s="43"/>
      <c r="I1218" s="43"/>
      <c r="J1218" s="40"/>
    </row>
    <row r="1219" customFormat="false" ht="16.5" hidden="false" customHeight="true" outlineLevel="0" collapsed="false">
      <c r="B1219" s="44" t="str">
        <f aca="false">IF(C1219="","",ROW()-9)</f>
        <v/>
      </c>
      <c r="C1219" s="45"/>
      <c r="D1219" s="46" t="str">
        <f aca="false">IF(C1219="","",IFERROR(TEXT(C1219,"MMMM"),""))</f>
        <v/>
      </c>
      <c r="E1219" s="47"/>
      <c r="F1219" s="48" t="str">
        <f aca="false">IF(E1219="","",IFERROR(INDEX('Chart of Accounts'!$C$4:$C$200,MATCH(TEXT(E1219,"@"),TEXT('Chart of Accounts'!$B$4:$B$200,"@"),0)),"⚠ Not Found"))</f>
        <v/>
      </c>
      <c r="G1219" s="49"/>
      <c r="H1219" s="50"/>
      <c r="I1219" s="50"/>
      <c r="J1219" s="47"/>
    </row>
    <row r="1220" customFormat="false" ht="16.5" hidden="false" customHeight="true" outlineLevel="0" collapsed="false">
      <c r="B1220" s="37" t="str">
        <f aca="false">IF(C1220="","",ROW()-9)</f>
        <v/>
      </c>
      <c r="C1220" s="38"/>
      <c r="D1220" s="39" t="str">
        <f aca="false">IF(C1220="","",IFERROR(TEXT(C1220,"MMMM"),""))</f>
        <v/>
      </c>
      <c r="E1220" s="40"/>
      <c r="F1220" s="41" t="str">
        <f aca="false">IF(E1220="","",IFERROR(INDEX('Chart of Accounts'!$C$4:$C$200,MATCH(TEXT(E1220,"@"),TEXT('Chart of Accounts'!$B$4:$B$200,"@"),0)),"⚠ Not Found"))</f>
        <v/>
      </c>
      <c r="G1220" s="42"/>
      <c r="H1220" s="43"/>
      <c r="I1220" s="43"/>
      <c r="J1220" s="40"/>
    </row>
    <row r="1221" customFormat="false" ht="16.5" hidden="false" customHeight="true" outlineLevel="0" collapsed="false">
      <c r="B1221" s="44" t="str">
        <f aca="false">IF(C1221="","",ROW()-9)</f>
        <v/>
      </c>
      <c r="C1221" s="45"/>
      <c r="D1221" s="46" t="str">
        <f aca="false">IF(C1221="","",IFERROR(TEXT(C1221,"MMMM"),""))</f>
        <v/>
      </c>
      <c r="E1221" s="47"/>
      <c r="F1221" s="48" t="str">
        <f aca="false">IF(E1221="","",IFERROR(INDEX('Chart of Accounts'!$C$4:$C$200,MATCH(TEXT(E1221,"@"),TEXT('Chart of Accounts'!$B$4:$B$200,"@"),0)),"⚠ Not Found"))</f>
        <v/>
      </c>
      <c r="G1221" s="49"/>
      <c r="H1221" s="50"/>
      <c r="I1221" s="50"/>
      <c r="J1221" s="47"/>
    </row>
    <row r="1222" customFormat="false" ht="16.5" hidden="false" customHeight="true" outlineLevel="0" collapsed="false">
      <c r="B1222" s="37" t="str">
        <f aca="false">IF(C1222="","",ROW()-9)</f>
        <v/>
      </c>
      <c r="C1222" s="38"/>
      <c r="D1222" s="39" t="str">
        <f aca="false">IF(C1222="","",IFERROR(TEXT(C1222,"MMMM"),""))</f>
        <v/>
      </c>
      <c r="E1222" s="40"/>
      <c r="F1222" s="41" t="str">
        <f aca="false">IF(E1222="","",IFERROR(INDEX('Chart of Accounts'!$C$4:$C$200,MATCH(TEXT(E1222,"@"),TEXT('Chart of Accounts'!$B$4:$B$200,"@"),0)),"⚠ Not Found"))</f>
        <v/>
      </c>
      <c r="G1222" s="42"/>
      <c r="H1222" s="43"/>
      <c r="I1222" s="43"/>
      <c r="J1222" s="40"/>
    </row>
    <row r="1223" customFormat="false" ht="16.5" hidden="false" customHeight="true" outlineLevel="0" collapsed="false">
      <c r="B1223" s="44" t="str">
        <f aca="false">IF(C1223="","",ROW()-9)</f>
        <v/>
      </c>
      <c r="C1223" s="45"/>
      <c r="D1223" s="46" t="str">
        <f aca="false">IF(C1223="","",IFERROR(TEXT(C1223,"MMMM"),""))</f>
        <v/>
      </c>
      <c r="E1223" s="47"/>
      <c r="F1223" s="48" t="str">
        <f aca="false">IF(E1223="","",IFERROR(INDEX('Chart of Accounts'!$C$4:$C$200,MATCH(TEXT(E1223,"@"),TEXT('Chart of Accounts'!$B$4:$B$200,"@"),0)),"⚠ Not Found"))</f>
        <v/>
      </c>
      <c r="G1223" s="49"/>
      <c r="H1223" s="50"/>
      <c r="I1223" s="50"/>
      <c r="J1223" s="47"/>
    </row>
    <row r="1224" customFormat="false" ht="16.5" hidden="false" customHeight="true" outlineLevel="0" collapsed="false">
      <c r="B1224" s="37" t="str">
        <f aca="false">IF(C1224="","",ROW()-9)</f>
        <v/>
      </c>
      <c r="C1224" s="38"/>
      <c r="D1224" s="39" t="str">
        <f aca="false">IF(C1224="","",IFERROR(TEXT(C1224,"MMMM"),""))</f>
        <v/>
      </c>
      <c r="E1224" s="40"/>
      <c r="F1224" s="41" t="str">
        <f aca="false">IF(E1224="","",IFERROR(INDEX('Chart of Accounts'!$C$4:$C$200,MATCH(TEXT(E1224,"@"),TEXT('Chart of Accounts'!$B$4:$B$200,"@"),0)),"⚠ Not Found"))</f>
        <v/>
      </c>
      <c r="G1224" s="42"/>
      <c r="H1224" s="43"/>
      <c r="I1224" s="43"/>
      <c r="J1224" s="40"/>
    </row>
    <row r="1225" customFormat="false" ht="16.5" hidden="false" customHeight="true" outlineLevel="0" collapsed="false">
      <c r="B1225" s="44" t="str">
        <f aca="false">IF(C1225="","",ROW()-9)</f>
        <v/>
      </c>
      <c r="C1225" s="45"/>
      <c r="D1225" s="46" t="str">
        <f aca="false">IF(C1225="","",IFERROR(TEXT(C1225,"MMMM"),""))</f>
        <v/>
      </c>
      <c r="E1225" s="47"/>
      <c r="F1225" s="48" t="str">
        <f aca="false">IF(E1225="","",IFERROR(INDEX('Chart of Accounts'!$C$4:$C$200,MATCH(TEXT(E1225,"@"),TEXT('Chart of Accounts'!$B$4:$B$200,"@"),0)),"⚠ Not Found"))</f>
        <v/>
      </c>
      <c r="G1225" s="49"/>
      <c r="H1225" s="50"/>
      <c r="I1225" s="50"/>
      <c r="J1225" s="47"/>
    </row>
    <row r="1226" customFormat="false" ht="16.5" hidden="false" customHeight="true" outlineLevel="0" collapsed="false">
      <c r="B1226" s="37" t="str">
        <f aca="false">IF(C1226="","",ROW()-9)</f>
        <v/>
      </c>
      <c r="C1226" s="38"/>
      <c r="D1226" s="39" t="str">
        <f aca="false">IF(C1226="","",IFERROR(TEXT(C1226,"MMMM"),""))</f>
        <v/>
      </c>
      <c r="E1226" s="40"/>
      <c r="F1226" s="41" t="str">
        <f aca="false">IF(E1226="","",IFERROR(INDEX('Chart of Accounts'!$C$4:$C$200,MATCH(TEXT(E1226,"@"),TEXT('Chart of Accounts'!$B$4:$B$200,"@"),0)),"⚠ Not Found"))</f>
        <v/>
      </c>
      <c r="G1226" s="42"/>
      <c r="H1226" s="43"/>
      <c r="I1226" s="43"/>
      <c r="J1226" s="40"/>
    </row>
    <row r="1227" customFormat="false" ht="16.5" hidden="false" customHeight="true" outlineLevel="0" collapsed="false">
      <c r="B1227" s="44" t="str">
        <f aca="false">IF(C1227="","",ROW()-9)</f>
        <v/>
      </c>
      <c r="C1227" s="45"/>
      <c r="D1227" s="46" t="str">
        <f aca="false">IF(C1227="","",IFERROR(TEXT(C1227,"MMMM"),""))</f>
        <v/>
      </c>
      <c r="E1227" s="47"/>
      <c r="F1227" s="48" t="str">
        <f aca="false">IF(E1227="","",IFERROR(INDEX('Chart of Accounts'!$C$4:$C$200,MATCH(TEXT(E1227,"@"),TEXT('Chart of Accounts'!$B$4:$B$200,"@"),0)),"⚠ Not Found"))</f>
        <v/>
      </c>
      <c r="G1227" s="49"/>
      <c r="H1227" s="50"/>
      <c r="I1227" s="50"/>
      <c r="J1227" s="47"/>
    </row>
    <row r="1228" customFormat="false" ht="16.5" hidden="false" customHeight="true" outlineLevel="0" collapsed="false">
      <c r="B1228" s="37" t="str">
        <f aca="false">IF(C1228="","",ROW()-9)</f>
        <v/>
      </c>
      <c r="C1228" s="38"/>
      <c r="D1228" s="39" t="str">
        <f aca="false">IF(C1228="","",IFERROR(TEXT(C1228,"MMMM"),""))</f>
        <v/>
      </c>
      <c r="E1228" s="40"/>
      <c r="F1228" s="41" t="str">
        <f aca="false">IF(E1228="","",IFERROR(INDEX('Chart of Accounts'!$C$4:$C$200,MATCH(TEXT(E1228,"@"),TEXT('Chart of Accounts'!$B$4:$B$200,"@"),0)),"⚠ Not Found"))</f>
        <v/>
      </c>
      <c r="G1228" s="42"/>
      <c r="H1228" s="43"/>
      <c r="I1228" s="43"/>
      <c r="J1228" s="40"/>
    </row>
    <row r="1229" customFormat="false" ht="16.5" hidden="false" customHeight="true" outlineLevel="0" collapsed="false">
      <c r="B1229" s="44" t="str">
        <f aca="false">IF(C1229="","",ROW()-9)</f>
        <v/>
      </c>
      <c r="C1229" s="45"/>
      <c r="D1229" s="46" t="str">
        <f aca="false">IF(C1229="","",IFERROR(TEXT(C1229,"MMMM"),""))</f>
        <v/>
      </c>
      <c r="E1229" s="47"/>
      <c r="F1229" s="48" t="str">
        <f aca="false">IF(E1229="","",IFERROR(INDEX('Chart of Accounts'!$C$4:$C$200,MATCH(TEXT(E1229,"@"),TEXT('Chart of Accounts'!$B$4:$B$200,"@"),0)),"⚠ Not Found"))</f>
        <v/>
      </c>
      <c r="G1229" s="49"/>
      <c r="H1229" s="50"/>
      <c r="I1229" s="50"/>
      <c r="J1229" s="47"/>
    </row>
    <row r="1230" customFormat="false" ht="16.5" hidden="false" customHeight="true" outlineLevel="0" collapsed="false">
      <c r="B1230" s="37" t="str">
        <f aca="false">IF(C1230="","",ROW()-9)</f>
        <v/>
      </c>
      <c r="C1230" s="38"/>
      <c r="D1230" s="39" t="str">
        <f aca="false">IF(C1230="","",IFERROR(TEXT(C1230,"MMMM"),""))</f>
        <v/>
      </c>
      <c r="E1230" s="40"/>
      <c r="F1230" s="41" t="str">
        <f aca="false">IF(E1230="","",IFERROR(INDEX('Chart of Accounts'!$C$4:$C$200,MATCH(TEXT(E1230,"@"),TEXT('Chart of Accounts'!$B$4:$B$200,"@"),0)),"⚠ Not Found"))</f>
        <v/>
      </c>
      <c r="G1230" s="42"/>
      <c r="H1230" s="43"/>
      <c r="I1230" s="43"/>
      <c r="J1230" s="40"/>
    </row>
    <row r="1231" customFormat="false" ht="16.5" hidden="false" customHeight="true" outlineLevel="0" collapsed="false">
      <c r="B1231" s="44" t="str">
        <f aca="false">IF(C1231="","",ROW()-9)</f>
        <v/>
      </c>
      <c r="C1231" s="45"/>
      <c r="D1231" s="46" t="str">
        <f aca="false">IF(C1231="","",IFERROR(TEXT(C1231,"MMMM"),""))</f>
        <v/>
      </c>
      <c r="E1231" s="47"/>
      <c r="F1231" s="48" t="str">
        <f aca="false">IF(E1231="","",IFERROR(INDEX('Chart of Accounts'!$C$4:$C$200,MATCH(TEXT(E1231,"@"),TEXT('Chart of Accounts'!$B$4:$B$200,"@"),0)),"⚠ Not Found"))</f>
        <v/>
      </c>
      <c r="G1231" s="49"/>
      <c r="H1231" s="50"/>
      <c r="I1231" s="50"/>
      <c r="J1231" s="47"/>
    </row>
    <row r="1232" customFormat="false" ht="16.5" hidden="false" customHeight="true" outlineLevel="0" collapsed="false">
      <c r="B1232" s="37" t="str">
        <f aca="false">IF(C1232="","",ROW()-9)</f>
        <v/>
      </c>
      <c r="C1232" s="38"/>
      <c r="D1232" s="39" t="str">
        <f aca="false">IF(C1232="","",IFERROR(TEXT(C1232,"MMMM"),""))</f>
        <v/>
      </c>
      <c r="E1232" s="40"/>
      <c r="F1232" s="41" t="str">
        <f aca="false">IF(E1232="","",IFERROR(INDEX('Chart of Accounts'!$C$4:$C$200,MATCH(TEXT(E1232,"@"),TEXT('Chart of Accounts'!$B$4:$B$200,"@"),0)),"⚠ Not Found"))</f>
        <v/>
      </c>
      <c r="G1232" s="42"/>
      <c r="H1232" s="43"/>
      <c r="I1232" s="43"/>
      <c r="J1232" s="40"/>
    </row>
    <row r="1233" customFormat="false" ht="16.5" hidden="false" customHeight="true" outlineLevel="0" collapsed="false">
      <c r="B1233" s="44" t="str">
        <f aca="false">IF(C1233="","",ROW()-9)</f>
        <v/>
      </c>
      <c r="C1233" s="45"/>
      <c r="D1233" s="46" t="str">
        <f aca="false">IF(C1233="","",IFERROR(TEXT(C1233,"MMMM"),""))</f>
        <v/>
      </c>
      <c r="E1233" s="47"/>
      <c r="F1233" s="48" t="str">
        <f aca="false">IF(E1233="","",IFERROR(INDEX('Chart of Accounts'!$C$4:$C$200,MATCH(TEXT(E1233,"@"),TEXT('Chart of Accounts'!$B$4:$B$200,"@"),0)),"⚠ Not Found"))</f>
        <v/>
      </c>
      <c r="G1233" s="49"/>
      <c r="H1233" s="50"/>
      <c r="I1233" s="50"/>
      <c r="J1233" s="47"/>
    </row>
    <row r="1234" customFormat="false" ht="16.5" hidden="false" customHeight="true" outlineLevel="0" collapsed="false">
      <c r="B1234" s="37" t="str">
        <f aca="false">IF(C1234="","",ROW()-9)</f>
        <v/>
      </c>
      <c r="C1234" s="38"/>
      <c r="D1234" s="39" t="str">
        <f aca="false">IF(C1234="","",IFERROR(TEXT(C1234,"MMMM"),""))</f>
        <v/>
      </c>
      <c r="E1234" s="40"/>
      <c r="F1234" s="41" t="str">
        <f aca="false">IF(E1234="","",IFERROR(INDEX('Chart of Accounts'!$C$4:$C$200,MATCH(TEXT(E1234,"@"),TEXT('Chart of Accounts'!$B$4:$B$200,"@"),0)),"⚠ Not Found"))</f>
        <v/>
      </c>
      <c r="G1234" s="42"/>
      <c r="H1234" s="43"/>
      <c r="I1234" s="43"/>
      <c r="J1234" s="40"/>
    </row>
    <row r="1235" customFormat="false" ht="16.5" hidden="false" customHeight="true" outlineLevel="0" collapsed="false">
      <c r="B1235" s="44" t="str">
        <f aca="false">IF(C1235="","",ROW()-9)</f>
        <v/>
      </c>
      <c r="C1235" s="45"/>
      <c r="D1235" s="46" t="str">
        <f aca="false">IF(C1235="","",IFERROR(TEXT(C1235,"MMMM"),""))</f>
        <v/>
      </c>
      <c r="E1235" s="47"/>
      <c r="F1235" s="48" t="str">
        <f aca="false">IF(E1235="","",IFERROR(INDEX('Chart of Accounts'!$C$4:$C$200,MATCH(TEXT(E1235,"@"),TEXT('Chart of Accounts'!$B$4:$B$200,"@"),0)),"⚠ Not Found"))</f>
        <v/>
      </c>
      <c r="G1235" s="49"/>
      <c r="H1235" s="50"/>
      <c r="I1235" s="50"/>
      <c r="J1235" s="47"/>
    </row>
    <row r="1236" customFormat="false" ht="16.5" hidden="false" customHeight="true" outlineLevel="0" collapsed="false">
      <c r="B1236" s="37" t="str">
        <f aca="false">IF(C1236="","",ROW()-9)</f>
        <v/>
      </c>
      <c r="C1236" s="38"/>
      <c r="D1236" s="39" t="str">
        <f aca="false">IF(C1236="","",IFERROR(TEXT(C1236,"MMMM"),""))</f>
        <v/>
      </c>
      <c r="E1236" s="40"/>
      <c r="F1236" s="41" t="str">
        <f aca="false">IF(E1236="","",IFERROR(INDEX('Chart of Accounts'!$C$4:$C$200,MATCH(TEXT(E1236,"@"),TEXT('Chart of Accounts'!$B$4:$B$200,"@"),0)),"⚠ Not Found"))</f>
        <v/>
      </c>
      <c r="G1236" s="42"/>
      <c r="H1236" s="43"/>
      <c r="I1236" s="43"/>
      <c r="J1236" s="40"/>
    </row>
    <row r="1237" customFormat="false" ht="16.5" hidden="false" customHeight="true" outlineLevel="0" collapsed="false">
      <c r="B1237" s="44" t="str">
        <f aca="false">IF(C1237="","",ROW()-9)</f>
        <v/>
      </c>
      <c r="C1237" s="45"/>
      <c r="D1237" s="46" t="str">
        <f aca="false">IF(C1237="","",IFERROR(TEXT(C1237,"MMMM"),""))</f>
        <v/>
      </c>
      <c r="E1237" s="47"/>
      <c r="F1237" s="48" t="str">
        <f aca="false">IF(E1237="","",IFERROR(INDEX('Chart of Accounts'!$C$4:$C$200,MATCH(TEXT(E1237,"@"),TEXT('Chart of Accounts'!$B$4:$B$200,"@"),0)),"⚠ Not Found"))</f>
        <v/>
      </c>
      <c r="G1237" s="49"/>
      <c r="H1237" s="50"/>
      <c r="I1237" s="50"/>
      <c r="J1237" s="47"/>
    </row>
    <row r="1238" customFormat="false" ht="16.5" hidden="false" customHeight="true" outlineLevel="0" collapsed="false">
      <c r="B1238" s="37" t="str">
        <f aca="false">IF(C1238="","",ROW()-9)</f>
        <v/>
      </c>
      <c r="C1238" s="38"/>
      <c r="D1238" s="39" t="str">
        <f aca="false">IF(C1238="","",IFERROR(TEXT(C1238,"MMMM"),""))</f>
        <v/>
      </c>
      <c r="E1238" s="40"/>
      <c r="F1238" s="41" t="str">
        <f aca="false">IF(E1238="","",IFERROR(INDEX('Chart of Accounts'!$C$4:$C$200,MATCH(TEXT(E1238,"@"),TEXT('Chart of Accounts'!$B$4:$B$200,"@"),0)),"⚠ Not Found"))</f>
        <v/>
      </c>
      <c r="G1238" s="42"/>
      <c r="H1238" s="43"/>
      <c r="I1238" s="43"/>
      <c r="J1238" s="40"/>
    </row>
    <row r="1239" customFormat="false" ht="16.5" hidden="false" customHeight="true" outlineLevel="0" collapsed="false">
      <c r="B1239" s="44" t="str">
        <f aca="false">IF(C1239="","",ROW()-9)</f>
        <v/>
      </c>
      <c r="C1239" s="45"/>
      <c r="D1239" s="46" t="str">
        <f aca="false">IF(C1239="","",IFERROR(TEXT(C1239,"MMMM"),""))</f>
        <v/>
      </c>
      <c r="E1239" s="47"/>
      <c r="F1239" s="48" t="str">
        <f aca="false">IF(E1239="","",IFERROR(INDEX('Chart of Accounts'!$C$4:$C$200,MATCH(TEXT(E1239,"@"),TEXT('Chart of Accounts'!$B$4:$B$200,"@"),0)),"⚠ Not Found"))</f>
        <v/>
      </c>
      <c r="G1239" s="49"/>
      <c r="H1239" s="50"/>
      <c r="I1239" s="50"/>
      <c r="J1239" s="47"/>
    </row>
    <row r="1240" customFormat="false" ht="16.5" hidden="false" customHeight="true" outlineLevel="0" collapsed="false">
      <c r="B1240" s="37" t="str">
        <f aca="false">IF(C1240="","",ROW()-9)</f>
        <v/>
      </c>
      <c r="C1240" s="38"/>
      <c r="D1240" s="39" t="str">
        <f aca="false">IF(C1240="","",IFERROR(TEXT(C1240,"MMMM"),""))</f>
        <v/>
      </c>
      <c r="E1240" s="40"/>
      <c r="F1240" s="41" t="str">
        <f aca="false">IF(E1240="","",IFERROR(INDEX('Chart of Accounts'!$C$4:$C$200,MATCH(TEXT(E1240,"@"),TEXT('Chart of Accounts'!$B$4:$B$200,"@"),0)),"⚠ Not Found"))</f>
        <v/>
      </c>
      <c r="G1240" s="42"/>
      <c r="H1240" s="43"/>
      <c r="I1240" s="43"/>
      <c r="J1240" s="40"/>
    </row>
    <row r="1241" customFormat="false" ht="16.5" hidden="false" customHeight="true" outlineLevel="0" collapsed="false">
      <c r="B1241" s="44" t="str">
        <f aca="false">IF(C1241="","",ROW()-9)</f>
        <v/>
      </c>
      <c r="C1241" s="45"/>
      <c r="D1241" s="46" t="str">
        <f aca="false">IF(C1241="","",IFERROR(TEXT(C1241,"MMMM"),""))</f>
        <v/>
      </c>
      <c r="E1241" s="47"/>
      <c r="F1241" s="48" t="str">
        <f aca="false">IF(E1241="","",IFERROR(INDEX('Chart of Accounts'!$C$4:$C$200,MATCH(TEXT(E1241,"@"),TEXT('Chart of Accounts'!$B$4:$B$200,"@"),0)),"⚠ Not Found"))</f>
        <v/>
      </c>
      <c r="G1241" s="49"/>
      <c r="H1241" s="50"/>
      <c r="I1241" s="50"/>
      <c r="J1241" s="47"/>
    </row>
    <row r="1242" customFormat="false" ht="16.5" hidden="false" customHeight="true" outlineLevel="0" collapsed="false">
      <c r="B1242" s="37" t="str">
        <f aca="false">IF(C1242="","",ROW()-9)</f>
        <v/>
      </c>
      <c r="C1242" s="38"/>
      <c r="D1242" s="39" t="str">
        <f aca="false">IF(C1242="","",IFERROR(TEXT(C1242,"MMMM"),""))</f>
        <v/>
      </c>
      <c r="E1242" s="40"/>
      <c r="F1242" s="41" t="str">
        <f aca="false">IF(E1242="","",IFERROR(INDEX('Chart of Accounts'!$C$4:$C$200,MATCH(TEXT(E1242,"@"),TEXT('Chart of Accounts'!$B$4:$B$200,"@"),0)),"⚠ Not Found"))</f>
        <v/>
      </c>
      <c r="G1242" s="42"/>
      <c r="H1242" s="43"/>
      <c r="I1242" s="43"/>
      <c r="J1242" s="40"/>
    </row>
    <row r="1243" customFormat="false" ht="16.5" hidden="false" customHeight="true" outlineLevel="0" collapsed="false">
      <c r="B1243" s="44" t="str">
        <f aca="false">IF(C1243="","",ROW()-9)</f>
        <v/>
      </c>
      <c r="C1243" s="45"/>
      <c r="D1243" s="46" t="str">
        <f aca="false">IF(C1243="","",IFERROR(TEXT(C1243,"MMMM"),""))</f>
        <v/>
      </c>
      <c r="E1243" s="47"/>
      <c r="F1243" s="48" t="str">
        <f aca="false">IF(E1243="","",IFERROR(INDEX('Chart of Accounts'!$C$4:$C$200,MATCH(TEXT(E1243,"@"),TEXT('Chart of Accounts'!$B$4:$B$200,"@"),0)),"⚠ Not Found"))</f>
        <v/>
      </c>
      <c r="G1243" s="49"/>
      <c r="H1243" s="50"/>
      <c r="I1243" s="50"/>
      <c r="J1243" s="47"/>
    </row>
    <row r="1244" customFormat="false" ht="16.5" hidden="false" customHeight="true" outlineLevel="0" collapsed="false">
      <c r="B1244" s="37" t="str">
        <f aca="false">IF(C1244="","",ROW()-9)</f>
        <v/>
      </c>
      <c r="C1244" s="38"/>
      <c r="D1244" s="39" t="str">
        <f aca="false">IF(C1244="","",IFERROR(TEXT(C1244,"MMMM"),""))</f>
        <v/>
      </c>
      <c r="E1244" s="40"/>
      <c r="F1244" s="41" t="str">
        <f aca="false">IF(E1244="","",IFERROR(INDEX('Chart of Accounts'!$C$4:$C$200,MATCH(TEXT(E1244,"@"),TEXT('Chart of Accounts'!$B$4:$B$200,"@"),0)),"⚠ Not Found"))</f>
        <v/>
      </c>
      <c r="G1244" s="42"/>
      <c r="H1244" s="43"/>
      <c r="I1244" s="43"/>
      <c r="J1244" s="40"/>
    </row>
    <row r="1245" customFormat="false" ht="16.5" hidden="false" customHeight="true" outlineLevel="0" collapsed="false">
      <c r="B1245" s="44" t="str">
        <f aca="false">IF(C1245="","",ROW()-9)</f>
        <v/>
      </c>
      <c r="C1245" s="45"/>
      <c r="D1245" s="46" t="str">
        <f aca="false">IF(C1245="","",IFERROR(TEXT(C1245,"MMMM"),""))</f>
        <v/>
      </c>
      <c r="E1245" s="47"/>
      <c r="F1245" s="48" t="str">
        <f aca="false">IF(E1245="","",IFERROR(INDEX('Chart of Accounts'!$C$4:$C$200,MATCH(TEXT(E1245,"@"),TEXT('Chart of Accounts'!$B$4:$B$200,"@"),0)),"⚠ Not Found"))</f>
        <v/>
      </c>
      <c r="G1245" s="49"/>
      <c r="H1245" s="50"/>
      <c r="I1245" s="50"/>
      <c r="J1245" s="47"/>
    </row>
    <row r="1246" customFormat="false" ht="16.5" hidden="false" customHeight="true" outlineLevel="0" collapsed="false">
      <c r="B1246" s="37" t="str">
        <f aca="false">IF(C1246="","",ROW()-9)</f>
        <v/>
      </c>
      <c r="C1246" s="38"/>
      <c r="D1246" s="39" t="str">
        <f aca="false">IF(C1246="","",IFERROR(TEXT(C1246,"MMMM"),""))</f>
        <v/>
      </c>
      <c r="E1246" s="40"/>
      <c r="F1246" s="41" t="str">
        <f aca="false">IF(E1246="","",IFERROR(INDEX('Chart of Accounts'!$C$4:$C$200,MATCH(TEXT(E1246,"@"),TEXT('Chart of Accounts'!$B$4:$B$200,"@"),0)),"⚠ Not Found"))</f>
        <v/>
      </c>
      <c r="G1246" s="42"/>
      <c r="H1246" s="43"/>
      <c r="I1246" s="43"/>
      <c r="J1246" s="40"/>
    </row>
    <row r="1247" customFormat="false" ht="16.5" hidden="false" customHeight="true" outlineLevel="0" collapsed="false">
      <c r="B1247" s="44" t="str">
        <f aca="false">IF(C1247="","",ROW()-9)</f>
        <v/>
      </c>
      <c r="C1247" s="45"/>
      <c r="D1247" s="46" t="str">
        <f aca="false">IF(C1247="","",IFERROR(TEXT(C1247,"MMMM"),""))</f>
        <v/>
      </c>
      <c r="E1247" s="47"/>
      <c r="F1247" s="48" t="str">
        <f aca="false">IF(E1247="","",IFERROR(INDEX('Chart of Accounts'!$C$4:$C$200,MATCH(TEXT(E1247,"@"),TEXT('Chart of Accounts'!$B$4:$B$200,"@"),0)),"⚠ Not Found"))</f>
        <v/>
      </c>
      <c r="G1247" s="49"/>
      <c r="H1247" s="50"/>
      <c r="I1247" s="50"/>
      <c r="J1247" s="47"/>
    </row>
    <row r="1248" customFormat="false" ht="16.5" hidden="false" customHeight="true" outlineLevel="0" collapsed="false">
      <c r="B1248" s="37" t="str">
        <f aca="false">IF(C1248="","",ROW()-9)</f>
        <v/>
      </c>
      <c r="C1248" s="38"/>
      <c r="D1248" s="39" t="str">
        <f aca="false">IF(C1248="","",IFERROR(TEXT(C1248,"MMMM"),""))</f>
        <v/>
      </c>
      <c r="E1248" s="40"/>
      <c r="F1248" s="41" t="str">
        <f aca="false">IF(E1248="","",IFERROR(INDEX('Chart of Accounts'!$C$4:$C$200,MATCH(TEXT(E1248,"@"),TEXT('Chart of Accounts'!$B$4:$B$200,"@"),0)),"⚠ Not Found"))</f>
        <v/>
      </c>
      <c r="G1248" s="42"/>
      <c r="H1248" s="43"/>
      <c r="I1248" s="43"/>
      <c r="J1248" s="40"/>
    </row>
    <row r="1249" customFormat="false" ht="16.5" hidden="false" customHeight="true" outlineLevel="0" collapsed="false">
      <c r="B1249" s="44" t="str">
        <f aca="false">IF(C1249="","",ROW()-9)</f>
        <v/>
      </c>
      <c r="C1249" s="45"/>
      <c r="D1249" s="46" t="str">
        <f aca="false">IF(C1249="","",IFERROR(TEXT(C1249,"MMMM"),""))</f>
        <v/>
      </c>
      <c r="E1249" s="47"/>
      <c r="F1249" s="48" t="str">
        <f aca="false">IF(E1249="","",IFERROR(INDEX('Chart of Accounts'!$C$4:$C$200,MATCH(TEXT(E1249,"@"),TEXT('Chart of Accounts'!$B$4:$B$200,"@"),0)),"⚠ Not Found"))</f>
        <v/>
      </c>
      <c r="G1249" s="49"/>
      <c r="H1249" s="50"/>
      <c r="I1249" s="50"/>
      <c r="J1249" s="47"/>
    </row>
    <row r="1250" customFormat="false" ht="16.5" hidden="false" customHeight="true" outlineLevel="0" collapsed="false">
      <c r="B1250" s="37" t="str">
        <f aca="false">IF(C1250="","",ROW()-9)</f>
        <v/>
      </c>
      <c r="C1250" s="38"/>
      <c r="D1250" s="39" t="str">
        <f aca="false">IF(C1250="","",IFERROR(TEXT(C1250,"MMMM"),""))</f>
        <v/>
      </c>
      <c r="E1250" s="40"/>
      <c r="F1250" s="41" t="str">
        <f aca="false">IF(E1250="","",IFERROR(INDEX('Chart of Accounts'!$C$4:$C$200,MATCH(TEXT(E1250,"@"),TEXT('Chart of Accounts'!$B$4:$B$200,"@"),0)),"⚠ Not Found"))</f>
        <v/>
      </c>
      <c r="G1250" s="42"/>
      <c r="H1250" s="43"/>
      <c r="I1250" s="43"/>
      <c r="J1250" s="40"/>
    </row>
    <row r="1251" customFormat="false" ht="16.5" hidden="false" customHeight="true" outlineLevel="0" collapsed="false">
      <c r="B1251" s="44" t="str">
        <f aca="false">IF(C1251="","",ROW()-9)</f>
        <v/>
      </c>
      <c r="C1251" s="45"/>
      <c r="D1251" s="46" t="str">
        <f aca="false">IF(C1251="","",IFERROR(TEXT(C1251,"MMMM"),""))</f>
        <v/>
      </c>
      <c r="E1251" s="47"/>
      <c r="F1251" s="48" t="str">
        <f aca="false">IF(E1251="","",IFERROR(INDEX('Chart of Accounts'!$C$4:$C$200,MATCH(TEXT(E1251,"@"),TEXT('Chart of Accounts'!$B$4:$B$200,"@"),0)),"⚠ Not Found"))</f>
        <v/>
      </c>
      <c r="G1251" s="49"/>
      <c r="H1251" s="50"/>
      <c r="I1251" s="50"/>
      <c r="J1251" s="47"/>
    </row>
    <row r="1252" customFormat="false" ht="16.5" hidden="false" customHeight="true" outlineLevel="0" collapsed="false">
      <c r="B1252" s="37" t="str">
        <f aca="false">IF(C1252="","",ROW()-9)</f>
        <v/>
      </c>
      <c r="C1252" s="38"/>
      <c r="D1252" s="39" t="str">
        <f aca="false">IF(C1252="","",IFERROR(TEXT(C1252,"MMMM"),""))</f>
        <v/>
      </c>
      <c r="E1252" s="40"/>
      <c r="F1252" s="41" t="str">
        <f aca="false">IF(E1252="","",IFERROR(INDEX('Chart of Accounts'!$C$4:$C$200,MATCH(TEXT(E1252,"@"),TEXT('Chart of Accounts'!$B$4:$B$200,"@"),0)),"⚠ Not Found"))</f>
        <v/>
      </c>
      <c r="G1252" s="42"/>
      <c r="H1252" s="43"/>
      <c r="I1252" s="43"/>
      <c r="J1252" s="40"/>
    </row>
    <row r="1253" customFormat="false" ht="16.5" hidden="false" customHeight="true" outlineLevel="0" collapsed="false">
      <c r="B1253" s="44" t="str">
        <f aca="false">IF(C1253="","",ROW()-9)</f>
        <v/>
      </c>
      <c r="C1253" s="45"/>
      <c r="D1253" s="46" t="str">
        <f aca="false">IF(C1253="","",IFERROR(TEXT(C1253,"MMMM"),""))</f>
        <v/>
      </c>
      <c r="E1253" s="47"/>
      <c r="F1253" s="48" t="str">
        <f aca="false">IF(E1253="","",IFERROR(INDEX('Chart of Accounts'!$C$4:$C$200,MATCH(TEXT(E1253,"@"),TEXT('Chart of Accounts'!$B$4:$B$200,"@"),0)),"⚠ Not Found"))</f>
        <v/>
      </c>
      <c r="G1253" s="49"/>
      <c r="H1253" s="50"/>
      <c r="I1253" s="50"/>
      <c r="J1253" s="47"/>
    </row>
    <row r="1254" customFormat="false" ht="16.5" hidden="false" customHeight="true" outlineLevel="0" collapsed="false">
      <c r="B1254" s="37" t="str">
        <f aca="false">IF(C1254="","",ROW()-9)</f>
        <v/>
      </c>
      <c r="C1254" s="38"/>
      <c r="D1254" s="39" t="str">
        <f aca="false">IF(C1254="","",IFERROR(TEXT(C1254,"MMMM"),""))</f>
        <v/>
      </c>
      <c r="E1254" s="40"/>
      <c r="F1254" s="41" t="str">
        <f aca="false">IF(E1254="","",IFERROR(INDEX('Chart of Accounts'!$C$4:$C$200,MATCH(TEXT(E1254,"@"),TEXT('Chart of Accounts'!$B$4:$B$200,"@"),0)),"⚠ Not Found"))</f>
        <v/>
      </c>
      <c r="G1254" s="42"/>
      <c r="H1254" s="43"/>
      <c r="I1254" s="43"/>
      <c r="J1254" s="40"/>
    </row>
    <row r="1255" customFormat="false" ht="16.5" hidden="false" customHeight="true" outlineLevel="0" collapsed="false">
      <c r="B1255" s="44" t="str">
        <f aca="false">IF(C1255="","",ROW()-9)</f>
        <v/>
      </c>
      <c r="C1255" s="45"/>
      <c r="D1255" s="46" t="str">
        <f aca="false">IF(C1255="","",IFERROR(TEXT(C1255,"MMMM"),""))</f>
        <v/>
      </c>
      <c r="E1255" s="47"/>
      <c r="F1255" s="48" t="str">
        <f aca="false">IF(E1255="","",IFERROR(INDEX('Chart of Accounts'!$C$4:$C$200,MATCH(TEXT(E1255,"@"),TEXT('Chart of Accounts'!$B$4:$B$200,"@"),0)),"⚠ Not Found"))</f>
        <v/>
      </c>
      <c r="G1255" s="49"/>
      <c r="H1255" s="50"/>
      <c r="I1255" s="50"/>
      <c r="J1255" s="47"/>
    </row>
    <row r="1256" customFormat="false" ht="16.5" hidden="false" customHeight="true" outlineLevel="0" collapsed="false">
      <c r="B1256" s="37" t="str">
        <f aca="false">IF(C1256="","",ROW()-9)</f>
        <v/>
      </c>
      <c r="C1256" s="38"/>
      <c r="D1256" s="39" t="str">
        <f aca="false">IF(C1256="","",IFERROR(TEXT(C1256,"MMMM"),""))</f>
        <v/>
      </c>
      <c r="E1256" s="40"/>
      <c r="F1256" s="41" t="str">
        <f aca="false">IF(E1256="","",IFERROR(INDEX('Chart of Accounts'!$C$4:$C$200,MATCH(TEXT(E1256,"@"),TEXT('Chart of Accounts'!$B$4:$B$200,"@"),0)),"⚠ Not Found"))</f>
        <v/>
      </c>
      <c r="G1256" s="42"/>
      <c r="H1256" s="43"/>
      <c r="I1256" s="43"/>
      <c r="J1256" s="40"/>
    </row>
    <row r="1257" customFormat="false" ht="16.5" hidden="false" customHeight="true" outlineLevel="0" collapsed="false">
      <c r="B1257" s="44" t="str">
        <f aca="false">IF(C1257="","",ROW()-9)</f>
        <v/>
      </c>
      <c r="C1257" s="45"/>
      <c r="D1257" s="46" t="str">
        <f aca="false">IF(C1257="","",IFERROR(TEXT(C1257,"MMMM"),""))</f>
        <v/>
      </c>
      <c r="E1257" s="47"/>
      <c r="F1257" s="48" t="str">
        <f aca="false">IF(E1257="","",IFERROR(INDEX('Chart of Accounts'!$C$4:$C$200,MATCH(TEXT(E1257,"@"),TEXT('Chart of Accounts'!$B$4:$B$200,"@"),0)),"⚠ Not Found"))</f>
        <v/>
      </c>
      <c r="G1257" s="49"/>
      <c r="H1257" s="50"/>
      <c r="I1257" s="50"/>
      <c r="J1257" s="47"/>
    </row>
    <row r="1258" customFormat="false" ht="16.5" hidden="false" customHeight="true" outlineLevel="0" collapsed="false">
      <c r="B1258" s="37" t="str">
        <f aca="false">IF(C1258="","",ROW()-9)</f>
        <v/>
      </c>
      <c r="C1258" s="38"/>
      <c r="D1258" s="39" t="str">
        <f aca="false">IF(C1258="","",IFERROR(TEXT(C1258,"MMMM"),""))</f>
        <v/>
      </c>
      <c r="E1258" s="40"/>
      <c r="F1258" s="41" t="str">
        <f aca="false">IF(E1258="","",IFERROR(INDEX('Chart of Accounts'!$C$4:$C$200,MATCH(TEXT(E1258,"@"),TEXT('Chart of Accounts'!$B$4:$B$200,"@"),0)),"⚠ Not Found"))</f>
        <v/>
      </c>
      <c r="G1258" s="42"/>
      <c r="H1258" s="43"/>
      <c r="I1258" s="43"/>
      <c r="J1258" s="40"/>
    </row>
    <row r="1259" customFormat="false" ht="16.5" hidden="false" customHeight="true" outlineLevel="0" collapsed="false">
      <c r="B1259" s="44" t="str">
        <f aca="false">IF(C1259="","",ROW()-9)</f>
        <v/>
      </c>
      <c r="C1259" s="45"/>
      <c r="D1259" s="46" t="str">
        <f aca="false">IF(C1259="","",IFERROR(TEXT(C1259,"MMMM"),""))</f>
        <v/>
      </c>
      <c r="E1259" s="47"/>
      <c r="F1259" s="48" t="str">
        <f aca="false">IF(E1259="","",IFERROR(INDEX('Chart of Accounts'!$C$4:$C$200,MATCH(TEXT(E1259,"@"),TEXT('Chart of Accounts'!$B$4:$B$200,"@"),0)),"⚠ Not Found"))</f>
        <v/>
      </c>
      <c r="G1259" s="49"/>
      <c r="H1259" s="50"/>
      <c r="I1259" s="50"/>
      <c r="J1259" s="47"/>
    </row>
    <row r="1260" customFormat="false" ht="16.5" hidden="false" customHeight="true" outlineLevel="0" collapsed="false">
      <c r="B1260" s="37" t="str">
        <f aca="false">IF(C1260="","",ROW()-9)</f>
        <v/>
      </c>
      <c r="C1260" s="38"/>
      <c r="D1260" s="39" t="str">
        <f aca="false">IF(C1260="","",IFERROR(TEXT(C1260,"MMMM"),""))</f>
        <v/>
      </c>
      <c r="E1260" s="40"/>
      <c r="F1260" s="41" t="str">
        <f aca="false">IF(E1260="","",IFERROR(INDEX('Chart of Accounts'!$C$4:$C$200,MATCH(TEXT(E1260,"@"),TEXT('Chart of Accounts'!$B$4:$B$200,"@"),0)),"⚠ Not Found"))</f>
        <v/>
      </c>
      <c r="G1260" s="42"/>
      <c r="H1260" s="43"/>
      <c r="I1260" s="43"/>
      <c r="J1260" s="40"/>
    </row>
    <row r="1261" customFormat="false" ht="16.5" hidden="false" customHeight="true" outlineLevel="0" collapsed="false">
      <c r="B1261" s="44" t="str">
        <f aca="false">IF(C1261="","",ROW()-9)</f>
        <v/>
      </c>
      <c r="C1261" s="45"/>
      <c r="D1261" s="46" t="str">
        <f aca="false">IF(C1261="","",IFERROR(TEXT(C1261,"MMMM"),""))</f>
        <v/>
      </c>
      <c r="E1261" s="47"/>
      <c r="F1261" s="48" t="str">
        <f aca="false">IF(E1261="","",IFERROR(INDEX('Chart of Accounts'!$C$4:$C$200,MATCH(TEXT(E1261,"@"),TEXT('Chart of Accounts'!$B$4:$B$200,"@"),0)),"⚠ Not Found"))</f>
        <v/>
      </c>
      <c r="G1261" s="49"/>
      <c r="H1261" s="50"/>
      <c r="I1261" s="50"/>
      <c r="J1261" s="47"/>
    </row>
    <row r="1262" customFormat="false" ht="16.5" hidden="false" customHeight="true" outlineLevel="0" collapsed="false">
      <c r="B1262" s="37" t="str">
        <f aca="false">IF(C1262="","",ROW()-9)</f>
        <v/>
      </c>
      <c r="C1262" s="38"/>
      <c r="D1262" s="39" t="str">
        <f aca="false">IF(C1262="","",IFERROR(TEXT(C1262,"MMMM"),""))</f>
        <v/>
      </c>
      <c r="E1262" s="40"/>
      <c r="F1262" s="41" t="str">
        <f aca="false">IF(E1262="","",IFERROR(INDEX('Chart of Accounts'!$C$4:$C$200,MATCH(TEXT(E1262,"@"),TEXT('Chart of Accounts'!$B$4:$B$200,"@"),0)),"⚠ Not Found"))</f>
        <v/>
      </c>
      <c r="G1262" s="42"/>
      <c r="H1262" s="43"/>
      <c r="I1262" s="43"/>
      <c r="J1262" s="40"/>
    </row>
    <row r="1263" customFormat="false" ht="16.5" hidden="false" customHeight="true" outlineLevel="0" collapsed="false">
      <c r="B1263" s="44" t="str">
        <f aca="false">IF(C1263="","",ROW()-9)</f>
        <v/>
      </c>
      <c r="C1263" s="45"/>
      <c r="D1263" s="46" t="str">
        <f aca="false">IF(C1263="","",IFERROR(TEXT(C1263,"MMMM"),""))</f>
        <v/>
      </c>
      <c r="E1263" s="47"/>
      <c r="F1263" s="48" t="str">
        <f aca="false">IF(E1263="","",IFERROR(INDEX('Chart of Accounts'!$C$4:$C$200,MATCH(TEXT(E1263,"@"),TEXT('Chart of Accounts'!$B$4:$B$200,"@"),0)),"⚠ Not Found"))</f>
        <v/>
      </c>
      <c r="G1263" s="49"/>
      <c r="H1263" s="50"/>
      <c r="I1263" s="50"/>
      <c r="J1263" s="47"/>
    </row>
    <row r="1264" customFormat="false" ht="16.5" hidden="false" customHeight="true" outlineLevel="0" collapsed="false">
      <c r="B1264" s="37" t="str">
        <f aca="false">IF(C1264="","",ROW()-9)</f>
        <v/>
      </c>
      <c r="C1264" s="38"/>
      <c r="D1264" s="39" t="str">
        <f aca="false">IF(C1264="","",IFERROR(TEXT(C1264,"MMMM"),""))</f>
        <v/>
      </c>
      <c r="E1264" s="40"/>
      <c r="F1264" s="41" t="str">
        <f aca="false">IF(E1264="","",IFERROR(INDEX('Chart of Accounts'!$C$4:$C$200,MATCH(TEXT(E1264,"@"),TEXT('Chart of Accounts'!$B$4:$B$200,"@"),0)),"⚠ Not Found"))</f>
        <v/>
      </c>
      <c r="G1264" s="42"/>
      <c r="H1264" s="43"/>
      <c r="I1264" s="43"/>
      <c r="J1264" s="40"/>
    </row>
    <row r="1265" customFormat="false" ht="16.5" hidden="false" customHeight="true" outlineLevel="0" collapsed="false">
      <c r="B1265" s="44" t="str">
        <f aca="false">IF(C1265="","",ROW()-9)</f>
        <v/>
      </c>
      <c r="C1265" s="45"/>
      <c r="D1265" s="46" t="str">
        <f aca="false">IF(C1265="","",IFERROR(TEXT(C1265,"MMMM"),""))</f>
        <v/>
      </c>
      <c r="E1265" s="47"/>
      <c r="F1265" s="48" t="str">
        <f aca="false">IF(E1265="","",IFERROR(INDEX('Chart of Accounts'!$C$4:$C$200,MATCH(TEXT(E1265,"@"),TEXT('Chart of Accounts'!$B$4:$B$200,"@"),0)),"⚠ Not Found"))</f>
        <v/>
      </c>
      <c r="G1265" s="49"/>
      <c r="H1265" s="50"/>
      <c r="I1265" s="50"/>
      <c r="J1265" s="47"/>
    </row>
    <row r="1266" customFormat="false" ht="16.5" hidden="false" customHeight="true" outlineLevel="0" collapsed="false">
      <c r="B1266" s="37" t="str">
        <f aca="false">IF(C1266="","",ROW()-9)</f>
        <v/>
      </c>
      <c r="C1266" s="38"/>
      <c r="D1266" s="39" t="str">
        <f aca="false">IF(C1266="","",IFERROR(TEXT(C1266,"MMMM"),""))</f>
        <v/>
      </c>
      <c r="E1266" s="40"/>
      <c r="F1266" s="41" t="str">
        <f aca="false">IF(E1266="","",IFERROR(INDEX('Chart of Accounts'!$C$4:$C$200,MATCH(TEXT(E1266,"@"),TEXT('Chart of Accounts'!$B$4:$B$200,"@"),0)),"⚠ Not Found"))</f>
        <v/>
      </c>
      <c r="G1266" s="42"/>
      <c r="H1266" s="43"/>
      <c r="I1266" s="43"/>
      <c r="J1266" s="40"/>
    </row>
    <row r="1267" customFormat="false" ht="16.5" hidden="false" customHeight="true" outlineLevel="0" collapsed="false">
      <c r="B1267" s="44" t="str">
        <f aca="false">IF(C1267="","",ROW()-9)</f>
        <v/>
      </c>
      <c r="C1267" s="45"/>
      <c r="D1267" s="46" t="str">
        <f aca="false">IF(C1267="","",IFERROR(TEXT(C1267,"MMMM"),""))</f>
        <v/>
      </c>
      <c r="E1267" s="47"/>
      <c r="F1267" s="48" t="str">
        <f aca="false">IF(E1267="","",IFERROR(INDEX('Chart of Accounts'!$C$4:$C$200,MATCH(TEXT(E1267,"@"),TEXT('Chart of Accounts'!$B$4:$B$200,"@"),0)),"⚠ Not Found"))</f>
        <v/>
      </c>
      <c r="G1267" s="49"/>
      <c r="H1267" s="50"/>
      <c r="I1267" s="50"/>
      <c r="J1267" s="47"/>
    </row>
    <row r="1268" customFormat="false" ht="16.5" hidden="false" customHeight="true" outlineLevel="0" collapsed="false">
      <c r="B1268" s="37" t="str">
        <f aca="false">IF(C1268="","",ROW()-9)</f>
        <v/>
      </c>
      <c r="C1268" s="38"/>
      <c r="D1268" s="39" t="str">
        <f aca="false">IF(C1268="","",IFERROR(TEXT(C1268,"MMMM"),""))</f>
        <v/>
      </c>
      <c r="E1268" s="40"/>
      <c r="F1268" s="41" t="str">
        <f aca="false">IF(E1268="","",IFERROR(INDEX('Chart of Accounts'!$C$4:$C$200,MATCH(TEXT(E1268,"@"),TEXT('Chart of Accounts'!$B$4:$B$200,"@"),0)),"⚠ Not Found"))</f>
        <v/>
      </c>
      <c r="G1268" s="42"/>
      <c r="H1268" s="43"/>
      <c r="I1268" s="43"/>
      <c r="J1268" s="40"/>
    </row>
    <row r="1269" customFormat="false" ht="16.5" hidden="false" customHeight="true" outlineLevel="0" collapsed="false">
      <c r="B1269" s="44" t="str">
        <f aca="false">IF(C1269="","",ROW()-9)</f>
        <v/>
      </c>
      <c r="C1269" s="45"/>
      <c r="D1269" s="46" t="str">
        <f aca="false">IF(C1269="","",IFERROR(TEXT(C1269,"MMMM"),""))</f>
        <v/>
      </c>
      <c r="E1269" s="47"/>
      <c r="F1269" s="48" t="str">
        <f aca="false">IF(E1269="","",IFERROR(INDEX('Chart of Accounts'!$C$4:$C$200,MATCH(TEXT(E1269,"@"),TEXT('Chart of Accounts'!$B$4:$B$200,"@"),0)),"⚠ Not Found"))</f>
        <v/>
      </c>
      <c r="G1269" s="49"/>
      <c r="H1269" s="50"/>
      <c r="I1269" s="50"/>
      <c r="J1269" s="47"/>
    </row>
    <row r="1270" customFormat="false" ht="16.5" hidden="false" customHeight="true" outlineLevel="0" collapsed="false">
      <c r="B1270" s="37" t="str">
        <f aca="false">IF(C1270="","",ROW()-9)</f>
        <v/>
      </c>
      <c r="C1270" s="38"/>
      <c r="D1270" s="39" t="str">
        <f aca="false">IF(C1270="","",IFERROR(TEXT(C1270,"MMMM"),""))</f>
        <v/>
      </c>
      <c r="E1270" s="40"/>
      <c r="F1270" s="41" t="str">
        <f aca="false">IF(E1270="","",IFERROR(INDEX('Chart of Accounts'!$C$4:$C$200,MATCH(TEXT(E1270,"@"),TEXT('Chart of Accounts'!$B$4:$B$200,"@"),0)),"⚠ Not Found"))</f>
        <v/>
      </c>
      <c r="G1270" s="42"/>
      <c r="H1270" s="43"/>
      <c r="I1270" s="43"/>
      <c r="J1270" s="40"/>
    </row>
    <row r="1271" customFormat="false" ht="16.5" hidden="false" customHeight="true" outlineLevel="0" collapsed="false">
      <c r="B1271" s="44" t="str">
        <f aca="false">IF(C1271="","",ROW()-9)</f>
        <v/>
      </c>
      <c r="C1271" s="45"/>
      <c r="D1271" s="46" t="str">
        <f aca="false">IF(C1271="","",IFERROR(TEXT(C1271,"MMMM"),""))</f>
        <v/>
      </c>
      <c r="E1271" s="47"/>
      <c r="F1271" s="48" t="str">
        <f aca="false">IF(E1271="","",IFERROR(INDEX('Chart of Accounts'!$C$4:$C$200,MATCH(TEXT(E1271,"@"),TEXT('Chart of Accounts'!$B$4:$B$200,"@"),0)),"⚠ Not Found"))</f>
        <v/>
      </c>
      <c r="G1271" s="49"/>
      <c r="H1271" s="50"/>
      <c r="I1271" s="50"/>
      <c r="J1271" s="47"/>
    </row>
    <row r="1272" customFormat="false" ht="16.5" hidden="false" customHeight="true" outlineLevel="0" collapsed="false">
      <c r="B1272" s="37" t="str">
        <f aca="false">IF(C1272="","",ROW()-9)</f>
        <v/>
      </c>
      <c r="C1272" s="38"/>
      <c r="D1272" s="39" t="str">
        <f aca="false">IF(C1272="","",IFERROR(TEXT(C1272,"MMMM"),""))</f>
        <v/>
      </c>
      <c r="E1272" s="40"/>
      <c r="F1272" s="41" t="str">
        <f aca="false">IF(E1272="","",IFERROR(INDEX('Chart of Accounts'!$C$4:$C$200,MATCH(TEXT(E1272,"@"),TEXT('Chart of Accounts'!$B$4:$B$200,"@"),0)),"⚠ Not Found"))</f>
        <v/>
      </c>
      <c r="G1272" s="42"/>
      <c r="H1272" s="43"/>
      <c r="I1272" s="43"/>
      <c r="J1272" s="40"/>
    </row>
    <row r="1273" customFormat="false" ht="16.5" hidden="false" customHeight="true" outlineLevel="0" collapsed="false">
      <c r="B1273" s="44" t="str">
        <f aca="false">IF(C1273="","",ROW()-9)</f>
        <v/>
      </c>
      <c r="C1273" s="45"/>
      <c r="D1273" s="46" t="str">
        <f aca="false">IF(C1273="","",IFERROR(TEXT(C1273,"MMMM"),""))</f>
        <v/>
      </c>
      <c r="E1273" s="47"/>
      <c r="F1273" s="48" t="str">
        <f aca="false">IF(E1273="","",IFERROR(INDEX('Chart of Accounts'!$C$4:$C$200,MATCH(TEXT(E1273,"@"),TEXT('Chart of Accounts'!$B$4:$B$200,"@"),0)),"⚠ Not Found"))</f>
        <v/>
      </c>
      <c r="G1273" s="49"/>
      <c r="H1273" s="50"/>
      <c r="I1273" s="50"/>
      <c r="J1273" s="47"/>
    </row>
    <row r="1274" customFormat="false" ht="16.5" hidden="false" customHeight="true" outlineLevel="0" collapsed="false">
      <c r="B1274" s="37" t="str">
        <f aca="false">IF(C1274="","",ROW()-9)</f>
        <v/>
      </c>
      <c r="C1274" s="38"/>
      <c r="D1274" s="39" t="str">
        <f aca="false">IF(C1274="","",IFERROR(TEXT(C1274,"MMMM"),""))</f>
        <v/>
      </c>
      <c r="E1274" s="40"/>
      <c r="F1274" s="41" t="str">
        <f aca="false">IF(E1274="","",IFERROR(INDEX('Chart of Accounts'!$C$4:$C$200,MATCH(TEXT(E1274,"@"),TEXT('Chart of Accounts'!$B$4:$B$200,"@"),0)),"⚠ Not Found"))</f>
        <v/>
      </c>
      <c r="G1274" s="42"/>
      <c r="H1274" s="43"/>
      <c r="I1274" s="43"/>
      <c r="J1274" s="40"/>
    </row>
    <row r="1275" customFormat="false" ht="16.5" hidden="false" customHeight="true" outlineLevel="0" collapsed="false">
      <c r="B1275" s="44" t="str">
        <f aca="false">IF(C1275="","",ROW()-9)</f>
        <v/>
      </c>
      <c r="C1275" s="45"/>
      <c r="D1275" s="46" t="str">
        <f aca="false">IF(C1275="","",IFERROR(TEXT(C1275,"MMMM"),""))</f>
        <v/>
      </c>
      <c r="E1275" s="47"/>
      <c r="F1275" s="48" t="str">
        <f aca="false">IF(E1275="","",IFERROR(INDEX('Chart of Accounts'!$C$4:$C$200,MATCH(TEXT(E1275,"@"),TEXT('Chart of Accounts'!$B$4:$B$200,"@"),0)),"⚠ Not Found"))</f>
        <v/>
      </c>
      <c r="G1275" s="49"/>
      <c r="H1275" s="50"/>
      <c r="I1275" s="50"/>
      <c r="J1275" s="47"/>
    </row>
    <row r="1276" customFormat="false" ht="16.5" hidden="false" customHeight="true" outlineLevel="0" collapsed="false">
      <c r="B1276" s="37" t="str">
        <f aca="false">IF(C1276="","",ROW()-9)</f>
        <v/>
      </c>
      <c r="C1276" s="38"/>
      <c r="D1276" s="39" t="str">
        <f aca="false">IF(C1276="","",IFERROR(TEXT(C1276,"MMMM"),""))</f>
        <v/>
      </c>
      <c r="E1276" s="40"/>
      <c r="F1276" s="41" t="str">
        <f aca="false">IF(E1276="","",IFERROR(INDEX('Chart of Accounts'!$C$4:$C$200,MATCH(TEXT(E1276,"@"),TEXT('Chart of Accounts'!$B$4:$B$200,"@"),0)),"⚠ Not Found"))</f>
        <v/>
      </c>
      <c r="G1276" s="42"/>
      <c r="H1276" s="43"/>
      <c r="I1276" s="43"/>
      <c r="J1276" s="40"/>
    </row>
    <row r="1277" customFormat="false" ht="16.5" hidden="false" customHeight="true" outlineLevel="0" collapsed="false">
      <c r="B1277" s="44" t="str">
        <f aca="false">IF(C1277="","",ROW()-9)</f>
        <v/>
      </c>
      <c r="C1277" s="45"/>
      <c r="D1277" s="46" t="str">
        <f aca="false">IF(C1277="","",IFERROR(TEXT(C1277,"MMMM"),""))</f>
        <v/>
      </c>
      <c r="E1277" s="47"/>
      <c r="F1277" s="48" t="str">
        <f aca="false">IF(E1277="","",IFERROR(INDEX('Chart of Accounts'!$C$4:$C$200,MATCH(TEXT(E1277,"@"),TEXT('Chart of Accounts'!$B$4:$B$200,"@"),0)),"⚠ Not Found"))</f>
        <v/>
      </c>
      <c r="G1277" s="49"/>
      <c r="H1277" s="50"/>
      <c r="I1277" s="50"/>
      <c r="J1277" s="47"/>
    </row>
    <row r="1278" customFormat="false" ht="16.5" hidden="false" customHeight="true" outlineLevel="0" collapsed="false">
      <c r="B1278" s="37" t="str">
        <f aca="false">IF(C1278="","",ROW()-9)</f>
        <v/>
      </c>
      <c r="C1278" s="38"/>
      <c r="D1278" s="39" t="str">
        <f aca="false">IF(C1278="","",IFERROR(TEXT(C1278,"MMMM"),""))</f>
        <v/>
      </c>
      <c r="E1278" s="40"/>
      <c r="F1278" s="41" t="str">
        <f aca="false">IF(E1278="","",IFERROR(INDEX('Chart of Accounts'!$C$4:$C$200,MATCH(TEXT(E1278,"@"),TEXT('Chart of Accounts'!$B$4:$B$200,"@"),0)),"⚠ Not Found"))</f>
        <v/>
      </c>
      <c r="G1278" s="42"/>
      <c r="H1278" s="43"/>
      <c r="I1278" s="43"/>
      <c r="J1278" s="40"/>
    </row>
    <row r="1279" customFormat="false" ht="16.5" hidden="false" customHeight="true" outlineLevel="0" collapsed="false">
      <c r="B1279" s="44" t="str">
        <f aca="false">IF(C1279="","",ROW()-9)</f>
        <v/>
      </c>
      <c r="C1279" s="45"/>
      <c r="D1279" s="46" t="str">
        <f aca="false">IF(C1279="","",IFERROR(TEXT(C1279,"MMMM"),""))</f>
        <v/>
      </c>
      <c r="E1279" s="47"/>
      <c r="F1279" s="48" t="str">
        <f aca="false">IF(E1279="","",IFERROR(INDEX('Chart of Accounts'!$C$4:$C$200,MATCH(TEXT(E1279,"@"),TEXT('Chart of Accounts'!$B$4:$B$200,"@"),0)),"⚠ Not Found"))</f>
        <v/>
      </c>
      <c r="G1279" s="49"/>
      <c r="H1279" s="50"/>
      <c r="I1279" s="50"/>
      <c r="J1279" s="47"/>
    </row>
    <row r="1280" customFormat="false" ht="16.5" hidden="false" customHeight="true" outlineLevel="0" collapsed="false">
      <c r="B1280" s="37" t="str">
        <f aca="false">IF(C1280="","",ROW()-9)</f>
        <v/>
      </c>
      <c r="C1280" s="38"/>
      <c r="D1280" s="39" t="str">
        <f aca="false">IF(C1280="","",IFERROR(TEXT(C1280,"MMMM"),""))</f>
        <v/>
      </c>
      <c r="E1280" s="40"/>
      <c r="F1280" s="41" t="str">
        <f aca="false">IF(E1280="","",IFERROR(INDEX('Chart of Accounts'!$C$4:$C$200,MATCH(TEXT(E1280,"@"),TEXT('Chart of Accounts'!$B$4:$B$200,"@"),0)),"⚠ Not Found"))</f>
        <v/>
      </c>
      <c r="G1280" s="42"/>
      <c r="H1280" s="43"/>
      <c r="I1280" s="43"/>
      <c r="J1280" s="40"/>
    </row>
    <row r="1281" customFormat="false" ht="16.5" hidden="false" customHeight="true" outlineLevel="0" collapsed="false">
      <c r="B1281" s="44" t="str">
        <f aca="false">IF(C1281="","",ROW()-9)</f>
        <v/>
      </c>
      <c r="C1281" s="45"/>
      <c r="D1281" s="46" t="str">
        <f aca="false">IF(C1281="","",IFERROR(TEXT(C1281,"MMMM"),""))</f>
        <v/>
      </c>
      <c r="E1281" s="47"/>
      <c r="F1281" s="48" t="str">
        <f aca="false">IF(E1281="","",IFERROR(INDEX('Chart of Accounts'!$C$4:$C$200,MATCH(TEXT(E1281,"@"),TEXT('Chart of Accounts'!$B$4:$B$200,"@"),0)),"⚠ Not Found"))</f>
        <v/>
      </c>
      <c r="G1281" s="49"/>
      <c r="H1281" s="50"/>
      <c r="I1281" s="50"/>
      <c r="J1281" s="47"/>
    </row>
    <row r="1282" customFormat="false" ht="16.5" hidden="false" customHeight="true" outlineLevel="0" collapsed="false">
      <c r="B1282" s="37" t="str">
        <f aca="false">IF(C1282="","",ROW()-9)</f>
        <v/>
      </c>
      <c r="C1282" s="38"/>
      <c r="D1282" s="39" t="str">
        <f aca="false">IF(C1282="","",IFERROR(TEXT(C1282,"MMMM"),""))</f>
        <v/>
      </c>
      <c r="E1282" s="40"/>
      <c r="F1282" s="41" t="str">
        <f aca="false">IF(E1282="","",IFERROR(INDEX('Chart of Accounts'!$C$4:$C$200,MATCH(TEXT(E1282,"@"),TEXT('Chart of Accounts'!$B$4:$B$200,"@"),0)),"⚠ Not Found"))</f>
        <v/>
      </c>
      <c r="G1282" s="42"/>
      <c r="H1282" s="43"/>
      <c r="I1282" s="43"/>
      <c r="J1282" s="40"/>
    </row>
    <row r="1283" customFormat="false" ht="16.5" hidden="false" customHeight="true" outlineLevel="0" collapsed="false">
      <c r="B1283" s="44" t="str">
        <f aca="false">IF(C1283="","",ROW()-9)</f>
        <v/>
      </c>
      <c r="C1283" s="45"/>
      <c r="D1283" s="46" t="str">
        <f aca="false">IF(C1283="","",IFERROR(TEXT(C1283,"MMMM"),""))</f>
        <v/>
      </c>
      <c r="E1283" s="47"/>
      <c r="F1283" s="48" t="str">
        <f aca="false">IF(E1283="","",IFERROR(INDEX('Chart of Accounts'!$C$4:$C$200,MATCH(TEXT(E1283,"@"),TEXT('Chart of Accounts'!$B$4:$B$200,"@"),0)),"⚠ Not Found"))</f>
        <v/>
      </c>
      <c r="G1283" s="49"/>
      <c r="H1283" s="50"/>
      <c r="I1283" s="50"/>
      <c r="J1283" s="47"/>
    </row>
    <row r="1284" customFormat="false" ht="16.5" hidden="false" customHeight="true" outlineLevel="0" collapsed="false">
      <c r="B1284" s="37" t="str">
        <f aca="false">IF(C1284="","",ROW()-9)</f>
        <v/>
      </c>
      <c r="C1284" s="38"/>
      <c r="D1284" s="39" t="str">
        <f aca="false">IF(C1284="","",IFERROR(TEXT(C1284,"MMMM"),""))</f>
        <v/>
      </c>
      <c r="E1284" s="40"/>
      <c r="F1284" s="41" t="str">
        <f aca="false">IF(E1284="","",IFERROR(INDEX('Chart of Accounts'!$C$4:$C$200,MATCH(TEXT(E1284,"@"),TEXT('Chart of Accounts'!$B$4:$B$200,"@"),0)),"⚠ Not Found"))</f>
        <v/>
      </c>
      <c r="G1284" s="42"/>
      <c r="H1284" s="43"/>
      <c r="I1284" s="43"/>
      <c r="J1284" s="40"/>
    </row>
    <row r="1285" customFormat="false" ht="16.5" hidden="false" customHeight="true" outlineLevel="0" collapsed="false">
      <c r="B1285" s="44" t="str">
        <f aca="false">IF(C1285="","",ROW()-9)</f>
        <v/>
      </c>
      <c r="C1285" s="45"/>
      <c r="D1285" s="46" t="str">
        <f aca="false">IF(C1285="","",IFERROR(TEXT(C1285,"MMMM"),""))</f>
        <v/>
      </c>
      <c r="E1285" s="47"/>
      <c r="F1285" s="48" t="str">
        <f aca="false">IF(E1285="","",IFERROR(INDEX('Chart of Accounts'!$C$4:$C$200,MATCH(TEXT(E1285,"@"),TEXT('Chart of Accounts'!$B$4:$B$200,"@"),0)),"⚠ Not Found"))</f>
        <v/>
      </c>
      <c r="G1285" s="49"/>
      <c r="H1285" s="50"/>
      <c r="I1285" s="50"/>
      <c r="J1285" s="47"/>
    </row>
    <row r="1286" customFormat="false" ht="16.5" hidden="false" customHeight="true" outlineLevel="0" collapsed="false">
      <c r="B1286" s="37" t="str">
        <f aca="false">IF(C1286="","",ROW()-9)</f>
        <v/>
      </c>
      <c r="C1286" s="38"/>
      <c r="D1286" s="39" t="str">
        <f aca="false">IF(C1286="","",IFERROR(TEXT(C1286,"MMMM"),""))</f>
        <v/>
      </c>
      <c r="E1286" s="40"/>
      <c r="F1286" s="41" t="str">
        <f aca="false">IF(E1286="","",IFERROR(INDEX('Chart of Accounts'!$C$4:$C$200,MATCH(TEXT(E1286,"@"),TEXT('Chart of Accounts'!$B$4:$B$200,"@"),0)),"⚠ Not Found"))</f>
        <v/>
      </c>
      <c r="G1286" s="42"/>
      <c r="H1286" s="43"/>
      <c r="I1286" s="43"/>
      <c r="J1286" s="40"/>
    </row>
    <row r="1287" customFormat="false" ht="16.5" hidden="false" customHeight="true" outlineLevel="0" collapsed="false">
      <c r="B1287" s="44" t="str">
        <f aca="false">IF(C1287="","",ROW()-9)</f>
        <v/>
      </c>
      <c r="C1287" s="45"/>
      <c r="D1287" s="46" t="str">
        <f aca="false">IF(C1287="","",IFERROR(TEXT(C1287,"MMMM"),""))</f>
        <v/>
      </c>
      <c r="E1287" s="47"/>
      <c r="F1287" s="48" t="str">
        <f aca="false">IF(E1287="","",IFERROR(INDEX('Chart of Accounts'!$C$4:$C$200,MATCH(TEXT(E1287,"@"),TEXT('Chart of Accounts'!$B$4:$B$200,"@"),0)),"⚠ Not Found"))</f>
        <v/>
      </c>
      <c r="G1287" s="49"/>
      <c r="H1287" s="50"/>
      <c r="I1287" s="50"/>
      <c r="J1287" s="47"/>
    </row>
    <row r="1288" customFormat="false" ht="16.5" hidden="false" customHeight="true" outlineLevel="0" collapsed="false">
      <c r="B1288" s="37" t="str">
        <f aca="false">IF(C1288="","",ROW()-9)</f>
        <v/>
      </c>
      <c r="C1288" s="38"/>
      <c r="D1288" s="39" t="str">
        <f aca="false">IF(C1288="","",IFERROR(TEXT(C1288,"MMMM"),""))</f>
        <v/>
      </c>
      <c r="E1288" s="40"/>
      <c r="F1288" s="41" t="str">
        <f aca="false">IF(E1288="","",IFERROR(INDEX('Chart of Accounts'!$C$4:$C$200,MATCH(TEXT(E1288,"@"),TEXT('Chart of Accounts'!$B$4:$B$200,"@"),0)),"⚠ Not Found"))</f>
        <v/>
      </c>
      <c r="G1288" s="42"/>
      <c r="H1288" s="43"/>
      <c r="I1288" s="43"/>
      <c r="J1288" s="40"/>
    </row>
    <row r="1289" customFormat="false" ht="16.5" hidden="false" customHeight="true" outlineLevel="0" collapsed="false">
      <c r="B1289" s="44" t="str">
        <f aca="false">IF(C1289="","",ROW()-9)</f>
        <v/>
      </c>
      <c r="C1289" s="45"/>
      <c r="D1289" s="46" t="str">
        <f aca="false">IF(C1289="","",IFERROR(TEXT(C1289,"MMMM"),""))</f>
        <v/>
      </c>
      <c r="E1289" s="47"/>
      <c r="F1289" s="48" t="str">
        <f aca="false">IF(E1289="","",IFERROR(INDEX('Chart of Accounts'!$C$4:$C$200,MATCH(TEXT(E1289,"@"),TEXT('Chart of Accounts'!$B$4:$B$200,"@"),0)),"⚠ Not Found"))</f>
        <v/>
      </c>
      <c r="G1289" s="49"/>
      <c r="H1289" s="50"/>
      <c r="I1289" s="50"/>
      <c r="J1289" s="47"/>
    </row>
    <row r="1290" customFormat="false" ht="16.5" hidden="false" customHeight="true" outlineLevel="0" collapsed="false">
      <c r="B1290" s="37" t="str">
        <f aca="false">IF(C1290="","",ROW()-9)</f>
        <v/>
      </c>
      <c r="C1290" s="38"/>
      <c r="D1290" s="39" t="str">
        <f aca="false">IF(C1290="","",IFERROR(TEXT(C1290,"MMMM"),""))</f>
        <v/>
      </c>
      <c r="E1290" s="40"/>
      <c r="F1290" s="41" t="str">
        <f aca="false">IF(E1290="","",IFERROR(INDEX('Chart of Accounts'!$C$4:$C$200,MATCH(TEXT(E1290,"@"),TEXT('Chart of Accounts'!$B$4:$B$200,"@"),0)),"⚠ Not Found"))</f>
        <v/>
      </c>
      <c r="G1290" s="42"/>
      <c r="H1290" s="43"/>
      <c r="I1290" s="43"/>
      <c r="J1290" s="40"/>
    </row>
    <row r="1291" customFormat="false" ht="16.5" hidden="false" customHeight="true" outlineLevel="0" collapsed="false">
      <c r="B1291" s="44" t="str">
        <f aca="false">IF(C1291="","",ROW()-9)</f>
        <v/>
      </c>
      <c r="C1291" s="45"/>
      <c r="D1291" s="46" t="str">
        <f aca="false">IF(C1291="","",IFERROR(TEXT(C1291,"MMMM"),""))</f>
        <v/>
      </c>
      <c r="E1291" s="47"/>
      <c r="F1291" s="48" t="str">
        <f aca="false">IF(E1291="","",IFERROR(INDEX('Chart of Accounts'!$C$4:$C$200,MATCH(TEXT(E1291,"@"),TEXT('Chart of Accounts'!$B$4:$B$200,"@"),0)),"⚠ Not Found"))</f>
        <v/>
      </c>
      <c r="G1291" s="49"/>
      <c r="H1291" s="50"/>
      <c r="I1291" s="50"/>
      <c r="J1291" s="47"/>
    </row>
    <row r="1292" customFormat="false" ht="16.5" hidden="false" customHeight="true" outlineLevel="0" collapsed="false">
      <c r="B1292" s="37" t="str">
        <f aca="false">IF(C1292="","",ROW()-9)</f>
        <v/>
      </c>
      <c r="C1292" s="38"/>
      <c r="D1292" s="39" t="str">
        <f aca="false">IF(C1292="","",IFERROR(TEXT(C1292,"MMMM"),""))</f>
        <v/>
      </c>
      <c r="E1292" s="40"/>
      <c r="F1292" s="41" t="str">
        <f aca="false">IF(E1292="","",IFERROR(INDEX('Chart of Accounts'!$C$4:$C$200,MATCH(TEXT(E1292,"@"),TEXT('Chart of Accounts'!$B$4:$B$200,"@"),0)),"⚠ Not Found"))</f>
        <v/>
      </c>
      <c r="G1292" s="42"/>
      <c r="H1292" s="43"/>
      <c r="I1292" s="43"/>
      <c r="J1292" s="40"/>
    </row>
    <row r="1293" customFormat="false" ht="16.5" hidden="false" customHeight="true" outlineLevel="0" collapsed="false">
      <c r="B1293" s="44" t="str">
        <f aca="false">IF(C1293="","",ROW()-9)</f>
        <v/>
      </c>
      <c r="C1293" s="45"/>
      <c r="D1293" s="46" t="str">
        <f aca="false">IF(C1293="","",IFERROR(TEXT(C1293,"MMMM"),""))</f>
        <v/>
      </c>
      <c r="E1293" s="47"/>
      <c r="F1293" s="48" t="str">
        <f aca="false">IF(E1293="","",IFERROR(INDEX('Chart of Accounts'!$C$4:$C$200,MATCH(TEXT(E1293,"@"),TEXT('Chart of Accounts'!$B$4:$B$200,"@"),0)),"⚠ Not Found"))</f>
        <v/>
      </c>
      <c r="G1293" s="49"/>
      <c r="H1293" s="50"/>
      <c r="I1293" s="50"/>
      <c r="J1293" s="47"/>
    </row>
    <row r="1294" customFormat="false" ht="16.5" hidden="false" customHeight="true" outlineLevel="0" collapsed="false">
      <c r="B1294" s="37" t="str">
        <f aca="false">IF(C1294="","",ROW()-9)</f>
        <v/>
      </c>
      <c r="C1294" s="38"/>
      <c r="D1294" s="39" t="str">
        <f aca="false">IF(C1294="","",IFERROR(TEXT(C1294,"MMMM"),""))</f>
        <v/>
      </c>
      <c r="E1294" s="40"/>
      <c r="F1294" s="41" t="str">
        <f aca="false">IF(E1294="","",IFERROR(INDEX('Chart of Accounts'!$C$4:$C$200,MATCH(TEXT(E1294,"@"),TEXT('Chart of Accounts'!$B$4:$B$200,"@"),0)),"⚠ Not Found"))</f>
        <v/>
      </c>
      <c r="G1294" s="42"/>
      <c r="H1294" s="43"/>
      <c r="I1294" s="43"/>
      <c r="J1294" s="40"/>
    </row>
    <row r="1295" customFormat="false" ht="16.5" hidden="false" customHeight="true" outlineLevel="0" collapsed="false">
      <c r="B1295" s="44" t="str">
        <f aca="false">IF(C1295="","",ROW()-9)</f>
        <v/>
      </c>
      <c r="C1295" s="45"/>
      <c r="D1295" s="46" t="str">
        <f aca="false">IF(C1295="","",IFERROR(TEXT(C1295,"MMMM"),""))</f>
        <v/>
      </c>
      <c r="E1295" s="47"/>
      <c r="F1295" s="48" t="str">
        <f aca="false">IF(E1295="","",IFERROR(INDEX('Chart of Accounts'!$C$4:$C$200,MATCH(TEXT(E1295,"@"),TEXT('Chart of Accounts'!$B$4:$B$200,"@"),0)),"⚠ Not Found"))</f>
        <v/>
      </c>
      <c r="G1295" s="49"/>
      <c r="H1295" s="50"/>
      <c r="I1295" s="50"/>
      <c r="J1295" s="47"/>
    </row>
    <row r="1296" customFormat="false" ht="16.5" hidden="false" customHeight="true" outlineLevel="0" collapsed="false">
      <c r="B1296" s="37" t="str">
        <f aca="false">IF(C1296="","",ROW()-9)</f>
        <v/>
      </c>
      <c r="C1296" s="38"/>
      <c r="D1296" s="39" t="str">
        <f aca="false">IF(C1296="","",IFERROR(TEXT(C1296,"MMMM"),""))</f>
        <v/>
      </c>
      <c r="E1296" s="40"/>
      <c r="F1296" s="41" t="str">
        <f aca="false">IF(E1296="","",IFERROR(INDEX('Chart of Accounts'!$C$4:$C$200,MATCH(TEXT(E1296,"@"),TEXT('Chart of Accounts'!$B$4:$B$200,"@"),0)),"⚠ Not Found"))</f>
        <v/>
      </c>
      <c r="G1296" s="42"/>
      <c r="H1296" s="43"/>
      <c r="I1296" s="43"/>
      <c r="J1296" s="40"/>
    </row>
    <row r="1297" customFormat="false" ht="16.5" hidden="false" customHeight="true" outlineLevel="0" collapsed="false">
      <c r="B1297" s="44" t="str">
        <f aca="false">IF(C1297="","",ROW()-9)</f>
        <v/>
      </c>
      <c r="C1297" s="45"/>
      <c r="D1297" s="46" t="str">
        <f aca="false">IF(C1297="","",IFERROR(TEXT(C1297,"MMMM"),""))</f>
        <v/>
      </c>
      <c r="E1297" s="47"/>
      <c r="F1297" s="48" t="str">
        <f aca="false">IF(E1297="","",IFERROR(INDEX('Chart of Accounts'!$C$4:$C$200,MATCH(TEXT(E1297,"@"),TEXT('Chart of Accounts'!$B$4:$B$200,"@"),0)),"⚠ Not Found"))</f>
        <v/>
      </c>
      <c r="G1297" s="49"/>
      <c r="H1297" s="50"/>
      <c r="I1297" s="50"/>
      <c r="J1297" s="47"/>
    </row>
    <row r="1298" customFormat="false" ht="16.5" hidden="false" customHeight="true" outlineLevel="0" collapsed="false">
      <c r="B1298" s="37" t="str">
        <f aca="false">IF(C1298="","",ROW()-9)</f>
        <v/>
      </c>
      <c r="C1298" s="38"/>
      <c r="D1298" s="39" t="str">
        <f aca="false">IF(C1298="","",IFERROR(TEXT(C1298,"MMMM"),""))</f>
        <v/>
      </c>
      <c r="E1298" s="40"/>
      <c r="F1298" s="41" t="str">
        <f aca="false">IF(E1298="","",IFERROR(INDEX('Chart of Accounts'!$C$4:$C$200,MATCH(TEXT(E1298,"@"),TEXT('Chart of Accounts'!$B$4:$B$200,"@"),0)),"⚠ Not Found"))</f>
        <v/>
      </c>
      <c r="G1298" s="42"/>
      <c r="H1298" s="43"/>
      <c r="I1298" s="43"/>
      <c r="J1298" s="40"/>
    </row>
    <row r="1299" customFormat="false" ht="16.5" hidden="false" customHeight="true" outlineLevel="0" collapsed="false">
      <c r="B1299" s="44" t="str">
        <f aca="false">IF(C1299="","",ROW()-9)</f>
        <v/>
      </c>
      <c r="C1299" s="45"/>
      <c r="D1299" s="46" t="str">
        <f aca="false">IF(C1299="","",IFERROR(TEXT(C1299,"MMMM"),""))</f>
        <v/>
      </c>
      <c r="E1299" s="47"/>
      <c r="F1299" s="48" t="str">
        <f aca="false">IF(E1299="","",IFERROR(INDEX('Chart of Accounts'!$C$4:$C$200,MATCH(TEXT(E1299,"@"),TEXT('Chart of Accounts'!$B$4:$B$200,"@"),0)),"⚠ Not Found"))</f>
        <v/>
      </c>
      <c r="G1299" s="49"/>
      <c r="H1299" s="50"/>
      <c r="I1299" s="50"/>
      <c r="J1299" s="47"/>
    </row>
    <row r="1300" customFormat="false" ht="16.5" hidden="false" customHeight="true" outlineLevel="0" collapsed="false">
      <c r="B1300" s="37" t="str">
        <f aca="false">IF(C1300="","",ROW()-9)</f>
        <v/>
      </c>
      <c r="C1300" s="38"/>
      <c r="D1300" s="39" t="str">
        <f aca="false">IF(C1300="","",IFERROR(TEXT(C1300,"MMMM"),""))</f>
        <v/>
      </c>
      <c r="E1300" s="40"/>
      <c r="F1300" s="41" t="str">
        <f aca="false">IF(E1300="","",IFERROR(INDEX('Chart of Accounts'!$C$4:$C$200,MATCH(TEXT(E1300,"@"),TEXT('Chart of Accounts'!$B$4:$B$200,"@"),0)),"⚠ Not Found"))</f>
        <v/>
      </c>
      <c r="G1300" s="42"/>
      <c r="H1300" s="43"/>
      <c r="I1300" s="43"/>
      <c r="J1300" s="40"/>
    </row>
    <row r="1301" customFormat="false" ht="16.5" hidden="false" customHeight="true" outlineLevel="0" collapsed="false">
      <c r="B1301" s="44" t="str">
        <f aca="false">IF(C1301="","",ROW()-9)</f>
        <v/>
      </c>
      <c r="C1301" s="45"/>
      <c r="D1301" s="46" t="str">
        <f aca="false">IF(C1301="","",IFERROR(TEXT(C1301,"MMMM"),""))</f>
        <v/>
      </c>
      <c r="E1301" s="47"/>
      <c r="F1301" s="48" t="str">
        <f aca="false">IF(E1301="","",IFERROR(INDEX('Chart of Accounts'!$C$4:$C$200,MATCH(TEXT(E1301,"@"),TEXT('Chart of Accounts'!$B$4:$B$200,"@"),0)),"⚠ Not Found"))</f>
        <v/>
      </c>
      <c r="G1301" s="49"/>
      <c r="H1301" s="50"/>
      <c r="I1301" s="50"/>
      <c r="J1301" s="47"/>
    </row>
    <row r="1302" customFormat="false" ht="16.5" hidden="false" customHeight="true" outlineLevel="0" collapsed="false">
      <c r="B1302" s="37" t="str">
        <f aca="false">IF(C1302="","",ROW()-9)</f>
        <v/>
      </c>
      <c r="C1302" s="38"/>
      <c r="D1302" s="39" t="str">
        <f aca="false">IF(C1302="","",IFERROR(TEXT(C1302,"MMMM"),""))</f>
        <v/>
      </c>
      <c r="E1302" s="40"/>
      <c r="F1302" s="41" t="str">
        <f aca="false">IF(E1302="","",IFERROR(INDEX('Chart of Accounts'!$C$4:$C$200,MATCH(TEXT(E1302,"@"),TEXT('Chart of Accounts'!$B$4:$B$200,"@"),0)),"⚠ Not Found"))</f>
        <v/>
      </c>
      <c r="G1302" s="42"/>
      <c r="H1302" s="43"/>
      <c r="I1302" s="43"/>
      <c r="J1302" s="40"/>
    </row>
    <row r="1303" customFormat="false" ht="16.5" hidden="false" customHeight="true" outlineLevel="0" collapsed="false">
      <c r="B1303" s="44" t="str">
        <f aca="false">IF(C1303="","",ROW()-9)</f>
        <v/>
      </c>
      <c r="C1303" s="45"/>
      <c r="D1303" s="46" t="str">
        <f aca="false">IF(C1303="","",IFERROR(TEXT(C1303,"MMMM"),""))</f>
        <v/>
      </c>
      <c r="E1303" s="47"/>
      <c r="F1303" s="48" t="str">
        <f aca="false">IF(E1303="","",IFERROR(INDEX('Chart of Accounts'!$C$4:$C$200,MATCH(TEXT(E1303,"@"),TEXT('Chart of Accounts'!$B$4:$B$200,"@"),0)),"⚠ Not Found"))</f>
        <v/>
      </c>
      <c r="G1303" s="49"/>
      <c r="H1303" s="50"/>
      <c r="I1303" s="50"/>
      <c r="J1303" s="47"/>
    </row>
    <row r="1304" customFormat="false" ht="16.5" hidden="false" customHeight="true" outlineLevel="0" collapsed="false">
      <c r="B1304" s="37" t="str">
        <f aca="false">IF(C1304="","",ROW()-9)</f>
        <v/>
      </c>
      <c r="C1304" s="38"/>
      <c r="D1304" s="39" t="str">
        <f aca="false">IF(C1304="","",IFERROR(TEXT(C1304,"MMMM"),""))</f>
        <v/>
      </c>
      <c r="E1304" s="40"/>
      <c r="F1304" s="41" t="str">
        <f aca="false">IF(E1304="","",IFERROR(INDEX('Chart of Accounts'!$C$4:$C$200,MATCH(TEXT(E1304,"@"),TEXT('Chart of Accounts'!$B$4:$B$200,"@"),0)),"⚠ Not Found"))</f>
        <v/>
      </c>
      <c r="G1304" s="42"/>
      <c r="H1304" s="43"/>
      <c r="I1304" s="43"/>
      <c r="J1304" s="40"/>
    </row>
    <row r="1305" customFormat="false" ht="16.5" hidden="false" customHeight="true" outlineLevel="0" collapsed="false">
      <c r="B1305" s="44" t="str">
        <f aca="false">IF(C1305="","",ROW()-9)</f>
        <v/>
      </c>
      <c r="C1305" s="45"/>
      <c r="D1305" s="46" t="str">
        <f aca="false">IF(C1305="","",IFERROR(TEXT(C1305,"MMMM"),""))</f>
        <v/>
      </c>
      <c r="E1305" s="47"/>
      <c r="F1305" s="48" t="str">
        <f aca="false">IF(E1305="","",IFERROR(INDEX('Chart of Accounts'!$C$4:$C$200,MATCH(TEXT(E1305,"@"),TEXT('Chart of Accounts'!$B$4:$B$200,"@"),0)),"⚠ Not Found"))</f>
        <v/>
      </c>
      <c r="G1305" s="49"/>
      <c r="H1305" s="50"/>
      <c r="I1305" s="50"/>
      <c r="J1305" s="47"/>
    </row>
    <row r="1306" customFormat="false" ht="16.5" hidden="false" customHeight="true" outlineLevel="0" collapsed="false">
      <c r="B1306" s="37" t="str">
        <f aca="false">IF(C1306="","",ROW()-9)</f>
        <v/>
      </c>
      <c r="C1306" s="38"/>
      <c r="D1306" s="39" t="str">
        <f aca="false">IF(C1306="","",IFERROR(TEXT(C1306,"MMMM"),""))</f>
        <v/>
      </c>
      <c r="E1306" s="40"/>
      <c r="F1306" s="41" t="str">
        <f aca="false">IF(E1306="","",IFERROR(INDEX('Chart of Accounts'!$C$4:$C$200,MATCH(TEXT(E1306,"@"),TEXT('Chart of Accounts'!$B$4:$B$200,"@"),0)),"⚠ Not Found"))</f>
        <v/>
      </c>
      <c r="G1306" s="42"/>
      <c r="H1306" s="43"/>
      <c r="I1306" s="43"/>
      <c r="J1306" s="40"/>
    </row>
    <row r="1307" customFormat="false" ht="16.5" hidden="false" customHeight="true" outlineLevel="0" collapsed="false">
      <c r="B1307" s="44" t="str">
        <f aca="false">IF(C1307="","",ROW()-9)</f>
        <v/>
      </c>
      <c r="C1307" s="45"/>
      <c r="D1307" s="46" t="str">
        <f aca="false">IF(C1307="","",IFERROR(TEXT(C1307,"MMMM"),""))</f>
        <v/>
      </c>
      <c r="E1307" s="47"/>
      <c r="F1307" s="48" t="str">
        <f aca="false">IF(E1307="","",IFERROR(INDEX('Chart of Accounts'!$C$4:$C$200,MATCH(TEXT(E1307,"@"),TEXT('Chart of Accounts'!$B$4:$B$200,"@"),0)),"⚠ Not Found"))</f>
        <v/>
      </c>
      <c r="G1307" s="49"/>
      <c r="H1307" s="50"/>
      <c r="I1307" s="50"/>
      <c r="J1307" s="47"/>
    </row>
    <row r="1308" customFormat="false" ht="16.5" hidden="false" customHeight="true" outlineLevel="0" collapsed="false">
      <c r="B1308" s="37" t="str">
        <f aca="false">IF(C1308="","",ROW()-9)</f>
        <v/>
      </c>
      <c r="C1308" s="38"/>
      <c r="D1308" s="39" t="str">
        <f aca="false">IF(C1308="","",IFERROR(TEXT(C1308,"MMMM"),""))</f>
        <v/>
      </c>
      <c r="E1308" s="40"/>
      <c r="F1308" s="41" t="str">
        <f aca="false">IF(E1308="","",IFERROR(INDEX('Chart of Accounts'!$C$4:$C$200,MATCH(TEXT(E1308,"@"),TEXT('Chart of Accounts'!$B$4:$B$200,"@"),0)),"⚠ Not Found"))</f>
        <v/>
      </c>
      <c r="G1308" s="42"/>
      <c r="H1308" s="43"/>
      <c r="I1308" s="43"/>
      <c r="J1308" s="40"/>
    </row>
    <row r="1309" customFormat="false" ht="16.5" hidden="false" customHeight="true" outlineLevel="0" collapsed="false">
      <c r="B1309" s="44" t="str">
        <f aca="false">IF(C1309="","",ROW()-9)</f>
        <v/>
      </c>
      <c r="C1309" s="45"/>
      <c r="D1309" s="46" t="str">
        <f aca="false">IF(C1309="","",IFERROR(TEXT(C1309,"MMMM"),""))</f>
        <v/>
      </c>
      <c r="E1309" s="47"/>
      <c r="F1309" s="48" t="str">
        <f aca="false">IF(E1309="","",IFERROR(INDEX('Chart of Accounts'!$C$4:$C$200,MATCH(TEXT(E1309,"@"),TEXT('Chart of Accounts'!$B$4:$B$200,"@"),0)),"⚠ Not Found"))</f>
        <v/>
      </c>
      <c r="G1309" s="49"/>
      <c r="H1309" s="50"/>
      <c r="I1309" s="50"/>
      <c r="J1309" s="47"/>
    </row>
    <row r="1310" customFormat="false" ht="16.5" hidden="false" customHeight="true" outlineLevel="0" collapsed="false">
      <c r="B1310" s="37" t="str">
        <f aca="false">IF(C1310="","",ROW()-9)</f>
        <v/>
      </c>
      <c r="C1310" s="38"/>
      <c r="D1310" s="39" t="str">
        <f aca="false">IF(C1310="","",IFERROR(TEXT(C1310,"MMMM"),""))</f>
        <v/>
      </c>
      <c r="E1310" s="40"/>
      <c r="F1310" s="41" t="str">
        <f aca="false">IF(E1310="","",IFERROR(INDEX('Chart of Accounts'!$C$4:$C$200,MATCH(TEXT(E1310,"@"),TEXT('Chart of Accounts'!$B$4:$B$200,"@"),0)),"⚠ Not Found"))</f>
        <v/>
      </c>
      <c r="G1310" s="42"/>
      <c r="H1310" s="43"/>
      <c r="I1310" s="43"/>
      <c r="J1310" s="40"/>
    </row>
    <row r="1311" customFormat="false" ht="16.5" hidden="false" customHeight="true" outlineLevel="0" collapsed="false">
      <c r="B1311" s="44" t="str">
        <f aca="false">IF(C1311="","",ROW()-9)</f>
        <v/>
      </c>
      <c r="C1311" s="45"/>
      <c r="D1311" s="46" t="str">
        <f aca="false">IF(C1311="","",IFERROR(TEXT(C1311,"MMMM"),""))</f>
        <v/>
      </c>
      <c r="E1311" s="47"/>
      <c r="F1311" s="48" t="str">
        <f aca="false">IF(E1311="","",IFERROR(INDEX('Chart of Accounts'!$C$4:$C$200,MATCH(TEXT(E1311,"@"),TEXT('Chart of Accounts'!$B$4:$B$200,"@"),0)),"⚠ Not Found"))</f>
        <v/>
      </c>
      <c r="G1311" s="49"/>
      <c r="H1311" s="50"/>
      <c r="I1311" s="50"/>
      <c r="J1311" s="47"/>
    </row>
    <row r="1312" customFormat="false" ht="16.5" hidden="false" customHeight="true" outlineLevel="0" collapsed="false">
      <c r="B1312" s="37" t="str">
        <f aca="false">IF(C1312="","",ROW()-9)</f>
        <v/>
      </c>
      <c r="C1312" s="38"/>
      <c r="D1312" s="39" t="str">
        <f aca="false">IF(C1312="","",IFERROR(TEXT(C1312,"MMMM"),""))</f>
        <v/>
      </c>
      <c r="E1312" s="40"/>
      <c r="F1312" s="41" t="str">
        <f aca="false">IF(E1312="","",IFERROR(INDEX('Chart of Accounts'!$C$4:$C$200,MATCH(TEXT(E1312,"@"),TEXT('Chart of Accounts'!$B$4:$B$200,"@"),0)),"⚠ Not Found"))</f>
        <v/>
      </c>
      <c r="G1312" s="42"/>
      <c r="H1312" s="43"/>
      <c r="I1312" s="43"/>
      <c r="J1312" s="40"/>
    </row>
    <row r="1313" customFormat="false" ht="16.5" hidden="false" customHeight="true" outlineLevel="0" collapsed="false">
      <c r="B1313" s="44" t="str">
        <f aca="false">IF(C1313="","",ROW()-9)</f>
        <v/>
      </c>
      <c r="C1313" s="45"/>
      <c r="D1313" s="46" t="str">
        <f aca="false">IF(C1313="","",IFERROR(TEXT(C1313,"MMMM"),""))</f>
        <v/>
      </c>
      <c r="E1313" s="47"/>
      <c r="F1313" s="48" t="str">
        <f aca="false">IF(E1313="","",IFERROR(INDEX('Chart of Accounts'!$C$4:$C$200,MATCH(TEXT(E1313,"@"),TEXT('Chart of Accounts'!$B$4:$B$200,"@"),0)),"⚠ Not Found"))</f>
        <v/>
      </c>
      <c r="G1313" s="49"/>
      <c r="H1313" s="50"/>
      <c r="I1313" s="50"/>
      <c r="J1313" s="47"/>
    </row>
    <row r="1314" customFormat="false" ht="16.5" hidden="false" customHeight="true" outlineLevel="0" collapsed="false">
      <c r="B1314" s="37" t="str">
        <f aca="false">IF(C1314="","",ROW()-9)</f>
        <v/>
      </c>
      <c r="C1314" s="38"/>
      <c r="D1314" s="39" t="str">
        <f aca="false">IF(C1314="","",IFERROR(TEXT(C1314,"MMMM"),""))</f>
        <v/>
      </c>
      <c r="E1314" s="40"/>
      <c r="F1314" s="41" t="str">
        <f aca="false">IF(E1314="","",IFERROR(INDEX('Chart of Accounts'!$C$4:$C$200,MATCH(TEXT(E1314,"@"),TEXT('Chart of Accounts'!$B$4:$B$200,"@"),0)),"⚠ Not Found"))</f>
        <v/>
      </c>
      <c r="G1314" s="42"/>
      <c r="H1314" s="43"/>
      <c r="I1314" s="43"/>
      <c r="J1314" s="40"/>
    </row>
    <row r="1315" customFormat="false" ht="16.5" hidden="false" customHeight="true" outlineLevel="0" collapsed="false">
      <c r="B1315" s="44" t="str">
        <f aca="false">IF(C1315="","",ROW()-9)</f>
        <v/>
      </c>
      <c r="C1315" s="45"/>
      <c r="D1315" s="46" t="str">
        <f aca="false">IF(C1315="","",IFERROR(TEXT(C1315,"MMMM"),""))</f>
        <v/>
      </c>
      <c r="E1315" s="47"/>
      <c r="F1315" s="48" t="str">
        <f aca="false">IF(E1315="","",IFERROR(INDEX('Chart of Accounts'!$C$4:$C$200,MATCH(TEXT(E1315,"@"),TEXT('Chart of Accounts'!$B$4:$B$200,"@"),0)),"⚠ Not Found"))</f>
        <v/>
      </c>
      <c r="G1315" s="49"/>
      <c r="H1315" s="50"/>
      <c r="I1315" s="50"/>
      <c r="J1315" s="47"/>
    </row>
    <row r="1316" customFormat="false" ht="16.5" hidden="false" customHeight="true" outlineLevel="0" collapsed="false">
      <c r="B1316" s="37" t="str">
        <f aca="false">IF(C1316="","",ROW()-9)</f>
        <v/>
      </c>
      <c r="C1316" s="38"/>
      <c r="D1316" s="39" t="str">
        <f aca="false">IF(C1316="","",IFERROR(TEXT(C1316,"MMMM"),""))</f>
        <v/>
      </c>
      <c r="E1316" s="40"/>
      <c r="F1316" s="41" t="str">
        <f aca="false">IF(E1316="","",IFERROR(INDEX('Chart of Accounts'!$C$4:$C$200,MATCH(TEXT(E1316,"@"),TEXT('Chart of Accounts'!$B$4:$B$200,"@"),0)),"⚠ Not Found"))</f>
        <v/>
      </c>
      <c r="G1316" s="42"/>
      <c r="H1316" s="43"/>
      <c r="I1316" s="43"/>
      <c r="J1316" s="40"/>
    </row>
    <row r="1317" customFormat="false" ht="16.5" hidden="false" customHeight="true" outlineLevel="0" collapsed="false">
      <c r="B1317" s="44" t="str">
        <f aca="false">IF(C1317="","",ROW()-9)</f>
        <v/>
      </c>
      <c r="C1317" s="45"/>
      <c r="D1317" s="46" t="str">
        <f aca="false">IF(C1317="","",IFERROR(TEXT(C1317,"MMMM"),""))</f>
        <v/>
      </c>
      <c r="E1317" s="47"/>
      <c r="F1317" s="48" t="str">
        <f aca="false">IF(E1317="","",IFERROR(INDEX('Chart of Accounts'!$C$4:$C$200,MATCH(TEXT(E1317,"@"),TEXT('Chart of Accounts'!$B$4:$B$200,"@"),0)),"⚠ Not Found"))</f>
        <v/>
      </c>
      <c r="G1317" s="49"/>
      <c r="H1317" s="50"/>
      <c r="I1317" s="50"/>
      <c r="J1317" s="47"/>
    </row>
    <row r="1318" customFormat="false" ht="16.5" hidden="false" customHeight="true" outlineLevel="0" collapsed="false">
      <c r="B1318" s="37" t="str">
        <f aca="false">IF(C1318="","",ROW()-9)</f>
        <v/>
      </c>
      <c r="C1318" s="38"/>
      <c r="D1318" s="39" t="str">
        <f aca="false">IF(C1318="","",IFERROR(TEXT(C1318,"MMMM"),""))</f>
        <v/>
      </c>
      <c r="E1318" s="40"/>
      <c r="F1318" s="41" t="str">
        <f aca="false">IF(E1318="","",IFERROR(INDEX('Chart of Accounts'!$C$4:$C$200,MATCH(TEXT(E1318,"@"),TEXT('Chart of Accounts'!$B$4:$B$200,"@"),0)),"⚠ Not Found"))</f>
        <v/>
      </c>
      <c r="G1318" s="42"/>
      <c r="H1318" s="43"/>
      <c r="I1318" s="43"/>
      <c r="J1318" s="40"/>
    </row>
    <row r="1319" customFormat="false" ht="16.5" hidden="false" customHeight="true" outlineLevel="0" collapsed="false">
      <c r="B1319" s="44" t="str">
        <f aca="false">IF(C1319="","",ROW()-9)</f>
        <v/>
      </c>
      <c r="C1319" s="45"/>
      <c r="D1319" s="46" t="str">
        <f aca="false">IF(C1319="","",IFERROR(TEXT(C1319,"MMMM"),""))</f>
        <v/>
      </c>
      <c r="E1319" s="47"/>
      <c r="F1319" s="48" t="str">
        <f aca="false">IF(E1319="","",IFERROR(INDEX('Chart of Accounts'!$C$4:$C$200,MATCH(TEXT(E1319,"@"),TEXT('Chart of Accounts'!$B$4:$B$200,"@"),0)),"⚠ Not Found"))</f>
        <v/>
      </c>
      <c r="G1319" s="49"/>
      <c r="H1319" s="50"/>
      <c r="I1319" s="50"/>
      <c r="J1319" s="47"/>
    </row>
    <row r="1320" customFormat="false" ht="16.5" hidden="false" customHeight="true" outlineLevel="0" collapsed="false">
      <c r="B1320" s="37" t="str">
        <f aca="false">IF(C1320="","",ROW()-9)</f>
        <v/>
      </c>
      <c r="C1320" s="38"/>
      <c r="D1320" s="39" t="str">
        <f aca="false">IF(C1320="","",IFERROR(TEXT(C1320,"MMMM"),""))</f>
        <v/>
      </c>
      <c r="E1320" s="40"/>
      <c r="F1320" s="41" t="str">
        <f aca="false">IF(E1320="","",IFERROR(INDEX('Chart of Accounts'!$C$4:$C$200,MATCH(TEXT(E1320,"@"),TEXT('Chart of Accounts'!$B$4:$B$200,"@"),0)),"⚠ Not Found"))</f>
        <v/>
      </c>
      <c r="G1320" s="42"/>
      <c r="H1320" s="43"/>
      <c r="I1320" s="43"/>
      <c r="J1320" s="40"/>
    </row>
    <row r="1321" customFormat="false" ht="16.5" hidden="false" customHeight="true" outlineLevel="0" collapsed="false">
      <c r="B1321" s="44" t="str">
        <f aca="false">IF(C1321="","",ROW()-9)</f>
        <v/>
      </c>
      <c r="C1321" s="45"/>
      <c r="D1321" s="46" t="str">
        <f aca="false">IF(C1321="","",IFERROR(TEXT(C1321,"MMMM"),""))</f>
        <v/>
      </c>
      <c r="E1321" s="47"/>
      <c r="F1321" s="48" t="str">
        <f aca="false">IF(E1321="","",IFERROR(INDEX('Chart of Accounts'!$C$4:$C$200,MATCH(TEXT(E1321,"@"),TEXT('Chart of Accounts'!$B$4:$B$200,"@"),0)),"⚠ Not Found"))</f>
        <v/>
      </c>
      <c r="G1321" s="49"/>
      <c r="H1321" s="50"/>
      <c r="I1321" s="50"/>
      <c r="J1321" s="47"/>
    </row>
    <row r="1322" customFormat="false" ht="16.5" hidden="false" customHeight="true" outlineLevel="0" collapsed="false">
      <c r="B1322" s="37" t="str">
        <f aca="false">IF(C1322="","",ROW()-9)</f>
        <v/>
      </c>
      <c r="C1322" s="38"/>
      <c r="D1322" s="39" t="str">
        <f aca="false">IF(C1322="","",IFERROR(TEXT(C1322,"MMMM"),""))</f>
        <v/>
      </c>
      <c r="E1322" s="40"/>
      <c r="F1322" s="41" t="str">
        <f aca="false">IF(E1322="","",IFERROR(INDEX('Chart of Accounts'!$C$4:$C$200,MATCH(TEXT(E1322,"@"),TEXT('Chart of Accounts'!$B$4:$B$200,"@"),0)),"⚠ Not Found"))</f>
        <v/>
      </c>
      <c r="G1322" s="42"/>
      <c r="H1322" s="43"/>
      <c r="I1322" s="43"/>
      <c r="J1322" s="40"/>
    </row>
    <row r="1323" customFormat="false" ht="16.5" hidden="false" customHeight="true" outlineLevel="0" collapsed="false">
      <c r="B1323" s="44" t="str">
        <f aca="false">IF(C1323="","",ROW()-9)</f>
        <v/>
      </c>
      <c r="C1323" s="45"/>
      <c r="D1323" s="46" t="str">
        <f aca="false">IF(C1323="","",IFERROR(TEXT(C1323,"MMMM"),""))</f>
        <v/>
      </c>
      <c r="E1323" s="47"/>
      <c r="F1323" s="48" t="str">
        <f aca="false">IF(E1323="","",IFERROR(INDEX('Chart of Accounts'!$C$4:$C$200,MATCH(TEXT(E1323,"@"),TEXT('Chart of Accounts'!$B$4:$B$200,"@"),0)),"⚠ Not Found"))</f>
        <v/>
      </c>
      <c r="G1323" s="49"/>
      <c r="H1323" s="50"/>
      <c r="I1323" s="50"/>
      <c r="J1323" s="47"/>
    </row>
    <row r="1324" customFormat="false" ht="16.5" hidden="false" customHeight="true" outlineLevel="0" collapsed="false">
      <c r="B1324" s="37" t="str">
        <f aca="false">IF(C1324="","",ROW()-9)</f>
        <v/>
      </c>
      <c r="C1324" s="38"/>
      <c r="D1324" s="39" t="str">
        <f aca="false">IF(C1324="","",IFERROR(TEXT(C1324,"MMMM"),""))</f>
        <v/>
      </c>
      <c r="E1324" s="40"/>
      <c r="F1324" s="41" t="str">
        <f aca="false">IF(E1324="","",IFERROR(INDEX('Chart of Accounts'!$C$4:$C$200,MATCH(TEXT(E1324,"@"),TEXT('Chart of Accounts'!$B$4:$B$200,"@"),0)),"⚠ Not Found"))</f>
        <v/>
      </c>
      <c r="G1324" s="42"/>
      <c r="H1324" s="43"/>
      <c r="I1324" s="43"/>
      <c r="J1324" s="40"/>
    </row>
    <row r="1325" customFormat="false" ht="16.5" hidden="false" customHeight="true" outlineLevel="0" collapsed="false">
      <c r="B1325" s="44" t="str">
        <f aca="false">IF(C1325="","",ROW()-9)</f>
        <v/>
      </c>
      <c r="C1325" s="45"/>
      <c r="D1325" s="46" t="str">
        <f aca="false">IF(C1325="","",IFERROR(TEXT(C1325,"MMMM"),""))</f>
        <v/>
      </c>
      <c r="E1325" s="47"/>
      <c r="F1325" s="48" t="str">
        <f aca="false">IF(E1325="","",IFERROR(INDEX('Chart of Accounts'!$C$4:$C$200,MATCH(TEXT(E1325,"@"),TEXT('Chart of Accounts'!$B$4:$B$200,"@"),0)),"⚠ Not Found"))</f>
        <v/>
      </c>
      <c r="G1325" s="49"/>
      <c r="H1325" s="50"/>
      <c r="I1325" s="50"/>
      <c r="J1325" s="47"/>
    </row>
    <row r="1326" customFormat="false" ht="16.5" hidden="false" customHeight="true" outlineLevel="0" collapsed="false">
      <c r="B1326" s="37" t="str">
        <f aca="false">IF(C1326="","",ROW()-9)</f>
        <v/>
      </c>
      <c r="C1326" s="38"/>
      <c r="D1326" s="39" t="str">
        <f aca="false">IF(C1326="","",IFERROR(TEXT(C1326,"MMMM"),""))</f>
        <v/>
      </c>
      <c r="E1326" s="40"/>
      <c r="F1326" s="41" t="str">
        <f aca="false">IF(E1326="","",IFERROR(INDEX('Chart of Accounts'!$C$4:$C$200,MATCH(TEXT(E1326,"@"),TEXT('Chart of Accounts'!$B$4:$B$200,"@"),0)),"⚠ Not Found"))</f>
        <v/>
      </c>
      <c r="G1326" s="42"/>
      <c r="H1326" s="43"/>
      <c r="I1326" s="43"/>
      <c r="J1326" s="40"/>
    </row>
    <row r="1327" customFormat="false" ht="16.5" hidden="false" customHeight="true" outlineLevel="0" collapsed="false">
      <c r="B1327" s="44" t="str">
        <f aca="false">IF(C1327="","",ROW()-9)</f>
        <v/>
      </c>
      <c r="C1327" s="45"/>
      <c r="D1327" s="46" t="str">
        <f aca="false">IF(C1327="","",IFERROR(TEXT(C1327,"MMMM"),""))</f>
        <v/>
      </c>
      <c r="E1327" s="47"/>
      <c r="F1327" s="48" t="str">
        <f aca="false">IF(E1327="","",IFERROR(INDEX('Chart of Accounts'!$C$4:$C$200,MATCH(TEXT(E1327,"@"),TEXT('Chart of Accounts'!$B$4:$B$200,"@"),0)),"⚠ Not Found"))</f>
        <v/>
      </c>
      <c r="G1327" s="49"/>
      <c r="H1327" s="50"/>
      <c r="I1327" s="50"/>
      <c r="J1327" s="47"/>
    </row>
    <row r="1328" customFormat="false" ht="16.5" hidden="false" customHeight="true" outlineLevel="0" collapsed="false">
      <c r="B1328" s="37" t="str">
        <f aca="false">IF(C1328="","",ROW()-9)</f>
        <v/>
      </c>
      <c r="C1328" s="38"/>
      <c r="D1328" s="39" t="str">
        <f aca="false">IF(C1328="","",IFERROR(TEXT(C1328,"MMMM"),""))</f>
        <v/>
      </c>
      <c r="E1328" s="40"/>
      <c r="F1328" s="41" t="str">
        <f aca="false">IF(E1328="","",IFERROR(INDEX('Chart of Accounts'!$C$4:$C$200,MATCH(TEXT(E1328,"@"),TEXT('Chart of Accounts'!$B$4:$B$200,"@"),0)),"⚠ Not Found"))</f>
        <v/>
      </c>
      <c r="G1328" s="42"/>
      <c r="H1328" s="43"/>
      <c r="I1328" s="43"/>
      <c r="J1328" s="40"/>
    </row>
    <row r="1329" customFormat="false" ht="16.5" hidden="false" customHeight="true" outlineLevel="0" collapsed="false">
      <c r="B1329" s="44" t="str">
        <f aca="false">IF(C1329="","",ROW()-9)</f>
        <v/>
      </c>
      <c r="C1329" s="45"/>
      <c r="D1329" s="46" t="str">
        <f aca="false">IF(C1329="","",IFERROR(TEXT(C1329,"MMMM"),""))</f>
        <v/>
      </c>
      <c r="E1329" s="47"/>
      <c r="F1329" s="48" t="str">
        <f aca="false">IF(E1329="","",IFERROR(INDEX('Chart of Accounts'!$C$4:$C$200,MATCH(TEXT(E1329,"@"),TEXT('Chart of Accounts'!$B$4:$B$200,"@"),0)),"⚠ Not Found"))</f>
        <v/>
      </c>
      <c r="G1329" s="49"/>
      <c r="H1329" s="50"/>
      <c r="I1329" s="50"/>
      <c r="J1329" s="47"/>
    </row>
    <row r="1330" customFormat="false" ht="16.5" hidden="false" customHeight="true" outlineLevel="0" collapsed="false">
      <c r="B1330" s="37" t="str">
        <f aca="false">IF(C1330="","",ROW()-9)</f>
        <v/>
      </c>
      <c r="C1330" s="38"/>
      <c r="D1330" s="39" t="str">
        <f aca="false">IF(C1330="","",IFERROR(TEXT(C1330,"MMMM"),""))</f>
        <v/>
      </c>
      <c r="E1330" s="40"/>
      <c r="F1330" s="41" t="str">
        <f aca="false">IF(E1330="","",IFERROR(INDEX('Chart of Accounts'!$C$4:$C$200,MATCH(TEXT(E1330,"@"),TEXT('Chart of Accounts'!$B$4:$B$200,"@"),0)),"⚠ Not Found"))</f>
        <v/>
      </c>
      <c r="G1330" s="42"/>
      <c r="H1330" s="43"/>
      <c r="I1330" s="43"/>
      <c r="J1330" s="40"/>
    </row>
    <row r="1331" customFormat="false" ht="16.5" hidden="false" customHeight="true" outlineLevel="0" collapsed="false">
      <c r="B1331" s="44" t="str">
        <f aca="false">IF(C1331="","",ROW()-9)</f>
        <v/>
      </c>
      <c r="C1331" s="45"/>
      <c r="D1331" s="46" t="str">
        <f aca="false">IF(C1331="","",IFERROR(TEXT(C1331,"MMMM"),""))</f>
        <v/>
      </c>
      <c r="E1331" s="47"/>
      <c r="F1331" s="48" t="str">
        <f aca="false">IF(E1331="","",IFERROR(INDEX('Chart of Accounts'!$C$4:$C$200,MATCH(TEXT(E1331,"@"),TEXT('Chart of Accounts'!$B$4:$B$200,"@"),0)),"⚠ Not Found"))</f>
        <v/>
      </c>
      <c r="G1331" s="49"/>
      <c r="H1331" s="50"/>
      <c r="I1331" s="50"/>
      <c r="J1331" s="47"/>
    </row>
    <row r="1332" customFormat="false" ht="16.5" hidden="false" customHeight="true" outlineLevel="0" collapsed="false">
      <c r="B1332" s="37" t="str">
        <f aca="false">IF(C1332="","",ROW()-9)</f>
        <v/>
      </c>
      <c r="C1332" s="38"/>
      <c r="D1332" s="39" t="str">
        <f aca="false">IF(C1332="","",IFERROR(TEXT(C1332,"MMMM"),""))</f>
        <v/>
      </c>
      <c r="E1332" s="40"/>
      <c r="F1332" s="41" t="str">
        <f aca="false">IF(E1332="","",IFERROR(INDEX('Chart of Accounts'!$C$4:$C$200,MATCH(TEXT(E1332,"@"),TEXT('Chart of Accounts'!$B$4:$B$200,"@"),0)),"⚠ Not Found"))</f>
        <v/>
      </c>
      <c r="G1332" s="42"/>
      <c r="H1332" s="43"/>
      <c r="I1332" s="43"/>
      <c r="J1332" s="40"/>
    </row>
    <row r="1333" customFormat="false" ht="16.5" hidden="false" customHeight="true" outlineLevel="0" collapsed="false">
      <c r="B1333" s="44" t="str">
        <f aca="false">IF(C1333="","",ROW()-9)</f>
        <v/>
      </c>
      <c r="C1333" s="45"/>
      <c r="D1333" s="46" t="str">
        <f aca="false">IF(C1333="","",IFERROR(TEXT(C1333,"MMMM"),""))</f>
        <v/>
      </c>
      <c r="E1333" s="47"/>
      <c r="F1333" s="48" t="str">
        <f aca="false">IF(E1333="","",IFERROR(INDEX('Chart of Accounts'!$C$4:$C$200,MATCH(TEXT(E1333,"@"),TEXT('Chart of Accounts'!$B$4:$B$200,"@"),0)),"⚠ Not Found"))</f>
        <v/>
      </c>
      <c r="G1333" s="49"/>
      <c r="H1333" s="50"/>
      <c r="I1333" s="50"/>
      <c r="J1333" s="47"/>
    </row>
    <row r="1334" customFormat="false" ht="16.5" hidden="false" customHeight="true" outlineLevel="0" collapsed="false">
      <c r="B1334" s="37" t="str">
        <f aca="false">IF(C1334="","",ROW()-9)</f>
        <v/>
      </c>
      <c r="C1334" s="38"/>
      <c r="D1334" s="39" t="str">
        <f aca="false">IF(C1334="","",IFERROR(TEXT(C1334,"MMMM"),""))</f>
        <v/>
      </c>
      <c r="E1334" s="40"/>
      <c r="F1334" s="41" t="str">
        <f aca="false">IF(E1334="","",IFERROR(INDEX('Chart of Accounts'!$C$4:$C$200,MATCH(TEXT(E1334,"@"),TEXT('Chart of Accounts'!$B$4:$B$200,"@"),0)),"⚠ Not Found"))</f>
        <v/>
      </c>
      <c r="G1334" s="42"/>
      <c r="H1334" s="43"/>
      <c r="I1334" s="43"/>
      <c r="J1334" s="40"/>
    </row>
    <row r="1335" customFormat="false" ht="16.5" hidden="false" customHeight="true" outlineLevel="0" collapsed="false">
      <c r="B1335" s="44" t="str">
        <f aca="false">IF(C1335="","",ROW()-9)</f>
        <v/>
      </c>
      <c r="C1335" s="45"/>
      <c r="D1335" s="46" t="str">
        <f aca="false">IF(C1335="","",IFERROR(TEXT(C1335,"MMMM"),""))</f>
        <v/>
      </c>
      <c r="E1335" s="47"/>
      <c r="F1335" s="48" t="str">
        <f aca="false">IF(E1335="","",IFERROR(INDEX('Chart of Accounts'!$C$4:$C$200,MATCH(TEXT(E1335,"@"),TEXT('Chart of Accounts'!$B$4:$B$200,"@"),0)),"⚠ Not Found"))</f>
        <v/>
      </c>
      <c r="G1335" s="49"/>
      <c r="H1335" s="50"/>
      <c r="I1335" s="50"/>
      <c r="J1335" s="47"/>
    </row>
    <row r="1336" customFormat="false" ht="16.5" hidden="false" customHeight="true" outlineLevel="0" collapsed="false">
      <c r="B1336" s="37" t="str">
        <f aca="false">IF(C1336="","",ROW()-9)</f>
        <v/>
      </c>
      <c r="C1336" s="38"/>
      <c r="D1336" s="39" t="str">
        <f aca="false">IF(C1336="","",IFERROR(TEXT(C1336,"MMMM"),""))</f>
        <v/>
      </c>
      <c r="E1336" s="40"/>
      <c r="F1336" s="41" t="str">
        <f aca="false">IF(E1336="","",IFERROR(INDEX('Chart of Accounts'!$C$4:$C$200,MATCH(TEXT(E1336,"@"),TEXT('Chart of Accounts'!$B$4:$B$200,"@"),0)),"⚠ Not Found"))</f>
        <v/>
      </c>
      <c r="G1336" s="42"/>
      <c r="H1336" s="43"/>
      <c r="I1336" s="43"/>
      <c r="J1336" s="40"/>
    </row>
    <row r="1337" customFormat="false" ht="16.5" hidden="false" customHeight="true" outlineLevel="0" collapsed="false">
      <c r="B1337" s="44" t="str">
        <f aca="false">IF(C1337="","",ROW()-9)</f>
        <v/>
      </c>
      <c r="C1337" s="45"/>
      <c r="D1337" s="46" t="str">
        <f aca="false">IF(C1337="","",IFERROR(TEXT(C1337,"MMMM"),""))</f>
        <v/>
      </c>
      <c r="E1337" s="47"/>
      <c r="F1337" s="48" t="str">
        <f aca="false">IF(E1337="","",IFERROR(INDEX('Chart of Accounts'!$C$4:$C$200,MATCH(TEXT(E1337,"@"),TEXT('Chart of Accounts'!$B$4:$B$200,"@"),0)),"⚠ Not Found"))</f>
        <v/>
      </c>
      <c r="G1337" s="49"/>
      <c r="H1337" s="50"/>
      <c r="I1337" s="50"/>
      <c r="J1337" s="47"/>
    </row>
    <row r="1338" customFormat="false" ht="16.5" hidden="false" customHeight="true" outlineLevel="0" collapsed="false">
      <c r="B1338" s="37" t="str">
        <f aca="false">IF(C1338="","",ROW()-9)</f>
        <v/>
      </c>
      <c r="C1338" s="38"/>
      <c r="D1338" s="39" t="str">
        <f aca="false">IF(C1338="","",IFERROR(TEXT(C1338,"MMMM"),""))</f>
        <v/>
      </c>
      <c r="E1338" s="40"/>
      <c r="F1338" s="41" t="str">
        <f aca="false">IF(E1338="","",IFERROR(INDEX('Chart of Accounts'!$C$4:$C$200,MATCH(TEXT(E1338,"@"),TEXT('Chart of Accounts'!$B$4:$B$200,"@"),0)),"⚠ Not Found"))</f>
        <v/>
      </c>
      <c r="G1338" s="42"/>
      <c r="H1338" s="43"/>
      <c r="I1338" s="43"/>
      <c r="J1338" s="40"/>
    </row>
    <row r="1339" customFormat="false" ht="16.5" hidden="false" customHeight="true" outlineLevel="0" collapsed="false">
      <c r="B1339" s="44" t="str">
        <f aca="false">IF(C1339="","",ROW()-9)</f>
        <v/>
      </c>
      <c r="C1339" s="45"/>
      <c r="D1339" s="46" t="str">
        <f aca="false">IF(C1339="","",IFERROR(TEXT(C1339,"MMMM"),""))</f>
        <v/>
      </c>
      <c r="E1339" s="47"/>
      <c r="F1339" s="48" t="str">
        <f aca="false">IF(E1339="","",IFERROR(INDEX('Chart of Accounts'!$C$4:$C$200,MATCH(TEXT(E1339,"@"),TEXT('Chart of Accounts'!$B$4:$B$200,"@"),0)),"⚠ Not Found"))</f>
        <v/>
      </c>
      <c r="G1339" s="49"/>
      <c r="H1339" s="50"/>
      <c r="I1339" s="50"/>
      <c r="J1339" s="47"/>
    </row>
    <row r="1340" customFormat="false" ht="16.5" hidden="false" customHeight="true" outlineLevel="0" collapsed="false">
      <c r="B1340" s="37" t="str">
        <f aca="false">IF(C1340="","",ROW()-9)</f>
        <v/>
      </c>
      <c r="C1340" s="38"/>
      <c r="D1340" s="39" t="str">
        <f aca="false">IF(C1340="","",IFERROR(TEXT(C1340,"MMMM"),""))</f>
        <v/>
      </c>
      <c r="E1340" s="40"/>
      <c r="F1340" s="41" t="str">
        <f aca="false">IF(E1340="","",IFERROR(INDEX('Chart of Accounts'!$C$4:$C$200,MATCH(TEXT(E1340,"@"),TEXT('Chart of Accounts'!$B$4:$B$200,"@"),0)),"⚠ Not Found"))</f>
        <v/>
      </c>
      <c r="G1340" s="42"/>
      <c r="H1340" s="43"/>
      <c r="I1340" s="43"/>
      <c r="J1340" s="40"/>
    </row>
    <row r="1341" customFormat="false" ht="16.5" hidden="false" customHeight="true" outlineLevel="0" collapsed="false">
      <c r="B1341" s="44" t="str">
        <f aca="false">IF(C1341="","",ROW()-9)</f>
        <v/>
      </c>
      <c r="C1341" s="45"/>
      <c r="D1341" s="46" t="str">
        <f aca="false">IF(C1341="","",IFERROR(TEXT(C1341,"MMMM"),""))</f>
        <v/>
      </c>
      <c r="E1341" s="47"/>
      <c r="F1341" s="48" t="str">
        <f aca="false">IF(E1341="","",IFERROR(INDEX('Chart of Accounts'!$C$4:$C$200,MATCH(TEXT(E1341,"@"),TEXT('Chart of Accounts'!$B$4:$B$200,"@"),0)),"⚠ Not Found"))</f>
        <v/>
      </c>
      <c r="G1341" s="49"/>
      <c r="H1341" s="50"/>
      <c r="I1341" s="50"/>
      <c r="J1341" s="47"/>
    </row>
    <row r="1342" customFormat="false" ht="16.5" hidden="false" customHeight="true" outlineLevel="0" collapsed="false">
      <c r="B1342" s="37" t="str">
        <f aca="false">IF(C1342="","",ROW()-9)</f>
        <v/>
      </c>
      <c r="C1342" s="38"/>
      <c r="D1342" s="39" t="str">
        <f aca="false">IF(C1342="","",IFERROR(TEXT(C1342,"MMMM"),""))</f>
        <v/>
      </c>
      <c r="E1342" s="40"/>
      <c r="F1342" s="41" t="str">
        <f aca="false">IF(E1342="","",IFERROR(INDEX('Chart of Accounts'!$C$4:$C$200,MATCH(TEXT(E1342,"@"),TEXT('Chart of Accounts'!$B$4:$B$200,"@"),0)),"⚠ Not Found"))</f>
        <v/>
      </c>
      <c r="G1342" s="42"/>
      <c r="H1342" s="43"/>
      <c r="I1342" s="43"/>
      <c r="J1342" s="40"/>
    </row>
    <row r="1343" customFormat="false" ht="16.5" hidden="false" customHeight="true" outlineLevel="0" collapsed="false">
      <c r="B1343" s="44" t="str">
        <f aca="false">IF(C1343="","",ROW()-9)</f>
        <v/>
      </c>
      <c r="C1343" s="45"/>
      <c r="D1343" s="46" t="str">
        <f aca="false">IF(C1343="","",IFERROR(TEXT(C1343,"MMMM"),""))</f>
        <v/>
      </c>
      <c r="E1343" s="47"/>
      <c r="F1343" s="48" t="str">
        <f aca="false">IF(E1343="","",IFERROR(INDEX('Chart of Accounts'!$C$4:$C$200,MATCH(TEXT(E1343,"@"),TEXT('Chart of Accounts'!$B$4:$B$200,"@"),0)),"⚠ Not Found"))</f>
        <v/>
      </c>
      <c r="G1343" s="49"/>
      <c r="H1343" s="50"/>
      <c r="I1343" s="50"/>
      <c r="J1343" s="47"/>
    </row>
    <row r="1344" customFormat="false" ht="16.5" hidden="false" customHeight="true" outlineLevel="0" collapsed="false">
      <c r="B1344" s="37" t="str">
        <f aca="false">IF(C1344="","",ROW()-9)</f>
        <v/>
      </c>
      <c r="C1344" s="38"/>
      <c r="D1344" s="39" t="str">
        <f aca="false">IF(C1344="","",IFERROR(TEXT(C1344,"MMMM"),""))</f>
        <v/>
      </c>
      <c r="E1344" s="40"/>
      <c r="F1344" s="41" t="str">
        <f aca="false">IF(E1344="","",IFERROR(INDEX('Chart of Accounts'!$C$4:$C$200,MATCH(TEXT(E1344,"@"),TEXT('Chart of Accounts'!$B$4:$B$200,"@"),0)),"⚠ Not Found"))</f>
        <v/>
      </c>
      <c r="G1344" s="42"/>
      <c r="H1344" s="43"/>
      <c r="I1344" s="43"/>
      <c r="J1344" s="40"/>
    </row>
    <row r="1345" customFormat="false" ht="16.5" hidden="false" customHeight="true" outlineLevel="0" collapsed="false">
      <c r="B1345" s="44" t="str">
        <f aca="false">IF(C1345="","",ROW()-9)</f>
        <v/>
      </c>
      <c r="C1345" s="45"/>
      <c r="D1345" s="46" t="str">
        <f aca="false">IF(C1345="","",IFERROR(TEXT(C1345,"MMMM"),""))</f>
        <v/>
      </c>
      <c r="E1345" s="47"/>
      <c r="F1345" s="48" t="str">
        <f aca="false">IF(E1345="","",IFERROR(INDEX('Chart of Accounts'!$C$4:$C$200,MATCH(TEXT(E1345,"@"),TEXT('Chart of Accounts'!$B$4:$B$200,"@"),0)),"⚠ Not Found"))</f>
        <v/>
      </c>
      <c r="G1345" s="49"/>
      <c r="H1345" s="50"/>
      <c r="I1345" s="50"/>
      <c r="J1345" s="47"/>
    </row>
    <row r="1346" customFormat="false" ht="16.5" hidden="false" customHeight="true" outlineLevel="0" collapsed="false">
      <c r="B1346" s="37" t="str">
        <f aca="false">IF(C1346="","",ROW()-9)</f>
        <v/>
      </c>
      <c r="C1346" s="38"/>
      <c r="D1346" s="39" t="str">
        <f aca="false">IF(C1346="","",IFERROR(TEXT(C1346,"MMMM"),""))</f>
        <v/>
      </c>
      <c r="E1346" s="40"/>
      <c r="F1346" s="41" t="str">
        <f aca="false">IF(E1346="","",IFERROR(INDEX('Chart of Accounts'!$C$4:$C$200,MATCH(TEXT(E1346,"@"),TEXT('Chart of Accounts'!$B$4:$B$200,"@"),0)),"⚠ Not Found"))</f>
        <v/>
      </c>
      <c r="G1346" s="42"/>
      <c r="H1346" s="43"/>
      <c r="I1346" s="43"/>
      <c r="J1346" s="40"/>
    </row>
    <row r="1347" customFormat="false" ht="16.5" hidden="false" customHeight="true" outlineLevel="0" collapsed="false">
      <c r="B1347" s="44" t="str">
        <f aca="false">IF(C1347="","",ROW()-9)</f>
        <v/>
      </c>
      <c r="C1347" s="45"/>
      <c r="D1347" s="46" t="str">
        <f aca="false">IF(C1347="","",IFERROR(TEXT(C1347,"MMMM"),""))</f>
        <v/>
      </c>
      <c r="E1347" s="47"/>
      <c r="F1347" s="48" t="str">
        <f aca="false">IF(E1347="","",IFERROR(INDEX('Chart of Accounts'!$C$4:$C$200,MATCH(TEXT(E1347,"@"),TEXT('Chart of Accounts'!$B$4:$B$200,"@"),0)),"⚠ Not Found"))</f>
        <v/>
      </c>
      <c r="G1347" s="49"/>
      <c r="H1347" s="50"/>
      <c r="I1347" s="50"/>
      <c r="J1347" s="47"/>
    </row>
    <row r="1348" customFormat="false" ht="16.5" hidden="false" customHeight="true" outlineLevel="0" collapsed="false">
      <c r="B1348" s="37" t="str">
        <f aca="false">IF(C1348="","",ROW()-9)</f>
        <v/>
      </c>
      <c r="C1348" s="38"/>
      <c r="D1348" s="39" t="str">
        <f aca="false">IF(C1348="","",IFERROR(TEXT(C1348,"MMMM"),""))</f>
        <v/>
      </c>
      <c r="E1348" s="40"/>
      <c r="F1348" s="41" t="str">
        <f aca="false">IF(E1348="","",IFERROR(INDEX('Chart of Accounts'!$C$4:$C$200,MATCH(TEXT(E1348,"@"),TEXT('Chart of Accounts'!$B$4:$B$200,"@"),0)),"⚠ Not Found"))</f>
        <v/>
      </c>
      <c r="G1348" s="42"/>
      <c r="H1348" s="43"/>
      <c r="I1348" s="43"/>
      <c r="J1348" s="40"/>
    </row>
    <row r="1349" customFormat="false" ht="16.5" hidden="false" customHeight="true" outlineLevel="0" collapsed="false">
      <c r="B1349" s="44" t="str">
        <f aca="false">IF(C1349="","",ROW()-9)</f>
        <v/>
      </c>
      <c r="C1349" s="45"/>
      <c r="D1349" s="46" t="str">
        <f aca="false">IF(C1349="","",IFERROR(TEXT(C1349,"MMMM"),""))</f>
        <v/>
      </c>
      <c r="E1349" s="47"/>
      <c r="F1349" s="48" t="str">
        <f aca="false">IF(E1349="","",IFERROR(INDEX('Chart of Accounts'!$C$4:$C$200,MATCH(TEXT(E1349,"@"),TEXT('Chart of Accounts'!$B$4:$B$200,"@"),0)),"⚠ Not Found"))</f>
        <v/>
      </c>
      <c r="G1349" s="49"/>
      <c r="H1349" s="50"/>
      <c r="I1349" s="50"/>
      <c r="J1349" s="47"/>
    </row>
    <row r="1350" customFormat="false" ht="16.5" hidden="false" customHeight="true" outlineLevel="0" collapsed="false">
      <c r="B1350" s="37" t="str">
        <f aca="false">IF(C1350="","",ROW()-9)</f>
        <v/>
      </c>
      <c r="C1350" s="38"/>
      <c r="D1350" s="39" t="str">
        <f aca="false">IF(C1350="","",IFERROR(TEXT(C1350,"MMMM"),""))</f>
        <v/>
      </c>
      <c r="E1350" s="40"/>
      <c r="F1350" s="41" t="str">
        <f aca="false">IF(E1350="","",IFERROR(INDEX('Chart of Accounts'!$C$4:$C$200,MATCH(TEXT(E1350,"@"),TEXT('Chart of Accounts'!$B$4:$B$200,"@"),0)),"⚠ Not Found"))</f>
        <v/>
      </c>
      <c r="G1350" s="42"/>
      <c r="H1350" s="43"/>
      <c r="I1350" s="43"/>
      <c r="J1350" s="40"/>
    </row>
    <row r="1351" customFormat="false" ht="16.5" hidden="false" customHeight="true" outlineLevel="0" collapsed="false">
      <c r="B1351" s="44" t="str">
        <f aca="false">IF(C1351="","",ROW()-9)</f>
        <v/>
      </c>
      <c r="C1351" s="45"/>
      <c r="D1351" s="46" t="str">
        <f aca="false">IF(C1351="","",IFERROR(TEXT(C1351,"MMMM"),""))</f>
        <v/>
      </c>
      <c r="E1351" s="47"/>
      <c r="F1351" s="48" t="str">
        <f aca="false">IF(E1351="","",IFERROR(INDEX('Chart of Accounts'!$C$4:$C$200,MATCH(TEXT(E1351,"@"),TEXT('Chart of Accounts'!$B$4:$B$200,"@"),0)),"⚠ Not Found"))</f>
        <v/>
      </c>
      <c r="G1351" s="49"/>
      <c r="H1351" s="50"/>
      <c r="I1351" s="50"/>
      <c r="J1351" s="47"/>
    </row>
    <row r="1352" customFormat="false" ht="16.5" hidden="false" customHeight="true" outlineLevel="0" collapsed="false">
      <c r="B1352" s="37" t="str">
        <f aca="false">IF(C1352="","",ROW()-9)</f>
        <v/>
      </c>
      <c r="C1352" s="38"/>
      <c r="D1352" s="39" t="str">
        <f aca="false">IF(C1352="","",IFERROR(TEXT(C1352,"MMMM"),""))</f>
        <v/>
      </c>
      <c r="E1352" s="40"/>
      <c r="F1352" s="41" t="str">
        <f aca="false">IF(E1352="","",IFERROR(INDEX('Chart of Accounts'!$C$4:$C$200,MATCH(TEXT(E1352,"@"),TEXT('Chart of Accounts'!$B$4:$B$200,"@"),0)),"⚠ Not Found"))</f>
        <v/>
      </c>
      <c r="G1352" s="42"/>
      <c r="H1352" s="43"/>
      <c r="I1352" s="43"/>
      <c r="J1352" s="40"/>
    </row>
    <row r="1353" customFormat="false" ht="16.5" hidden="false" customHeight="true" outlineLevel="0" collapsed="false">
      <c r="B1353" s="44" t="str">
        <f aca="false">IF(C1353="","",ROW()-9)</f>
        <v/>
      </c>
      <c r="C1353" s="45"/>
      <c r="D1353" s="46" t="str">
        <f aca="false">IF(C1353="","",IFERROR(TEXT(C1353,"MMMM"),""))</f>
        <v/>
      </c>
      <c r="E1353" s="47"/>
      <c r="F1353" s="48" t="str">
        <f aca="false">IF(E1353="","",IFERROR(INDEX('Chart of Accounts'!$C$4:$C$200,MATCH(TEXT(E1353,"@"),TEXT('Chart of Accounts'!$B$4:$B$200,"@"),0)),"⚠ Not Found"))</f>
        <v/>
      </c>
      <c r="G1353" s="49"/>
      <c r="H1353" s="50"/>
      <c r="I1353" s="50"/>
      <c r="J1353" s="47"/>
    </row>
    <row r="1354" customFormat="false" ht="16.5" hidden="false" customHeight="true" outlineLevel="0" collapsed="false">
      <c r="B1354" s="37" t="str">
        <f aca="false">IF(C1354="","",ROW()-9)</f>
        <v/>
      </c>
      <c r="C1354" s="38"/>
      <c r="D1354" s="39" t="str">
        <f aca="false">IF(C1354="","",IFERROR(TEXT(C1354,"MMMM"),""))</f>
        <v/>
      </c>
      <c r="E1354" s="40"/>
      <c r="F1354" s="41" t="str">
        <f aca="false">IF(E1354="","",IFERROR(INDEX('Chart of Accounts'!$C$4:$C$200,MATCH(TEXT(E1354,"@"),TEXT('Chart of Accounts'!$B$4:$B$200,"@"),0)),"⚠ Not Found"))</f>
        <v/>
      </c>
      <c r="G1354" s="42"/>
      <c r="H1354" s="43"/>
      <c r="I1354" s="43"/>
      <c r="J1354" s="40"/>
    </row>
    <row r="1355" customFormat="false" ht="16.5" hidden="false" customHeight="true" outlineLevel="0" collapsed="false">
      <c r="B1355" s="44" t="str">
        <f aca="false">IF(C1355="","",ROW()-9)</f>
        <v/>
      </c>
      <c r="C1355" s="45"/>
      <c r="D1355" s="46" t="str">
        <f aca="false">IF(C1355="","",IFERROR(TEXT(C1355,"MMMM"),""))</f>
        <v/>
      </c>
      <c r="E1355" s="47"/>
      <c r="F1355" s="48" t="str">
        <f aca="false">IF(E1355="","",IFERROR(INDEX('Chart of Accounts'!$C$4:$C$200,MATCH(TEXT(E1355,"@"),TEXT('Chart of Accounts'!$B$4:$B$200,"@"),0)),"⚠ Not Found"))</f>
        <v/>
      </c>
      <c r="G1355" s="49"/>
      <c r="H1355" s="50"/>
      <c r="I1355" s="50"/>
      <c r="J1355" s="47"/>
    </row>
    <row r="1356" customFormat="false" ht="16.5" hidden="false" customHeight="true" outlineLevel="0" collapsed="false">
      <c r="B1356" s="37" t="str">
        <f aca="false">IF(C1356="","",ROW()-9)</f>
        <v/>
      </c>
      <c r="C1356" s="38"/>
      <c r="D1356" s="39" t="str">
        <f aca="false">IF(C1356="","",IFERROR(TEXT(C1356,"MMMM"),""))</f>
        <v/>
      </c>
      <c r="E1356" s="40"/>
      <c r="F1356" s="41" t="str">
        <f aca="false">IF(E1356="","",IFERROR(INDEX('Chart of Accounts'!$C$4:$C$200,MATCH(TEXT(E1356,"@"),TEXT('Chart of Accounts'!$B$4:$B$200,"@"),0)),"⚠ Not Found"))</f>
        <v/>
      </c>
      <c r="G1356" s="42"/>
      <c r="H1356" s="43"/>
      <c r="I1356" s="43"/>
      <c r="J1356" s="40"/>
    </row>
    <row r="1357" customFormat="false" ht="16.5" hidden="false" customHeight="true" outlineLevel="0" collapsed="false">
      <c r="B1357" s="44" t="str">
        <f aca="false">IF(C1357="","",ROW()-9)</f>
        <v/>
      </c>
      <c r="C1357" s="45"/>
      <c r="D1357" s="46" t="str">
        <f aca="false">IF(C1357="","",IFERROR(TEXT(C1357,"MMMM"),""))</f>
        <v/>
      </c>
      <c r="E1357" s="47"/>
      <c r="F1357" s="48" t="str">
        <f aca="false">IF(E1357="","",IFERROR(INDEX('Chart of Accounts'!$C$4:$C$200,MATCH(TEXT(E1357,"@"),TEXT('Chart of Accounts'!$B$4:$B$200,"@"),0)),"⚠ Not Found"))</f>
        <v/>
      </c>
      <c r="G1357" s="49"/>
      <c r="H1357" s="50"/>
      <c r="I1357" s="50"/>
      <c r="J1357" s="47"/>
    </row>
    <row r="1358" customFormat="false" ht="16.5" hidden="false" customHeight="true" outlineLevel="0" collapsed="false">
      <c r="B1358" s="37" t="str">
        <f aca="false">IF(C1358="","",ROW()-9)</f>
        <v/>
      </c>
      <c r="C1358" s="38"/>
      <c r="D1358" s="39" t="str">
        <f aca="false">IF(C1358="","",IFERROR(TEXT(C1358,"MMMM"),""))</f>
        <v/>
      </c>
      <c r="E1358" s="40"/>
      <c r="F1358" s="41" t="str">
        <f aca="false">IF(E1358="","",IFERROR(INDEX('Chart of Accounts'!$C$4:$C$200,MATCH(TEXT(E1358,"@"),TEXT('Chart of Accounts'!$B$4:$B$200,"@"),0)),"⚠ Not Found"))</f>
        <v/>
      </c>
      <c r="G1358" s="42"/>
      <c r="H1358" s="43"/>
      <c r="I1358" s="43"/>
      <c r="J1358" s="40"/>
    </row>
    <row r="1359" customFormat="false" ht="16.5" hidden="false" customHeight="true" outlineLevel="0" collapsed="false">
      <c r="B1359" s="44" t="str">
        <f aca="false">IF(C1359="","",ROW()-9)</f>
        <v/>
      </c>
      <c r="C1359" s="45"/>
      <c r="D1359" s="46" t="str">
        <f aca="false">IF(C1359="","",IFERROR(TEXT(C1359,"MMMM"),""))</f>
        <v/>
      </c>
      <c r="E1359" s="47"/>
      <c r="F1359" s="48" t="str">
        <f aca="false">IF(E1359="","",IFERROR(INDEX('Chart of Accounts'!$C$4:$C$200,MATCH(TEXT(E1359,"@"),TEXT('Chart of Accounts'!$B$4:$B$200,"@"),0)),"⚠ Not Found"))</f>
        <v/>
      </c>
      <c r="G1359" s="49"/>
      <c r="H1359" s="50"/>
      <c r="I1359" s="50"/>
      <c r="J1359" s="47"/>
    </row>
    <row r="1360" customFormat="false" ht="16.5" hidden="false" customHeight="true" outlineLevel="0" collapsed="false">
      <c r="B1360" s="37" t="str">
        <f aca="false">IF(C1360="","",ROW()-9)</f>
        <v/>
      </c>
      <c r="C1360" s="38"/>
      <c r="D1360" s="39" t="str">
        <f aca="false">IF(C1360="","",IFERROR(TEXT(C1360,"MMMM"),""))</f>
        <v/>
      </c>
      <c r="E1360" s="40"/>
      <c r="F1360" s="41" t="str">
        <f aca="false">IF(E1360="","",IFERROR(INDEX('Chart of Accounts'!$C$4:$C$200,MATCH(TEXT(E1360,"@"),TEXT('Chart of Accounts'!$B$4:$B$200,"@"),0)),"⚠ Not Found"))</f>
        <v/>
      </c>
      <c r="G1360" s="42"/>
      <c r="H1360" s="43"/>
      <c r="I1360" s="43"/>
      <c r="J1360" s="40"/>
    </row>
    <row r="1361" customFormat="false" ht="16.5" hidden="false" customHeight="true" outlineLevel="0" collapsed="false">
      <c r="B1361" s="44" t="str">
        <f aca="false">IF(C1361="","",ROW()-9)</f>
        <v/>
      </c>
      <c r="C1361" s="45"/>
      <c r="D1361" s="46" t="str">
        <f aca="false">IF(C1361="","",IFERROR(TEXT(C1361,"MMMM"),""))</f>
        <v/>
      </c>
      <c r="E1361" s="47"/>
      <c r="F1361" s="48" t="str">
        <f aca="false">IF(E1361="","",IFERROR(INDEX('Chart of Accounts'!$C$4:$C$200,MATCH(TEXT(E1361,"@"),TEXT('Chart of Accounts'!$B$4:$B$200,"@"),0)),"⚠ Not Found"))</f>
        <v/>
      </c>
      <c r="G1361" s="49"/>
      <c r="H1361" s="50"/>
      <c r="I1361" s="50"/>
      <c r="J1361" s="47"/>
    </row>
    <row r="1362" customFormat="false" ht="16.5" hidden="false" customHeight="true" outlineLevel="0" collapsed="false">
      <c r="B1362" s="37" t="str">
        <f aca="false">IF(C1362="","",ROW()-9)</f>
        <v/>
      </c>
      <c r="C1362" s="38"/>
      <c r="D1362" s="39" t="str">
        <f aca="false">IF(C1362="","",IFERROR(TEXT(C1362,"MMMM"),""))</f>
        <v/>
      </c>
      <c r="E1362" s="40"/>
      <c r="F1362" s="41" t="str">
        <f aca="false">IF(E1362="","",IFERROR(INDEX('Chart of Accounts'!$C$4:$C$200,MATCH(TEXT(E1362,"@"),TEXT('Chart of Accounts'!$B$4:$B$200,"@"),0)),"⚠ Not Found"))</f>
        <v/>
      </c>
      <c r="G1362" s="42"/>
      <c r="H1362" s="43"/>
      <c r="I1362" s="43"/>
      <c r="J1362" s="40"/>
    </row>
    <row r="1363" customFormat="false" ht="16.5" hidden="false" customHeight="true" outlineLevel="0" collapsed="false">
      <c r="B1363" s="44" t="str">
        <f aca="false">IF(C1363="","",ROW()-9)</f>
        <v/>
      </c>
      <c r="C1363" s="45"/>
      <c r="D1363" s="46" t="str">
        <f aca="false">IF(C1363="","",IFERROR(TEXT(C1363,"MMMM"),""))</f>
        <v/>
      </c>
      <c r="E1363" s="47"/>
      <c r="F1363" s="48" t="str">
        <f aca="false">IF(E1363="","",IFERROR(INDEX('Chart of Accounts'!$C$4:$C$200,MATCH(TEXT(E1363,"@"),TEXT('Chart of Accounts'!$B$4:$B$200,"@"),0)),"⚠ Not Found"))</f>
        <v/>
      </c>
      <c r="G1363" s="49"/>
      <c r="H1363" s="50"/>
      <c r="I1363" s="50"/>
      <c r="J1363" s="47"/>
    </row>
    <row r="1364" customFormat="false" ht="16.5" hidden="false" customHeight="true" outlineLevel="0" collapsed="false">
      <c r="B1364" s="37" t="str">
        <f aca="false">IF(C1364="","",ROW()-9)</f>
        <v/>
      </c>
      <c r="C1364" s="38"/>
      <c r="D1364" s="39" t="str">
        <f aca="false">IF(C1364="","",IFERROR(TEXT(C1364,"MMMM"),""))</f>
        <v/>
      </c>
      <c r="E1364" s="40"/>
      <c r="F1364" s="41" t="str">
        <f aca="false">IF(E1364="","",IFERROR(INDEX('Chart of Accounts'!$C$4:$C$200,MATCH(TEXT(E1364,"@"),TEXT('Chart of Accounts'!$B$4:$B$200,"@"),0)),"⚠ Not Found"))</f>
        <v/>
      </c>
      <c r="G1364" s="42"/>
      <c r="H1364" s="43"/>
      <c r="I1364" s="43"/>
      <c r="J1364" s="40"/>
    </row>
    <row r="1365" customFormat="false" ht="16.5" hidden="false" customHeight="true" outlineLevel="0" collapsed="false">
      <c r="B1365" s="44" t="str">
        <f aca="false">IF(C1365="","",ROW()-9)</f>
        <v/>
      </c>
      <c r="C1365" s="45"/>
      <c r="D1365" s="46" t="str">
        <f aca="false">IF(C1365="","",IFERROR(TEXT(C1365,"MMMM"),""))</f>
        <v/>
      </c>
      <c r="E1365" s="47"/>
      <c r="F1365" s="48" t="str">
        <f aca="false">IF(E1365="","",IFERROR(INDEX('Chart of Accounts'!$C$4:$C$200,MATCH(TEXT(E1365,"@"),TEXT('Chart of Accounts'!$B$4:$B$200,"@"),0)),"⚠ Not Found"))</f>
        <v/>
      </c>
      <c r="G1365" s="49"/>
      <c r="H1365" s="50"/>
      <c r="I1365" s="50"/>
      <c r="J1365" s="47"/>
    </row>
    <row r="1366" customFormat="false" ht="16.5" hidden="false" customHeight="true" outlineLevel="0" collapsed="false">
      <c r="B1366" s="37" t="str">
        <f aca="false">IF(C1366="","",ROW()-9)</f>
        <v/>
      </c>
      <c r="C1366" s="38"/>
      <c r="D1366" s="39" t="str">
        <f aca="false">IF(C1366="","",IFERROR(TEXT(C1366,"MMMM"),""))</f>
        <v/>
      </c>
      <c r="E1366" s="40"/>
      <c r="F1366" s="41" t="str">
        <f aca="false">IF(E1366="","",IFERROR(INDEX('Chart of Accounts'!$C$4:$C$200,MATCH(TEXT(E1366,"@"),TEXT('Chart of Accounts'!$B$4:$B$200,"@"),0)),"⚠ Not Found"))</f>
        <v/>
      </c>
      <c r="G1366" s="42"/>
      <c r="H1366" s="43"/>
      <c r="I1366" s="43"/>
      <c r="J1366" s="40"/>
    </row>
    <row r="1367" customFormat="false" ht="16.5" hidden="false" customHeight="true" outlineLevel="0" collapsed="false">
      <c r="B1367" s="44" t="str">
        <f aca="false">IF(C1367="","",ROW()-9)</f>
        <v/>
      </c>
      <c r="C1367" s="45"/>
      <c r="D1367" s="46" t="str">
        <f aca="false">IF(C1367="","",IFERROR(TEXT(C1367,"MMMM"),""))</f>
        <v/>
      </c>
      <c r="E1367" s="47"/>
      <c r="F1367" s="48" t="str">
        <f aca="false">IF(E1367="","",IFERROR(INDEX('Chart of Accounts'!$C$4:$C$200,MATCH(TEXT(E1367,"@"),TEXT('Chart of Accounts'!$B$4:$B$200,"@"),0)),"⚠ Not Found"))</f>
        <v/>
      </c>
      <c r="G1367" s="49"/>
      <c r="H1367" s="50"/>
      <c r="I1367" s="50"/>
      <c r="J1367" s="47"/>
    </row>
    <row r="1368" customFormat="false" ht="16.5" hidden="false" customHeight="true" outlineLevel="0" collapsed="false">
      <c r="B1368" s="37" t="str">
        <f aca="false">IF(C1368="","",ROW()-9)</f>
        <v/>
      </c>
      <c r="C1368" s="38"/>
      <c r="D1368" s="39" t="str">
        <f aca="false">IF(C1368="","",IFERROR(TEXT(C1368,"MMMM"),""))</f>
        <v/>
      </c>
      <c r="E1368" s="40"/>
      <c r="F1368" s="41" t="str">
        <f aca="false">IF(E1368="","",IFERROR(INDEX('Chart of Accounts'!$C$4:$C$200,MATCH(TEXT(E1368,"@"),TEXT('Chart of Accounts'!$B$4:$B$200,"@"),0)),"⚠ Not Found"))</f>
        <v/>
      </c>
      <c r="G1368" s="42"/>
      <c r="H1368" s="43"/>
      <c r="I1368" s="43"/>
      <c r="J1368" s="40"/>
    </row>
    <row r="1369" customFormat="false" ht="16.5" hidden="false" customHeight="true" outlineLevel="0" collapsed="false">
      <c r="B1369" s="44" t="str">
        <f aca="false">IF(C1369="","",ROW()-9)</f>
        <v/>
      </c>
      <c r="C1369" s="45"/>
      <c r="D1369" s="46" t="str">
        <f aca="false">IF(C1369="","",IFERROR(TEXT(C1369,"MMMM"),""))</f>
        <v/>
      </c>
      <c r="E1369" s="47"/>
      <c r="F1369" s="48" t="str">
        <f aca="false">IF(E1369="","",IFERROR(INDEX('Chart of Accounts'!$C$4:$C$200,MATCH(TEXT(E1369,"@"),TEXT('Chart of Accounts'!$B$4:$B$200,"@"),0)),"⚠ Not Found"))</f>
        <v/>
      </c>
      <c r="G1369" s="49"/>
      <c r="H1369" s="50"/>
      <c r="I1369" s="50"/>
      <c r="J1369" s="47"/>
    </row>
    <row r="1370" customFormat="false" ht="16.5" hidden="false" customHeight="true" outlineLevel="0" collapsed="false">
      <c r="B1370" s="37" t="str">
        <f aca="false">IF(C1370="","",ROW()-9)</f>
        <v/>
      </c>
      <c r="C1370" s="38"/>
      <c r="D1370" s="39" t="str">
        <f aca="false">IF(C1370="","",IFERROR(TEXT(C1370,"MMMM"),""))</f>
        <v/>
      </c>
      <c r="E1370" s="40"/>
      <c r="F1370" s="41" t="str">
        <f aca="false">IF(E1370="","",IFERROR(INDEX('Chart of Accounts'!$C$4:$C$200,MATCH(TEXT(E1370,"@"),TEXT('Chart of Accounts'!$B$4:$B$200,"@"),0)),"⚠ Not Found"))</f>
        <v/>
      </c>
      <c r="G1370" s="42"/>
      <c r="H1370" s="43"/>
      <c r="I1370" s="43"/>
      <c r="J1370" s="40"/>
    </row>
    <row r="1371" customFormat="false" ht="16.5" hidden="false" customHeight="true" outlineLevel="0" collapsed="false">
      <c r="B1371" s="44" t="str">
        <f aca="false">IF(C1371="","",ROW()-9)</f>
        <v/>
      </c>
      <c r="C1371" s="45"/>
      <c r="D1371" s="46" t="str">
        <f aca="false">IF(C1371="","",IFERROR(TEXT(C1371,"MMMM"),""))</f>
        <v/>
      </c>
      <c r="E1371" s="47"/>
      <c r="F1371" s="48" t="str">
        <f aca="false">IF(E1371="","",IFERROR(INDEX('Chart of Accounts'!$C$4:$C$200,MATCH(TEXT(E1371,"@"),TEXT('Chart of Accounts'!$B$4:$B$200,"@"),0)),"⚠ Not Found"))</f>
        <v/>
      </c>
      <c r="G1371" s="49"/>
      <c r="H1371" s="50"/>
      <c r="I1371" s="50"/>
      <c r="J1371" s="47"/>
    </row>
    <row r="1372" customFormat="false" ht="16.5" hidden="false" customHeight="true" outlineLevel="0" collapsed="false">
      <c r="B1372" s="37" t="str">
        <f aca="false">IF(C1372="","",ROW()-9)</f>
        <v/>
      </c>
      <c r="C1372" s="38"/>
      <c r="D1372" s="39" t="str">
        <f aca="false">IF(C1372="","",IFERROR(TEXT(C1372,"MMMM"),""))</f>
        <v/>
      </c>
      <c r="E1372" s="40"/>
      <c r="F1372" s="41" t="str">
        <f aca="false">IF(E1372="","",IFERROR(INDEX('Chart of Accounts'!$C$4:$C$200,MATCH(TEXT(E1372,"@"),TEXT('Chart of Accounts'!$B$4:$B$200,"@"),0)),"⚠ Not Found"))</f>
        <v/>
      </c>
      <c r="G1372" s="42"/>
      <c r="H1372" s="43"/>
      <c r="I1372" s="43"/>
      <c r="J1372" s="40"/>
    </row>
    <row r="1373" customFormat="false" ht="16.5" hidden="false" customHeight="true" outlineLevel="0" collapsed="false">
      <c r="B1373" s="44" t="str">
        <f aca="false">IF(C1373="","",ROW()-9)</f>
        <v/>
      </c>
      <c r="C1373" s="45"/>
      <c r="D1373" s="46" t="str">
        <f aca="false">IF(C1373="","",IFERROR(TEXT(C1373,"MMMM"),""))</f>
        <v/>
      </c>
      <c r="E1373" s="47"/>
      <c r="F1373" s="48" t="str">
        <f aca="false">IF(E1373="","",IFERROR(INDEX('Chart of Accounts'!$C$4:$C$200,MATCH(TEXT(E1373,"@"),TEXT('Chart of Accounts'!$B$4:$B$200,"@"),0)),"⚠ Not Found"))</f>
        <v/>
      </c>
      <c r="G1373" s="49"/>
      <c r="H1373" s="50"/>
      <c r="I1373" s="50"/>
      <c r="J1373" s="47"/>
    </row>
    <row r="1374" customFormat="false" ht="16.5" hidden="false" customHeight="true" outlineLevel="0" collapsed="false">
      <c r="B1374" s="37" t="str">
        <f aca="false">IF(C1374="","",ROW()-9)</f>
        <v/>
      </c>
      <c r="C1374" s="38"/>
      <c r="D1374" s="39" t="str">
        <f aca="false">IF(C1374="","",IFERROR(TEXT(C1374,"MMMM"),""))</f>
        <v/>
      </c>
      <c r="E1374" s="40"/>
      <c r="F1374" s="41" t="str">
        <f aca="false">IF(E1374="","",IFERROR(INDEX('Chart of Accounts'!$C$4:$C$200,MATCH(TEXT(E1374,"@"),TEXT('Chart of Accounts'!$B$4:$B$200,"@"),0)),"⚠ Not Found"))</f>
        <v/>
      </c>
      <c r="G1374" s="42"/>
      <c r="H1374" s="43"/>
      <c r="I1374" s="43"/>
      <c r="J1374" s="40"/>
    </row>
    <row r="1375" customFormat="false" ht="16.5" hidden="false" customHeight="true" outlineLevel="0" collapsed="false">
      <c r="B1375" s="44" t="str">
        <f aca="false">IF(C1375="","",ROW()-9)</f>
        <v/>
      </c>
      <c r="C1375" s="45"/>
      <c r="D1375" s="46" t="str">
        <f aca="false">IF(C1375="","",IFERROR(TEXT(C1375,"MMMM"),""))</f>
        <v/>
      </c>
      <c r="E1375" s="47"/>
      <c r="F1375" s="48" t="str">
        <f aca="false">IF(E1375="","",IFERROR(INDEX('Chart of Accounts'!$C$4:$C$200,MATCH(TEXT(E1375,"@"),TEXT('Chart of Accounts'!$B$4:$B$200,"@"),0)),"⚠ Not Found"))</f>
        <v/>
      </c>
      <c r="G1375" s="49"/>
      <c r="H1375" s="50"/>
      <c r="I1375" s="50"/>
      <c r="J1375" s="47"/>
    </row>
    <row r="1376" customFormat="false" ht="16.5" hidden="false" customHeight="true" outlineLevel="0" collapsed="false">
      <c r="B1376" s="37" t="str">
        <f aca="false">IF(C1376="","",ROW()-9)</f>
        <v/>
      </c>
      <c r="C1376" s="38"/>
      <c r="D1376" s="39" t="str">
        <f aca="false">IF(C1376="","",IFERROR(TEXT(C1376,"MMMM"),""))</f>
        <v/>
      </c>
      <c r="E1376" s="40"/>
      <c r="F1376" s="41" t="str">
        <f aca="false">IF(E1376="","",IFERROR(INDEX('Chart of Accounts'!$C$4:$C$200,MATCH(TEXT(E1376,"@"),TEXT('Chart of Accounts'!$B$4:$B$200,"@"),0)),"⚠ Not Found"))</f>
        <v/>
      </c>
      <c r="G1376" s="42"/>
      <c r="H1376" s="43"/>
      <c r="I1376" s="43"/>
      <c r="J1376" s="40"/>
    </row>
    <row r="1377" customFormat="false" ht="16.5" hidden="false" customHeight="true" outlineLevel="0" collapsed="false">
      <c r="B1377" s="44" t="str">
        <f aca="false">IF(C1377="","",ROW()-9)</f>
        <v/>
      </c>
      <c r="C1377" s="45"/>
      <c r="D1377" s="46" t="str">
        <f aca="false">IF(C1377="","",IFERROR(TEXT(C1377,"MMMM"),""))</f>
        <v/>
      </c>
      <c r="E1377" s="47"/>
      <c r="F1377" s="48" t="str">
        <f aca="false">IF(E1377="","",IFERROR(INDEX('Chart of Accounts'!$C$4:$C$200,MATCH(TEXT(E1377,"@"),TEXT('Chart of Accounts'!$B$4:$B$200,"@"),0)),"⚠ Not Found"))</f>
        <v/>
      </c>
      <c r="G1377" s="49"/>
      <c r="H1377" s="50"/>
      <c r="I1377" s="50"/>
      <c r="J1377" s="47"/>
    </row>
    <row r="1378" customFormat="false" ht="16.5" hidden="false" customHeight="true" outlineLevel="0" collapsed="false">
      <c r="B1378" s="37" t="str">
        <f aca="false">IF(C1378="","",ROW()-9)</f>
        <v/>
      </c>
      <c r="C1378" s="38"/>
      <c r="D1378" s="39" t="str">
        <f aca="false">IF(C1378="","",IFERROR(TEXT(C1378,"MMMM"),""))</f>
        <v/>
      </c>
      <c r="E1378" s="40"/>
      <c r="F1378" s="41" t="str">
        <f aca="false">IF(E1378="","",IFERROR(INDEX('Chart of Accounts'!$C$4:$C$200,MATCH(TEXT(E1378,"@"),TEXT('Chart of Accounts'!$B$4:$B$200,"@"),0)),"⚠ Not Found"))</f>
        <v/>
      </c>
      <c r="G1378" s="42"/>
      <c r="H1378" s="43"/>
      <c r="I1378" s="43"/>
      <c r="J1378" s="40"/>
    </row>
    <row r="1379" customFormat="false" ht="16.5" hidden="false" customHeight="true" outlineLevel="0" collapsed="false">
      <c r="B1379" s="44" t="str">
        <f aca="false">IF(C1379="","",ROW()-9)</f>
        <v/>
      </c>
      <c r="C1379" s="45"/>
      <c r="D1379" s="46" t="str">
        <f aca="false">IF(C1379="","",IFERROR(TEXT(C1379,"MMMM"),""))</f>
        <v/>
      </c>
      <c r="E1379" s="47"/>
      <c r="F1379" s="48" t="str">
        <f aca="false">IF(E1379="","",IFERROR(INDEX('Chart of Accounts'!$C$4:$C$200,MATCH(TEXT(E1379,"@"),TEXT('Chart of Accounts'!$B$4:$B$200,"@"),0)),"⚠ Not Found"))</f>
        <v/>
      </c>
      <c r="G1379" s="49"/>
      <c r="H1379" s="50"/>
      <c r="I1379" s="50"/>
      <c r="J1379" s="47"/>
    </row>
    <row r="1380" customFormat="false" ht="16.5" hidden="false" customHeight="true" outlineLevel="0" collapsed="false">
      <c r="B1380" s="37" t="str">
        <f aca="false">IF(C1380="","",ROW()-9)</f>
        <v/>
      </c>
      <c r="C1380" s="38"/>
      <c r="D1380" s="39" t="str">
        <f aca="false">IF(C1380="","",IFERROR(TEXT(C1380,"MMMM"),""))</f>
        <v/>
      </c>
      <c r="E1380" s="40"/>
      <c r="F1380" s="41" t="str">
        <f aca="false">IF(E1380="","",IFERROR(INDEX('Chart of Accounts'!$C$4:$C$200,MATCH(TEXT(E1380,"@"),TEXT('Chart of Accounts'!$B$4:$B$200,"@"),0)),"⚠ Not Found"))</f>
        <v/>
      </c>
      <c r="G1380" s="42"/>
      <c r="H1380" s="43"/>
      <c r="I1380" s="43"/>
      <c r="J1380" s="40"/>
    </row>
    <row r="1381" customFormat="false" ht="16.5" hidden="false" customHeight="true" outlineLevel="0" collapsed="false">
      <c r="B1381" s="44" t="str">
        <f aca="false">IF(C1381="","",ROW()-9)</f>
        <v/>
      </c>
      <c r="C1381" s="45"/>
      <c r="D1381" s="46" t="str">
        <f aca="false">IF(C1381="","",IFERROR(TEXT(C1381,"MMMM"),""))</f>
        <v/>
      </c>
      <c r="E1381" s="47"/>
      <c r="F1381" s="48" t="str">
        <f aca="false">IF(E1381="","",IFERROR(INDEX('Chart of Accounts'!$C$4:$C$200,MATCH(TEXT(E1381,"@"),TEXT('Chart of Accounts'!$B$4:$B$200,"@"),0)),"⚠ Not Found"))</f>
        <v/>
      </c>
      <c r="G1381" s="49"/>
      <c r="H1381" s="50"/>
      <c r="I1381" s="50"/>
      <c r="J1381" s="47"/>
    </row>
    <row r="1382" customFormat="false" ht="16.5" hidden="false" customHeight="true" outlineLevel="0" collapsed="false">
      <c r="B1382" s="37" t="str">
        <f aca="false">IF(C1382="","",ROW()-9)</f>
        <v/>
      </c>
      <c r="C1382" s="38"/>
      <c r="D1382" s="39" t="str">
        <f aca="false">IF(C1382="","",IFERROR(TEXT(C1382,"MMMM"),""))</f>
        <v/>
      </c>
      <c r="E1382" s="40"/>
      <c r="F1382" s="41" t="str">
        <f aca="false">IF(E1382="","",IFERROR(INDEX('Chart of Accounts'!$C$4:$C$200,MATCH(TEXT(E1382,"@"),TEXT('Chart of Accounts'!$B$4:$B$200,"@"),0)),"⚠ Not Found"))</f>
        <v/>
      </c>
      <c r="G1382" s="42"/>
      <c r="H1382" s="43"/>
      <c r="I1382" s="43"/>
      <c r="J1382" s="40"/>
    </row>
    <row r="1383" customFormat="false" ht="16.5" hidden="false" customHeight="true" outlineLevel="0" collapsed="false">
      <c r="B1383" s="44" t="str">
        <f aca="false">IF(C1383="","",ROW()-9)</f>
        <v/>
      </c>
      <c r="C1383" s="45"/>
      <c r="D1383" s="46" t="str">
        <f aca="false">IF(C1383="","",IFERROR(TEXT(C1383,"MMMM"),""))</f>
        <v/>
      </c>
      <c r="E1383" s="47"/>
      <c r="F1383" s="48" t="str">
        <f aca="false">IF(E1383="","",IFERROR(INDEX('Chart of Accounts'!$C$4:$C$200,MATCH(TEXT(E1383,"@"),TEXT('Chart of Accounts'!$B$4:$B$200,"@"),0)),"⚠ Not Found"))</f>
        <v/>
      </c>
      <c r="G1383" s="49"/>
      <c r="H1383" s="50"/>
      <c r="I1383" s="50"/>
      <c r="J1383" s="47"/>
    </row>
    <row r="1384" customFormat="false" ht="16.5" hidden="false" customHeight="true" outlineLevel="0" collapsed="false">
      <c r="B1384" s="37" t="str">
        <f aca="false">IF(C1384="","",ROW()-9)</f>
        <v/>
      </c>
      <c r="C1384" s="38"/>
      <c r="D1384" s="39" t="str">
        <f aca="false">IF(C1384="","",IFERROR(TEXT(C1384,"MMMM"),""))</f>
        <v/>
      </c>
      <c r="E1384" s="40"/>
      <c r="F1384" s="41" t="str">
        <f aca="false">IF(E1384="","",IFERROR(INDEX('Chart of Accounts'!$C$4:$C$200,MATCH(TEXT(E1384,"@"),TEXT('Chart of Accounts'!$B$4:$B$200,"@"),0)),"⚠ Not Found"))</f>
        <v/>
      </c>
      <c r="G1384" s="42"/>
      <c r="H1384" s="43"/>
      <c r="I1384" s="43"/>
      <c r="J1384" s="40"/>
    </row>
    <row r="1385" customFormat="false" ht="16.5" hidden="false" customHeight="true" outlineLevel="0" collapsed="false">
      <c r="B1385" s="44" t="str">
        <f aca="false">IF(C1385="","",ROW()-9)</f>
        <v/>
      </c>
      <c r="C1385" s="45"/>
      <c r="D1385" s="46" t="str">
        <f aca="false">IF(C1385="","",IFERROR(TEXT(C1385,"MMMM"),""))</f>
        <v/>
      </c>
      <c r="E1385" s="47"/>
      <c r="F1385" s="48" t="str">
        <f aca="false">IF(E1385="","",IFERROR(INDEX('Chart of Accounts'!$C$4:$C$200,MATCH(TEXT(E1385,"@"),TEXT('Chart of Accounts'!$B$4:$B$200,"@"),0)),"⚠ Not Found"))</f>
        <v/>
      </c>
      <c r="G1385" s="49"/>
      <c r="H1385" s="50"/>
      <c r="I1385" s="50"/>
      <c r="J1385" s="47"/>
    </row>
    <row r="1386" customFormat="false" ht="16.5" hidden="false" customHeight="true" outlineLevel="0" collapsed="false">
      <c r="B1386" s="37" t="str">
        <f aca="false">IF(C1386="","",ROW()-9)</f>
        <v/>
      </c>
      <c r="C1386" s="38"/>
      <c r="D1386" s="39" t="str">
        <f aca="false">IF(C1386="","",IFERROR(TEXT(C1386,"MMMM"),""))</f>
        <v/>
      </c>
      <c r="E1386" s="40"/>
      <c r="F1386" s="41" t="str">
        <f aca="false">IF(E1386="","",IFERROR(INDEX('Chart of Accounts'!$C$4:$C$200,MATCH(TEXT(E1386,"@"),TEXT('Chart of Accounts'!$B$4:$B$200,"@"),0)),"⚠ Not Found"))</f>
        <v/>
      </c>
      <c r="G1386" s="42"/>
      <c r="H1386" s="43"/>
      <c r="I1386" s="43"/>
      <c r="J1386" s="40"/>
    </row>
    <row r="1387" customFormat="false" ht="16.5" hidden="false" customHeight="true" outlineLevel="0" collapsed="false">
      <c r="B1387" s="44" t="str">
        <f aca="false">IF(C1387="","",ROW()-9)</f>
        <v/>
      </c>
      <c r="C1387" s="45"/>
      <c r="D1387" s="46" t="str">
        <f aca="false">IF(C1387="","",IFERROR(TEXT(C1387,"MMMM"),""))</f>
        <v/>
      </c>
      <c r="E1387" s="47"/>
      <c r="F1387" s="48" t="str">
        <f aca="false">IF(E1387="","",IFERROR(INDEX('Chart of Accounts'!$C$4:$C$200,MATCH(TEXT(E1387,"@"),TEXT('Chart of Accounts'!$B$4:$B$200,"@"),0)),"⚠ Not Found"))</f>
        <v/>
      </c>
      <c r="G1387" s="49"/>
      <c r="H1387" s="50"/>
      <c r="I1387" s="50"/>
      <c r="J1387" s="47"/>
    </row>
    <row r="1388" customFormat="false" ht="16.5" hidden="false" customHeight="true" outlineLevel="0" collapsed="false">
      <c r="B1388" s="37" t="str">
        <f aca="false">IF(C1388="","",ROW()-9)</f>
        <v/>
      </c>
      <c r="C1388" s="38"/>
      <c r="D1388" s="39" t="str">
        <f aca="false">IF(C1388="","",IFERROR(TEXT(C1388,"MMMM"),""))</f>
        <v/>
      </c>
      <c r="E1388" s="40"/>
      <c r="F1388" s="41" t="str">
        <f aca="false">IF(E1388="","",IFERROR(INDEX('Chart of Accounts'!$C$4:$C$200,MATCH(TEXT(E1388,"@"),TEXT('Chart of Accounts'!$B$4:$B$200,"@"),0)),"⚠ Not Found"))</f>
        <v/>
      </c>
      <c r="G1388" s="42"/>
      <c r="H1388" s="43"/>
      <c r="I1388" s="43"/>
      <c r="J1388" s="40"/>
    </row>
    <row r="1389" customFormat="false" ht="16.5" hidden="false" customHeight="true" outlineLevel="0" collapsed="false">
      <c r="B1389" s="44" t="str">
        <f aca="false">IF(C1389="","",ROW()-9)</f>
        <v/>
      </c>
      <c r="C1389" s="45"/>
      <c r="D1389" s="46" t="str">
        <f aca="false">IF(C1389="","",IFERROR(TEXT(C1389,"MMMM"),""))</f>
        <v/>
      </c>
      <c r="E1389" s="47"/>
      <c r="F1389" s="48" t="str">
        <f aca="false">IF(E1389="","",IFERROR(INDEX('Chart of Accounts'!$C$4:$C$200,MATCH(TEXT(E1389,"@"),TEXT('Chart of Accounts'!$B$4:$B$200,"@"),0)),"⚠ Not Found"))</f>
        <v/>
      </c>
      <c r="G1389" s="49"/>
      <c r="H1389" s="50"/>
      <c r="I1389" s="50"/>
      <c r="J1389" s="47"/>
    </row>
    <row r="1390" customFormat="false" ht="16.5" hidden="false" customHeight="true" outlineLevel="0" collapsed="false">
      <c r="B1390" s="37" t="str">
        <f aca="false">IF(C1390="","",ROW()-9)</f>
        <v/>
      </c>
      <c r="C1390" s="38"/>
      <c r="D1390" s="39" t="str">
        <f aca="false">IF(C1390="","",IFERROR(TEXT(C1390,"MMMM"),""))</f>
        <v/>
      </c>
      <c r="E1390" s="40"/>
      <c r="F1390" s="41" t="str">
        <f aca="false">IF(E1390="","",IFERROR(INDEX('Chart of Accounts'!$C$4:$C$200,MATCH(TEXT(E1390,"@"),TEXT('Chart of Accounts'!$B$4:$B$200,"@"),0)),"⚠ Not Found"))</f>
        <v/>
      </c>
      <c r="G1390" s="42"/>
      <c r="H1390" s="43"/>
      <c r="I1390" s="43"/>
      <c r="J1390" s="40"/>
    </row>
    <row r="1391" customFormat="false" ht="16.5" hidden="false" customHeight="true" outlineLevel="0" collapsed="false">
      <c r="B1391" s="44" t="str">
        <f aca="false">IF(C1391="","",ROW()-9)</f>
        <v/>
      </c>
      <c r="C1391" s="45"/>
      <c r="D1391" s="46" t="str">
        <f aca="false">IF(C1391="","",IFERROR(TEXT(C1391,"MMMM"),""))</f>
        <v/>
      </c>
      <c r="E1391" s="47"/>
      <c r="F1391" s="48" t="str">
        <f aca="false">IF(E1391="","",IFERROR(INDEX('Chart of Accounts'!$C$4:$C$200,MATCH(TEXT(E1391,"@"),TEXT('Chart of Accounts'!$B$4:$B$200,"@"),0)),"⚠ Not Found"))</f>
        <v/>
      </c>
      <c r="G1391" s="49"/>
      <c r="H1391" s="50"/>
      <c r="I1391" s="50"/>
      <c r="J1391" s="47"/>
    </row>
    <row r="1392" customFormat="false" ht="16.5" hidden="false" customHeight="true" outlineLevel="0" collapsed="false">
      <c r="B1392" s="37" t="str">
        <f aca="false">IF(C1392="","",ROW()-9)</f>
        <v/>
      </c>
      <c r="C1392" s="38"/>
      <c r="D1392" s="39" t="str">
        <f aca="false">IF(C1392="","",IFERROR(TEXT(C1392,"MMMM"),""))</f>
        <v/>
      </c>
      <c r="E1392" s="40"/>
      <c r="F1392" s="41" t="str">
        <f aca="false">IF(E1392="","",IFERROR(INDEX('Chart of Accounts'!$C$4:$C$200,MATCH(TEXT(E1392,"@"),TEXT('Chart of Accounts'!$B$4:$B$200,"@"),0)),"⚠ Not Found"))</f>
        <v/>
      </c>
      <c r="G1392" s="42"/>
      <c r="H1392" s="43"/>
      <c r="I1392" s="43"/>
      <c r="J1392" s="40"/>
    </row>
    <row r="1393" customFormat="false" ht="16.5" hidden="false" customHeight="true" outlineLevel="0" collapsed="false">
      <c r="B1393" s="44" t="str">
        <f aca="false">IF(C1393="","",ROW()-9)</f>
        <v/>
      </c>
      <c r="C1393" s="45"/>
      <c r="D1393" s="46" t="str">
        <f aca="false">IF(C1393="","",IFERROR(TEXT(C1393,"MMMM"),""))</f>
        <v/>
      </c>
      <c r="E1393" s="47"/>
      <c r="F1393" s="48" t="str">
        <f aca="false">IF(E1393="","",IFERROR(INDEX('Chart of Accounts'!$C$4:$C$200,MATCH(TEXT(E1393,"@"),TEXT('Chart of Accounts'!$B$4:$B$200,"@"),0)),"⚠ Not Found"))</f>
        <v/>
      </c>
      <c r="G1393" s="49"/>
      <c r="H1393" s="50"/>
      <c r="I1393" s="50"/>
      <c r="J1393" s="47"/>
    </row>
    <row r="1394" customFormat="false" ht="16.5" hidden="false" customHeight="true" outlineLevel="0" collapsed="false">
      <c r="B1394" s="37" t="str">
        <f aca="false">IF(C1394="","",ROW()-9)</f>
        <v/>
      </c>
      <c r="C1394" s="38"/>
      <c r="D1394" s="39" t="str">
        <f aca="false">IF(C1394="","",IFERROR(TEXT(C1394,"MMMM"),""))</f>
        <v/>
      </c>
      <c r="E1394" s="40"/>
      <c r="F1394" s="41" t="str">
        <f aca="false">IF(E1394="","",IFERROR(INDEX('Chart of Accounts'!$C$4:$C$200,MATCH(TEXT(E1394,"@"),TEXT('Chart of Accounts'!$B$4:$B$200,"@"),0)),"⚠ Not Found"))</f>
        <v/>
      </c>
      <c r="G1394" s="42"/>
      <c r="H1394" s="43"/>
      <c r="I1394" s="43"/>
      <c r="J1394" s="40"/>
    </row>
    <row r="1395" customFormat="false" ht="16.5" hidden="false" customHeight="true" outlineLevel="0" collapsed="false">
      <c r="B1395" s="44" t="str">
        <f aca="false">IF(C1395="","",ROW()-9)</f>
        <v/>
      </c>
      <c r="C1395" s="45"/>
      <c r="D1395" s="46" t="str">
        <f aca="false">IF(C1395="","",IFERROR(TEXT(C1395,"MMMM"),""))</f>
        <v/>
      </c>
      <c r="E1395" s="47"/>
      <c r="F1395" s="48" t="str">
        <f aca="false">IF(E1395="","",IFERROR(INDEX('Chart of Accounts'!$C$4:$C$200,MATCH(TEXT(E1395,"@"),TEXT('Chart of Accounts'!$B$4:$B$200,"@"),0)),"⚠ Not Found"))</f>
        <v/>
      </c>
      <c r="G1395" s="49"/>
      <c r="H1395" s="50"/>
      <c r="I1395" s="50"/>
      <c r="J1395" s="47"/>
    </row>
    <row r="1396" customFormat="false" ht="16.5" hidden="false" customHeight="true" outlineLevel="0" collapsed="false">
      <c r="B1396" s="37" t="str">
        <f aca="false">IF(C1396="","",ROW()-9)</f>
        <v/>
      </c>
      <c r="C1396" s="38"/>
      <c r="D1396" s="39" t="str">
        <f aca="false">IF(C1396="","",IFERROR(TEXT(C1396,"MMMM"),""))</f>
        <v/>
      </c>
      <c r="E1396" s="40"/>
      <c r="F1396" s="41" t="str">
        <f aca="false">IF(E1396="","",IFERROR(INDEX('Chart of Accounts'!$C$4:$C$200,MATCH(TEXT(E1396,"@"),TEXT('Chart of Accounts'!$B$4:$B$200,"@"),0)),"⚠ Not Found"))</f>
        <v/>
      </c>
      <c r="G1396" s="42"/>
      <c r="H1396" s="43"/>
      <c r="I1396" s="43"/>
      <c r="J1396" s="40"/>
    </row>
    <row r="1397" customFormat="false" ht="16.5" hidden="false" customHeight="true" outlineLevel="0" collapsed="false">
      <c r="B1397" s="44" t="str">
        <f aca="false">IF(C1397="","",ROW()-9)</f>
        <v/>
      </c>
      <c r="C1397" s="45"/>
      <c r="D1397" s="46" t="str">
        <f aca="false">IF(C1397="","",IFERROR(TEXT(C1397,"MMMM"),""))</f>
        <v/>
      </c>
      <c r="E1397" s="47"/>
      <c r="F1397" s="48" t="str">
        <f aca="false">IF(E1397="","",IFERROR(INDEX('Chart of Accounts'!$C$4:$C$200,MATCH(TEXT(E1397,"@"),TEXT('Chart of Accounts'!$B$4:$B$200,"@"),0)),"⚠ Not Found"))</f>
        <v/>
      </c>
      <c r="G1397" s="49"/>
      <c r="H1397" s="50"/>
      <c r="I1397" s="50"/>
      <c r="J1397" s="47"/>
    </row>
    <row r="1398" customFormat="false" ht="16.5" hidden="false" customHeight="true" outlineLevel="0" collapsed="false">
      <c r="B1398" s="37" t="str">
        <f aca="false">IF(C1398="","",ROW()-9)</f>
        <v/>
      </c>
      <c r="C1398" s="38"/>
      <c r="D1398" s="39" t="str">
        <f aca="false">IF(C1398="","",IFERROR(TEXT(C1398,"MMMM"),""))</f>
        <v/>
      </c>
      <c r="E1398" s="40"/>
      <c r="F1398" s="41" t="str">
        <f aca="false">IF(E1398="","",IFERROR(INDEX('Chart of Accounts'!$C$4:$C$200,MATCH(TEXT(E1398,"@"),TEXT('Chart of Accounts'!$B$4:$B$200,"@"),0)),"⚠ Not Found"))</f>
        <v/>
      </c>
      <c r="G1398" s="42"/>
      <c r="H1398" s="43"/>
      <c r="I1398" s="43"/>
      <c r="J1398" s="40"/>
    </row>
    <row r="1399" customFormat="false" ht="16.5" hidden="false" customHeight="true" outlineLevel="0" collapsed="false">
      <c r="B1399" s="44" t="str">
        <f aca="false">IF(C1399="","",ROW()-9)</f>
        <v/>
      </c>
      <c r="C1399" s="45"/>
      <c r="D1399" s="46" t="str">
        <f aca="false">IF(C1399="","",IFERROR(TEXT(C1399,"MMMM"),""))</f>
        <v/>
      </c>
      <c r="E1399" s="47"/>
      <c r="F1399" s="48" t="str">
        <f aca="false">IF(E1399="","",IFERROR(INDEX('Chart of Accounts'!$C$4:$C$200,MATCH(TEXT(E1399,"@"),TEXT('Chart of Accounts'!$B$4:$B$200,"@"),0)),"⚠ Not Found"))</f>
        <v/>
      </c>
      <c r="G1399" s="49"/>
      <c r="H1399" s="50"/>
      <c r="I1399" s="50"/>
      <c r="J1399" s="47"/>
    </row>
    <row r="1400" customFormat="false" ht="16.5" hidden="false" customHeight="true" outlineLevel="0" collapsed="false">
      <c r="B1400" s="37" t="str">
        <f aca="false">IF(C1400="","",ROW()-9)</f>
        <v/>
      </c>
      <c r="C1400" s="38"/>
      <c r="D1400" s="39" t="str">
        <f aca="false">IF(C1400="","",IFERROR(TEXT(C1400,"MMMM"),""))</f>
        <v/>
      </c>
      <c r="E1400" s="40"/>
      <c r="F1400" s="41" t="str">
        <f aca="false">IF(E1400="","",IFERROR(INDEX('Chart of Accounts'!$C$4:$C$200,MATCH(TEXT(E1400,"@"),TEXT('Chart of Accounts'!$B$4:$B$200,"@"),0)),"⚠ Not Found"))</f>
        <v/>
      </c>
      <c r="G1400" s="42"/>
      <c r="H1400" s="43"/>
      <c r="I1400" s="43"/>
      <c r="J1400" s="40"/>
    </row>
    <row r="1401" customFormat="false" ht="16.5" hidden="false" customHeight="true" outlineLevel="0" collapsed="false">
      <c r="B1401" s="44" t="str">
        <f aca="false">IF(C1401="","",ROW()-9)</f>
        <v/>
      </c>
      <c r="C1401" s="45"/>
      <c r="D1401" s="46" t="str">
        <f aca="false">IF(C1401="","",IFERROR(TEXT(C1401,"MMMM"),""))</f>
        <v/>
      </c>
      <c r="E1401" s="47"/>
      <c r="F1401" s="48" t="str">
        <f aca="false">IF(E1401="","",IFERROR(INDEX('Chart of Accounts'!$C$4:$C$200,MATCH(TEXT(E1401,"@"),TEXT('Chart of Accounts'!$B$4:$B$200,"@"),0)),"⚠ Not Found"))</f>
        <v/>
      </c>
      <c r="G1401" s="49"/>
      <c r="H1401" s="50"/>
      <c r="I1401" s="50"/>
      <c r="J1401" s="47"/>
    </row>
    <row r="1402" customFormat="false" ht="16.5" hidden="false" customHeight="true" outlineLevel="0" collapsed="false">
      <c r="B1402" s="37" t="str">
        <f aca="false">IF(C1402="","",ROW()-9)</f>
        <v/>
      </c>
      <c r="C1402" s="38"/>
      <c r="D1402" s="39" t="str">
        <f aca="false">IF(C1402="","",IFERROR(TEXT(C1402,"MMMM"),""))</f>
        <v/>
      </c>
      <c r="E1402" s="40"/>
      <c r="F1402" s="41" t="str">
        <f aca="false">IF(E1402="","",IFERROR(INDEX('Chart of Accounts'!$C$4:$C$200,MATCH(TEXT(E1402,"@"),TEXT('Chart of Accounts'!$B$4:$B$200,"@"),0)),"⚠ Not Found"))</f>
        <v/>
      </c>
      <c r="G1402" s="42"/>
      <c r="H1402" s="43"/>
      <c r="I1402" s="43"/>
      <c r="J1402" s="40"/>
    </row>
    <row r="1403" customFormat="false" ht="16.5" hidden="false" customHeight="true" outlineLevel="0" collapsed="false">
      <c r="B1403" s="44" t="str">
        <f aca="false">IF(C1403="","",ROW()-9)</f>
        <v/>
      </c>
      <c r="C1403" s="45"/>
      <c r="D1403" s="46" t="str">
        <f aca="false">IF(C1403="","",IFERROR(TEXT(C1403,"MMMM"),""))</f>
        <v/>
      </c>
      <c r="E1403" s="47"/>
      <c r="F1403" s="48" t="str">
        <f aca="false">IF(E1403="","",IFERROR(INDEX('Chart of Accounts'!$C$4:$C$200,MATCH(TEXT(E1403,"@"),TEXT('Chart of Accounts'!$B$4:$B$200,"@"),0)),"⚠ Not Found"))</f>
        <v/>
      </c>
      <c r="G1403" s="49"/>
      <c r="H1403" s="50"/>
      <c r="I1403" s="50"/>
      <c r="J1403" s="47"/>
    </row>
    <row r="1404" customFormat="false" ht="16.5" hidden="false" customHeight="true" outlineLevel="0" collapsed="false">
      <c r="B1404" s="37" t="str">
        <f aca="false">IF(C1404="","",ROW()-9)</f>
        <v/>
      </c>
      <c r="C1404" s="38"/>
      <c r="D1404" s="39" t="str">
        <f aca="false">IF(C1404="","",IFERROR(TEXT(C1404,"MMMM"),""))</f>
        <v/>
      </c>
      <c r="E1404" s="40"/>
      <c r="F1404" s="41" t="str">
        <f aca="false">IF(E1404="","",IFERROR(INDEX('Chart of Accounts'!$C$4:$C$200,MATCH(TEXT(E1404,"@"),TEXT('Chart of Accounts'!$B$4:$B$200,"@"),0)),"⚠ Not Found"))</f>
        <v/>
      </c>
      <c r="G1404" s="42"/>
      <c r="H1404" s="43"/>
      <c r="I1404" s="43"/>
      <c r="J1404" s="40"/>
    </row>
    <row r="1405" customFormat="false" ht="16.5" hidden="false" customHeight="true" outlineLevel="0" collapsed="false">
      <c r="B1405" s="44" t="str">
        <f aca="false">IF(C1405="","",ROW()-9)</f>
        <v/>
      </c>
      <c r="C1405" s="45"/>
      <c r="D1405" s="46" t="str">
        <f aca="false">IF(C1405="","",IFERROR(TEXT(C1405,"MMMM"),""))</f>
        <v/>
      </c>
      <c r="E1405" s="47"/>
      <c r="F1405" s="48" t="str">
        <f aca="false">IF(E1405="","",IFERROR(INDEX('Chart of Accounts'!$C$4:$C$200,MATCH(TEXT(E1405,"@"),TEXT('Chart of Accounts'!$B$4:$B$200,"@"),0)),"⚠ Not Found"))</f>
        <v/>
      </c>
      <c r="G1405" s="49"/>
      <c r="H1405" s="50"/>
      <c r="I1405" s="50"/>
      <c r="J1405" s="47"/>
    </row>
    <row r="1406" customFormat="false" ht="16.5" hidden="false" customHeight="true" outlineLevel="0" collapsed="false">
      <c r="B1406" s="37" t="str">
        <f aca="false">IF(C1406="","",ROW()-9)</f>
        <v/>
      </c>
      <c r="C1406" s="38"/>
      <c r="D1406" s="39" t="str">
        <f aca="false">IF(C1406="","",IFERROR(TEXT(C1406,"MMMM"),""))</f>
        <v/>
      </c>
      <c r="E1406" s="40"/>
      <c r="F1406" s="41" t="str">
        <f aca="false">IF(E1406="","",IFERROR(INDEX('Chart of Accounts'!$C$4:$C$200,MATCH(TEXT(E1406,"@"),TEXT('Chart of Accounts'!$B$4:$B$200,"@"),0)),"⚠ Not Found"))</f>
        <v/>
      </c>
      <c r="G1406" s="42"/>
      <c r="H1406" s="43"/>
      <c r="I1406" s="43"/>
      <c r="J1406" s="40"/>
    </row>
    <row r="1407" customFormat="false" ht="16.5" hidden="false" customHeight="true" outlineLevel="0" collapsed="false">
      <c r="B1407" s="44" t="str">
        <f aca="false">IF(C1407="","",ROW()-9)</f>
        <v/>
      </c>
      <c r="C1407" s="45"/>
      <c r="D1407" s="46" t="str">
        <f aca="false">IF(C1407="","",IFERROR(TEXT(C1407,"MMMM"),""))</f>
        <v/>
      </c>
      <c r="E1407" s="47"/>
      <c r="F1407" s="48" t="str">
        <f aca="false">IF(E1407="","",IFERROR(INDEX('Chart of Accounts'!$C$4:$C$200,MATCH(TEXT(E1407,"@"),TEXT('Chart of Accounts'!$B$4:$B$200,"@"),0)),"⚠ Not Found"))</f>
        <v/>
      </c>
      <c r="G1407" s="49"/>
      <c r="H1407" s="50"/>
      <c r="I1407" s="50"/>
      <c r="J1407" s="47"/>
    </row>
    <row r="1408" customFormat="false" ht="16.5" hidden="false" customHeight="true" outlineLevel="0" collapsed="false">
      <c r="B1408" s="37" t="str">
        <f aca="false">IF(C1408="","",ROW()-9)</f>
        <v/>
      </c>
      <c r="C1408" s="38"/>
      <c r="D1408" s="39" t="str">
        <f aca="false">IF(C1408="","",IFERROR(TEXT(C1408,"MMMM"),""))</f>
        <v/>
      </c>
      <c r="E1408" s="40"/>
      <c r="F1408" s="41" t="str">
        <f aca="false">IF(E1408="","",IFERROR(INDEX('Chart of Accounts'!$C$4:$C$200,MATCH(TEXT(E1408,"@"),TEXT('Chart of Accounts'!$B$4:$B$200,"@"),0)),"⚠ Not Found"))</f>
        <v/>
      </c>
      <c r="G1408" s="42"/>
      <c r="H1408" s="43"/>
      <c r="I1408" s="43"/>
      <c r="J1408" s="40"/>
    </row>
    <row r="1409" customFormat="false" ht="16.5" hidden="false" customHeight="true" outlineLevel="0" collapsed="false">
      <c r="B1409" s="44" t="str">
        <f aca="false">IF(C1409="","",ROW()-9)</f>
        <v/>
      </c>
      <c r="C1409" s="45"/>
      <c r="D1409" s="46" t="str">
        <f aca="false">IF(C1409="","",IFERROR(TEXT(C1409,"MMMM"),""))</f>
        <v/>
      </c>
      <c r="E1409" s="47"/>
      <c r="F1409" s="48" t="str">
        <f aca="false">IF(E1409="","",IFERROR(INDEX('Chart of Accounts'!$C$4:$C$200,MATCH(TEXT(E1409,"@"),TEXT('Chart of Accounts'!$B$4:$B$200,"@"),0)),"⚠ Not Found"))</f>
        <v/>
      </c>
      <c r="G1409" s="49"/>
      <c r="H1409" s="50"/>
      <c r="I1409" s="50"/>
      <c r="J1409" s="47"/>
    </row>
    <row r="1410" customFormat="false" ht="16.5" hidden="false" customHeight="true" outlineLevel="0" collapsed="false">
      <c r="B1410" s="37" t="str">
        <f aca="false">IF(C1410="","",ROW()-9)</f>
        <v/>
      </c>
      <c r="C1410" s="38"/>
      <c r="D1410" s="39" t="str">
        <f aca="false">IF(C1410="","",IFERROR(TEXT(C1410,"MMMM"),""))</f>
        <v/>
      </c>
      <c r="E1410" s="40"/>
      <c r="F1410" s="41" t="str">
        <f aca="false">IF(E1410="","",IFERROR(INDEX('Chart of Accounts'!$C$4:$C$200,MATCH(TEXT(E1410,"@"),TEXT('Chart of Accounts'!$B$4:$B$200,"@"),0)),"⚠ Not Found"))</f>
        <v/>
      </c>
      <c r="G1410" s="42"/>
      <c r="H1410" s="43"/>
      <c r="I1410" s="43"/>
      <c r="J1410" s="40"/>
    </row>
    <row r="1411" customFormat="false" ht="16.5" hidden="false" customHeight="true" outlineLevel="0" collapsed="false">
      <c r="B1411" s="44" t="str">
        <f aca="false">IF(C1411="","",ROW()-9)</f>
        <v/>
      </c>
      <c r="C1411" s="45"/>
      <c r="D1411" s="46" t="str">
        <f aca="false">IF(C1411="","",IFERROR(TEXT(C1411,"MMMM"),""))</f>
        <v/>
      </c>
      <c r="E1411" s="47"/>
      <c r="F1411" s="48" t="str">
        <f aca="false">IF(E1411="","",IFERROR(INDEX('Chart of Accounts'!$C$4:$C$200,MATCH(TEXT(E1411,"@"),TEXT('Chart of Accounts'!$B$4:$B$200,"@"),0)),"⚠ Not Found"))</f>
        <v/>
      </c>
      <c r="G1411" s="49"/>
      <c r="H1411" s="50"/>
      <c r="I1411" s="50"/>
      <c r="J1411" s="47"/>
    </row>
    <row r="1412" customFormat="false" ht="16.5" hidden="false" customHeight="true" outlineLevel="0" collapsed="false">
      <c r="B1412" s="37" t="str">
        <f aca="false">IF(C1412="","",ROW()-9)</f>
        <v/>
      </c>
      <c r="C1412" s="38"/>
      <c r="D1412" s="39" t="str">
        <f aca="false">IF(C1412="","",IFERROR(TEXT(C1412,"MMMM"),""))</f>
        <v/>
      </c>
      <c r="E1412" s="40"/>
      <c r="F1412" s="41" t="str">
        <f aca="false">IF(E1412="","",IFERROR(INDEX('Chart of Accounts'!$C$4:$C$200,MATCH(TEXT(E1412,"@"),TEXT('Chart of Accounts'!$B$4:$B$200,"@"),0)),"⚠ Not Found"))</f>
        <v/>
      </c>
      <c r="G1412" s="42"/>
      <c r="H1412" s="43"/>
      <c r="I1412" s="43"/>
      <c r="J1412" s="40"/>
    </row>
    <row r="1413" customFormat="false" ht="16.5" hidden="false" customHeight="true" outlineLevel="0" collapsed="false">
      <c r="B1413" s="44" t="str">
        <f aca="false">IF(C1413="","",ROW()-9)</f>
        <v/>
      </c>
      <c r="C1413" s="45"/>
      <c r="D1413" s="46" t="str">
        <f aca="false">IF(C1413="","",IFERROR(TEXT(C1413,"MMMM"),""))</f>
        <v/>
      </c>
      <c r="E1413" s="47"/>
      <c r="F1413" s="48" t="str">
        <f aca="false">IF(E1413="","",IFERROR(INDEX('Chart of Accounts'!$C$4:$C$200,MATCH(TEXT(E1413,"@"),TEXT('Chart of Accounts'!$B$4:$B$200,"@"),0)),"⚠ Not Found"))</f>
        <v/>
      </c>
      <c r="G1413" s="49"/>
      <c r="H1413" s="50"/>
      <c r="I1413" s="50"/>
      <c r="J1413" s="47"/>
    </row>
    <row r="1414" customFormat="false" ht="16.5" hidden="false" customHeight="true" outlineLevel="0" collapsed="false">
      <c r="B1414" s="37" t="str">
        <f aca="false">IF(C1414="","",ROW()-9)</f>
        <v/>
      </c>
      <c r="C1414" s="38"/>
      <c r="D1414" s="39" t="str">
        <f aca="false">IF(C1414="","",IFERROR(TEXT(C1414,"MMMM"),""))</f>
        <v/>
      </c>
      <c r="E1414" s="40"/>
      <c r="F1414" s="41" t="str">
        <f aca="false">IF(E1414="","",IFERROR(INDEX('Chart of Accounts'!$C$4:$C$200,MATCH(TEXT(E1414,"@"),TEXT('Chart of Accounts'!$B$4:$B$200,"@"),0)),"⚠ Not Found"))</f>
        <v/>
      </c>
      <c r="G1414" s="42"/>
      <c r="H1414" s="43"/>
      <c r="I1414" s="43"/>
      <c r="J1414" s="40"/>
    </row>
    <row r="1415" customFormat="false" ht="16.5" hidden="false" customHeight="true" outlineLevel="0" collapsed="false">
      <c r="B1415" s="44" t="str">
        <f aca="false">IF(C1415="","",ROW()-9)</f>
        <v/>
      </c>
      <c r="C1415" s="45"/>
      <c r="D1415" s="46" t="str">
        <f aca="false">IF(C1415="","",IFERROR(TEXT(C1415,"MMMM"),""))</f>
        <v/>
      </c>
      <c r="E1415" s="47"/>
      <c r="F1415" s="48" t="str">
        <f aca="false">IF(E1415="","",IFERROR(INDEX('Chart of Accounts'!$C$4:$C$200,MATCH(TEXT(E1415,"@"),TEXT('Chart of Accounts'!$B$4:$B$200,"@"),0)),"⚠ Not Found"))</f>
        <v/>
      </c>
      <c r="G1415" s="49"/>
      <c r="H1415" s="50"/>
      <c r="I1415" s="50"/>
      <c r="J1415" s="47"/>
    </row>
    <row r="1416" customFormat="false" ht="16.5" hidden="false" customHeight="true" outlineLevel="0" collapsed="false">
      <c r="B1416" s="37" t="str">
        <f aca="false">IF(C1416="","",ROW()-9)</f>
        <v/>
      </c>
      <c r="C1416" s="38"/>
      <c r="D1416" s="39" t="str">
        <f aca="false">IF(C1416="","",IFERROR(TEXT(C1416,"MMMM"),""))</f>
        <v/>
      </c>
      <c r="E1416" s="40"/>
      <c r="F1416" s="41" t="str">
        <f aca="false">IF(E1416="","",IFERROR(INDEX('Chart of Accounts'!$C$4:$C$200,MATCH(TEXT(E1416,"@"),TEXT('Chart of Accounts'!$B$4:$B$200,"@"),0)),"⚠ Not Found"))</f>
        <v/>
      </c>
      <c r="G1416" s="42"/>
      <c r="H1416" s="43"/>
      <c r="I1416" s="43"/>
      <c r="J1416" s="40"/>
    </row>
    <row r="1417" customFormat="false" ht="16.5" hidden="false" customHeight="true" outlineLevel="0" collapsed="false">
      <c r="B1417" s="44" t="str">
        <f aca="false">IF(C1417="","",ROW()-9)</f>
        <v/>
      </c>
      <c r="C1417" s="45"/>
      <c r="D1417" s="46" t="str">
        <f aca="false">IF(C1417="","",IFERROR(TEXT(C1417,"MMMM"),""))</f>
        <v/>
      </c>
      <c r="E1417" s="47"/>
      <c r="F1417" s="48" t="str">
        <f aca="false">IF(E1417="","",IFERROR(INDEX('Chart of Accounts'!$C$4:$C$200,MATCH(TEXT(E1417,"@"),TEXT('Chart of Accounts'!$B$4:$B$200,"@"),0)),"⚠ Not Found"))</f>
        <v/>
      </c>
      <c r="G1417" s="49"/>
      <c r="H1417" s="50"/>
      <c r="I1417" s="50"/>
      <c r="J1417" s="47"/>
    </row>
    <row r="1418" customFormat="false" ht="16.5" hidden="false" customHeight="true" outlineLevel="0" collapsed="false">
      <c r="B1418" s="37" t="str">
        <f aca="false">IF(C1418="","",ROW()-9)</f>
        <v/>
      </c>
      <c r="C1418" s="38"/>
      <c r="D1418" s="39" t="str">
        <f aca="false">IF(C1418="","",IFERROR(TEXT(C1418,"MMMM"),""))</f>
        <v/>
      </c>
      <c r="E1418" s="40"/>
      <c r="F1418" s="41" t="str">
        <f aca="false">IF(E1418="","",IFERROR(INDEX('Chart of Accounts'!$C$4:$C$200,MATCH(TEXT(E1418,"@"),TEXT('Chart of Accounts'!$B$4:$B$200,"@"),0)),"⚠ Not Found"))</f>
        <v/>
      </c>
      <c r="G1418" s="42"/>
      <c r="H1418" s="43"/>
      <c r="I1418" s="43"/>
      <c r="J1418" s="40"/>
    </row>
    <row r="1419" customFormat="false" ht="16.5" hidden="false" customHeight="true" outlineLevel="0" collapsed="false">
      <c r="B1419" s="44" t="str">
        <f aca="false">IF(C1419="","",ROW()-9)</f>
        <v/>
      </c>
      <c r="C1419" s="45"/>
      <c r="D1419" s="46" t="str">
        <f aca="false">IF(C1419="","",IFERROR(TEXT(C1419,"MMMM"),""))</f>
        <v/>
      </c>
      <c r="E1419" s="47"/>
      <c r="F1419" s="48" t="str">
        <f aca="false">IF(E1419="","",IFERROR(INDEX('Chart of Accounts'!$C$4:$C$200,MATCH(TEXT(E1419,"@"),TEXT('Chart of Accounts'!$B$4:$B$200,"@"),0)),"⚠ Not Found"))</f>
        <v/>
      </c>
      <c r="G1419" s="49"/>
      <c r="H1419" s="50"/>
      <c r="I1419" s="50"/>
      <c r="J1419" s="47"/>
    </row>
    <row r="1420" customFormat="false" ht="16.5" hidden="false" customHeight="true" outlineLevel="0" collapsed="false">
      <c r="B1420" s="37" t="str">
        <f aca="false">IF(C1420="","",ROW()-9)</f>
        <v/>
      </c>
      <c r="C1420" s="38"/>
      <c r="D1420" s="39" t="str">
        <f aca="false">IF(C1420="","",IFERROR(TEXT(C1420,"MMMM"),""))</f>
        <v/>
      </c>
      <c r="E1420" s="40"/>
      <c r="F1420" s="41" t="str">
        <f aca="false">IF(E1420="","",IFERROR(INDEX('Chart of Accounts'!$C$4:$C$200,MATCH(TEXT(E1420,"@"),TEXT('Chart of Accounts'!$B$4:$B$200,"@"),0)),"⚠ Not Found"))</f>
        <v/>
      </c>
      <c r="G1420" s="42"/>
      <c r="H1420" s="43"/>
      <c r="I1420" s="43"/>
      <c r="J1420" s="40"/>
    </row>
    <row r="1421" customFormat="false" ht="16.5" hidden="false" customHeight="true" outlineLevel="0" collapsed="false">
      <c r="B1421" s="44" t="str">
        <f aca="false">IF(C1421="","",ROW()-9)</f>
        <v/>
      </c>
      <c r="C1421" s="45"/>
      <c r="D1421" s="46" t="str">
        <f aca="false">IF(C1421="","",IFERROR(TEXT(C1421,"MMMM"),""))</f>
        <v/>
      </c>
      <c r="E1421" s="47"/>
      <c r="F1421" s="48" t="str">
        <f aca="false">IF(E1421="","",IFERROR(INDEX('Chart of Accounts'!$C$4:$C$200,MATCH(TEXT(E1421,"@"),TEXT('Chart of Accounts'!$B$4:$B$200,"@"),0)),"⚠ Not Found"))</f>
        <v/>
      </c>
      <c r="G1421" s="49"/>
      <c r="H1421" s="50"/>
      <c r="I1421" s="50"/>
      <c r="J1421" s="47"/>
    </row>
    <row r="1422" customFormat="false" ht="16.5" hidden="false" customHeight="true" outlineLevel="0" collapsed="false">
      <c r="B1422" s="37" t="str">
        <f aca="false">IF(C1422="","",ROW()-9)</f>
        <v/>
      </c>
      <c r="C1422" s="38"/>
      <c r="D1422" s="39" t="str">
        <f aca="false">IF(C1422="","",IFERROR(TEXT(C1422,"MMMM"),""))</f>
        <v/>
      </c>
      <c r="E1422" s="40"/>
      <c r="F1422" s="41" t="str">
        <f aca="false">IF(E1422="","",IFERROR(INDEX('Chart of Accounts'!$C$4:$C$200,MATCH(TEXT(E1422,"@"),TEXT('Chart of Accounts'!$B$4:$B$200,"@"),0)),"⚠ Not Found"))</f>
        <v/>
      </c>
      <c r="G1422" s="42"/>
      <c r="H1422" s="43"/>
      <c r="I1422" s="43"/>
      <c r="J1422" s="40"/>
    </row>
    <row r="1423" customFormat="false" ht="16.5" hidden="false" customHeight="true" outlineLevel="0" collapsed="false">
      <c r="B1423" s="44" t="str">
        <f aca="false">IF(C1423="","",ROW()-9)</f>
        <v/>
      </c>
      <c r="C1423" s="45"/>
      <c r="D1423" s="46" t="str">
        <f aca="false">IF(C1423="","",IFERROR(TEXT(C1423,"MMMM"),""))</f>
        <v/>
      </c>
      <c r="E1423" s="47"/>
      <c r="F1423" s="48" t="str">
        <f aca="false">IF(E1423="","",IFERROR(INDEX('Chart of Accounts'!$C$4:$C$200,MATCH(TEXT(E1423,"@"),TEXT('Chart of Accounts'!$B$4:$B$200,"@"),0)),"⚠ Not Found"))</f>
        <v/>
      </c>
      <c r="G1423" s="49"/>
      <c r="H1423" s="50"/>
      <c r="I1423" s="50"/>
      <c r="J1423" s="47"/>
    </row>
    <row r="1424" customFormat="false" ht="16.5" hidden="false" customHeight="true" outlineLevel="0" collapsed="false">
      <c r="B1424" s="37" t="str">
        <f aca="false">IF(C1424="","",ROW()-9)</f>
        <v/>
      </c>
      <c r="C1424" s="38"/>
      <c r="D1424" s="39" t="str">
        <f aca="false">IF(C1424="","",IFERROR(TEXT(C1424,"MMMM"),""))</f>
        <v/>
      </c>
      <c r="E1424" s="40"/>
      <c r="F1424" s="41" t="str">
        <f aca="false">IF(E1424="","",IFERROR(INDEX('Chart of Accounts'!$C$4:$C$200,MATCH(TEXT(E1424,"@"),TEXT('Chart of Accounts'!$B$4:$B$200,"@"),0)),"⚠ Not Found"))</f>
        <v/>
      </c>
      <c r="G1424" s="42"/>
      <c r="H1424" s="43"/>
      <c r="I1424" s="43"/>
      <c r="J1424" s="40"/>
    </row>
    <row r="1425" customFormat="false" ht="16.5" hidden="false" customHeight="true" outlineLevel="0" collapsed="false">
      <c r="B1425" s="44" t="str">
        <f aca="false">IF(C1425="","",ROW()-9)</f>
        <v/>
      </c>
      <c r="C1425" s="45"/>
      <c r="D1425" s="46" t="str">
        <f aca="false">IF(C1425="","",IFERROR(TEXT(C1425,"MMMM"),""))</f>
        <v/>
      </c>
      <c r="E1425" s="47"/>
      <c r="F1425" s="48" t="str">
        <f aca="false">IF(E1425="","",IFERROR(INDEX('Chart of Accounts'!$C$4:$C$200,MATCH(TEXT(E1425,"@"),TEXT('Chart of Accounts'!$B$4:$B$200,"@"),0)),"⚠ Not Found"))</f>
        <v/>
      </c>
      <c r="G1425" s="49"/>
      <c r="H1425" s="50"/>
      <c r="I1425" s="50"/>
      <c r="J1425" s="47"/>
    </row>
    <row r="1426" customFormat="false" ht="16.5" hidden="false" customHeight="true" outlineLevel="0" collapsed="false">
      <c r="B1426" s="37" t="str">
        <f aca="false">IF(C1426="","",ROW()-9)</f>
        <v/>
      </c>
      <c r="C1426" s="38"/>
      <c r="D1426" s="39" t="str">
        <f aca="false">IF(C1426="","",IFERROR(TEXT(C1426,"MMMM"),""))</f>
        <v/>
      </c>
      <c r="E1426" s="40"/>
      <c r="F1426" s="41" t="str">
        <f aca="false">IF(E1426="","",IFERROR(INDEX('Chart of Accounts'!$C$4:$C$200,MATCH(TEXT(E1426,"@"),TEXT('Chart of Accounts'!$B$4:$B$200,"@"),0)),"⚠ Not Found"))</f>
        <v/>
      </c>
      <c r="G1426" s="42"/>
      <c r="H1426" s="43"/>
      <c r="I1426" s="43"/>
      <c r="J1426" s="40"/>
    </row>
    <row r="1427" customFormat="false" ht="16.5" hidden="false" customHeight="true" outlineLevel="0" collapsed="false">
      <c r="B1427" s="44" t="str">
        <f aca="false">IF(C1427="","",ROW()-9)</f>
        <v/>
      </c>
      <c r="C1427" s="45"/>
      <c r="D1427" s="46" t="str">
        <f aca="false">IF(C1427="","",IFERROR(TEXT(C1427,"MMMM"),""))</f>
        <v/>
      </c>
      <c r="E1427" s="47"/>
      <c r="F1427" s="48" t="str">
        <f aca="false">IF(E1427="","",IFERROR(INDEX('Chart of Accounts'!$C$4:$C$200,MATCH(TEXT(E1427,"@"),TEXT('Chart of Accounts'!$B$4:$B$200,"@"),0)),"⚠ Not Found"))</f>
        <v/>
      </c>
      <c r="G1427" s="49"/>
      <c r="H1427" s="50"/>
      <c r="I1427" s="50"/>
      <c r="J1427" s="47"/>
    </row>
    <row r="1428" customFormat="false" ht="16.5" hidden="false" customHeight="true" outlineLevel="0" collapsed="false">
      <c r="B1428" s="37" t="str">
        <f aca="false">IF(C1428="","",ROW()-9)</f>
        <v/>
      </c>
      <c r="C1428" s="38"/>
      <c r="D1428" s="39" t="str">
        <f aca="false">IF(C1428="","",IFERROR(TEXT(C1428,"MMMM"),""))</f>
        <v/>
      </c>
      <c r="E1428" s="40"/>
      <c r="F1428" s="41" t="str">
        <f aca="false">IF(E1428="","",IFERROR(INDEX('Chart of Accounts'!$C$4:$C$200,MATCH(TEXT(E1428,"@"),TEXT('Chart of Accounts'!$B$4:$B$200,"@"),0)),"⚠ Not Found"))</f>
        <v/>
      </c>
      <c r="G1428" s="42"/>
      <c r="H1428" s="43"/>
      <c r="I1428" s="43"/>
      <c r="J1428" s="40"/>
    </row>
    <row r="1429" customFormat="false" ht="16.5" hidden="false" customHeight="true" outlineLevel="0" collapsed="false">
      <c r="B1429" s="44" t="str">
        <f aca="false">IF(C1429="","",ROW()-9)</f>
        <v/>
      </c>
      <c r="C1429" s="45"/>
      <c r="D1429" s="46" t="str">
        <f aca="false">IF(C1429="","",IFERROR(TEXT(C1429,"MMMM"),""))</f>
        <v/>
      </c>
      <c r="E1429" s="47"/>
      <c r="F1429" s="48" t="str">
        <f aca="false">IF(E1429="","",IFERROR(INDEX('Chart of Accounts'!$C$4:$C$200,MATCH(TEXT(E1429,"@"),TEXT('Chart of Accounts'!$B$4:$B$200,"@"),0)),"⚠ Not Found"))</f>
        <v/>
      </c>
      <c r="G1429" s="49"/>
      <c r="H1429" s="50"/>
      <c r="I1429" s="50"/>
      <c r="J1429" s="47"/>
    </row>
    <row r="1430" customFormat="false" ht="16.5" hidden="false" customHeight="true" outlineLevel="0" collapsed="false">
      <c r="B1430" s="37" t="str">
        <f aca="false">IF(C1430="","",ROW()-9)</f>
        <v/>
      </c>
      <c r="C1430" s="38"/>
      <c r="D1430" s="39" t="str">
        <f aca="false">IF(C1430="","",IFERROR(TEXT(C1430,"MMMM"),""))</f>
        <v/>
      </c>
      <c r="E1430" s="40"/>
      <c r="F1430" s="41" t="str">
        <f aca="false">IF(E1430="","",IFERROR(INDEX('Chart of Accounts'!$C$4:$C$200,MATCH(TEXT(E1430,"@"),TEXT('Chart of Accounts'!$B$4:$B$200,"@"),0)),"⚠ Not Found"))</f>
        <v/>
      </c>
      <c r="G1430" s="42"/>
      <c r="H1430" s="43"/>
      <c r="I1430" s="43"/>
      <c r="J1430" s="40"/>
    </row>
    <row r="1431" customFormat="false" ht="16.5" hidden="false" customHeight="true" outlineLevel="0" collapsed="false">
      <c r="B1431" s="44" t="str">
        <f aca="false">IF(C1431="","",ROW()-9)</f>
        <v/>
      </c>
      <c r="C1431" s="45"/>
      <c r="D1431" s="46" t="str">
        <f aca="false">IF(C1431="","",IFERROR(TEXT(C1431,"MMMM"),""))</f>
        <v/>
      </c>
      <c r="E1431" s="47"/>
      <c r="F1431" s="48" t="str">
        <f aca="false">IF(E1431="","",IFERROR(INDEX('Chart of Accounts'!$C$4:$C$200,MATCH(TEXT(E1431,"@"),TEXT('Chart of Accounts'!$B$4:$B$200,"@"),0)),"⚠ Not Found"))</f>
        <v/>
      </c>
      <c r="G1431" s="49"/>
      <c r="H1431" s="50"/>
      <c r="I1431" s="50"/>
      <c r="J1431" s="47"/>
    </row>
    <row r="1432" customFormat="false" ht="16.5" hidden="false" customHeight="true" outlineLevel="0" collapsed="false">
      <c r="B1432" s="37" t="str">
        <f aca="false">IF(C1432="","",ROW()-9)</f>
        <v/>
      </c>
      <c r="C1432" s="38"/>
      <c r="D1432" s="39" t="str">
        <f aca="false">IF(C1432="","",IFERROR(TEXT(C1432,"MMMM"),""))</f>
        <v/>
      </c>
      <c r="E1432" s="40"/>
      <c r="F1432" s="41" t="str">
        <f aca="false">IF(E1432="","",IFERROR(INDEX('Chart of Accounts'!$C$4:$C$200,MATCH(TEXT(E1432,"@"),TEXT('Chart of Accounts'!$B$4:$B$200,"@"),0)),"⚠ Not Found"))</f>
        <v/>
      </c>
      <c r="G1432" s="42"/>
      <c r="H1432" s="43"/>
      <c r="I1432" s="43"/>
      <c r="J1432" s="40"/>
    </row>
    <row r="1433" customFormat="false" ht="16.5" hidden="false" customHeight="true" outlineLevel="0" collapsed="false">
      <c r="B1433" s="44" t="str">
        <f aca="false">IF(C1433="","",ROW()-9)</f>
        <v/>
      </c>
      <c r="C1433" s="45"/>
      <c r="D1433" s="46" t="str">
        <f aca="false">IF(C1433="","",IFERROR(TEXT(C1433,"MMMM"),""))</f>
        <v/>
      </c>
      <c r="E1433" s="47"/>
      <c r="F1433" s="48" t="str">
        <f aca="false">IF(E1433="","",IFERROR(INDEX('Chart of Accounts'!$C$4:$C$200,MATCH(TEXT(E1433,"@"),TEXT('Chart of Accounts'!$B$4:$B$200,"@"),0)),"⚠ Not Found"))</f>
        <v/>
      </c>
      <c r="G1433" s="49"/>
      <c r="H1433" s="50"/>
      <c r="I1433" s="50"/>
      <c r="J1433" s="47"/>
    </row>
    <row r="1434" customFormat="false" ht="16.5" hidden="false" customHeight="true" outlineLevel="0" collapsed="false">
      <c r="B1434" s="37" t="str">
        <f aca="false">IF(C1434="","",ROW()-9)</f>
        <v/>
      </c>
      <c r="C1434" s="38"/>
      <c r="D1434" s="39" t="str">
        <f aca="false">IF(C1434="","",IFERROR(TEXT(C1434,"MMMM"),""))</f>
        <v/>
      </c>
      <c r="E1434" s="40"/>
      <c r="F1434" s="41" t="str">
        <f aca="false">IF(E1434="","",IFERROR(INDEX('Chart of Accounts'!$C$4:$C$200,MATCH(TEXT(E1434,"@"),TEXT('Chart of Accounts'!$B$4:$B$200,"@"),0)),"⚠ Not Found"))</f>
        <v/>
      </c>
      <c r="G1434" s="42"/>
      <c r="H1434" s="43"/>
      <c r="I1434" s="43"/>
      <c r="J1434" s="40"/>
    </row>
    <row r="1435" customFormat="false" ht="16.5" hidden="false" customHeight="true" outlineLevel="0" collapsed="false">
      <c r="B1435" s="44" t="str">
        <f aca="false">IF(C1435="","",ROW()-9)</f>
        <v/>
      </c>
      <c r="C1435" s="45"/>
      <c r="D1435" s="46" t="str">
        <f aca="false">IF(C1435="","",IFERROR(TEXT(C1435,"MMMM"),""))</f>
        <v/>
      </c>
      <c r="E1435" s="47"/>
      <c r="F1435" s="48" t="str">
        <f aca="false">IF(E1435="","",IFERROR(INDEX('Chart of Accounts'!$C$4:$C$200,MATCH(TEXT(E1435,"@"),TEXT('Chart of Accounts'!$B$4:$B$200,"@"),0)),"⚠ Not Found"))</f>
        <v/>
      </c>
      <c r="G1435" s="49"/>
      <c r="H1435" s="50"/>
      <c r="I1435" s="50"/>
      <c r="J1435" s="47"/>
    </row>
    <row r="1436" customFormat="false" ht="16.5" hidden="false" customHeight="true" outlineLevel="0" collapsed="false">
      <c r="B1436" s="37" t="str">
        <f aca="false">IF(C1436="","",ROW()-9)</f>
        <v/>
      </c>
      <c r="C1436" s="38"/>
      <c r="D1436" s="39" t="str">
        <f aca="false">IF(C1436="","",IFERROR(TEXT(C1436,"MMMM"),""))</f>
        <v/>
      </c>
      <c r="E1436" s="40"/>
      <c r="F1436" s="41" t="str">
        <f aca="false">IF(E1436="","",IFERROR(INDEX('Chart of Accounts'!$C$4:$C$200,MATCH(TEXT(E1436,"@"),TEXT('Chart of Accounts'!$B$4:$B$200,"@"),0)),"⚠ Not Found"))</f>
        <v/>
      </c>
      <c r="G1436" s="42"/>
      <c r="H1436" s="43"/>
      <c r="I1436" s="43"/>
      <c r="J1436" s="40"/>
    </row>
    <row r="1437" customFormat="false" ht="16.5" hidden="false" customHeight="true" outlineLevel="0" collapsed="false">
      <c r="B1437" s="44" t="str">
        <f aca="false">IF(C1437="","",ROW()-9)</f>
        <v/>
      </c>
      <c r="C1437" s="45"/>
      <c r="D1437" s="46" t="str">
        <f aca="false">IF(C1437="","",IFERROR(TEXT(C1437,"MMMM"),""))</f>
        <v/>
      </c>
      <c r="E1437" s="47"/>
      <c r="F1437" s="48" t="str">
        <f aca="false">IF(E1437="","",IFERROR(INDEX('Chart of Accounts'!$C$4:$C$200,MATCH(TEXT(E1437,"@"),TEXT('Chart of Accounts'!$B$4:$B$200,"@"),0)),"⚠ Not Found"))</f>
        <v/>
      </c>
      <c r="G1437" s="49"/>
      <c r="H1437" s="50"/>
      <c r="I1437" s="50"/>
      <c r="J1437" s="47"/>
    </row>
    <row r="1438" customFormat="false" ht="16.5" hidden="false" customHeight="true" outlineLevel="0" collapsed="false">
      <c r="B1438" s="37" t="str">
        <f aca="false">IF(C1438="","",ROW()-9)</f>
        <v/>
      </c>
      <c r="C1438" s="38"/>
      <c r="D1438" s="39" t="str">
        <f aca="false">IF(C1438="","",IFERROR(TEXT(C1438,"MMMM"),""))</f>
        <v/>
      </c>
      <c r="E1438" s="40"/>
      <c r="F1438" s="41" t="str">
        <f aca="false">IF(E1438="","",IFERROR(INDEX('Chart of Accounts'!$C$4:$C$200,MATCH(TEXT(E1438,"@"),TEXT('Chart of Accounts'!$B$4:$B$200,"@"),0)),"⚠ Not Found"))</f>
        <v/>
      </c>
      <c r="G1438" s="42"/>
      <c r="H1438" s="43"/>
      <c r="I1438" s="43"/>
      <c r="J1438" s="40"/>
    </row>
    <row r="1439" customFormat="false" ht="16.5" hidden="false" customHeight="true" outlineLevel="0" collapsed="false">
      <c r="B1439" s="44" t="str">
        <f aca="false">IF(C1439="","",ROW()-9)</f>
        <v/>
      </c>
      <c r="C1439" s="45"/>
      <c r="D1439" s="46" t="str">
        <f aca="false">IF(C1439="","",IFERROR(TEXT(C1439,"MMMM"),""))</f>
        <v/>
      </c>
      <c r="E1439" s="47"/>
      <c r="F1439" s="48" t="str">
        <f aca="false">IF(E1439="","",IFERROR(INDEX('Chart of Accounts'!$C$4:$C$200,MATCH(TEXT(E1439,"@"),TEXT('Chart of Accounts'!$B$4:$B$200,"@"),0)),"⚠ Not Found"))</f>
        <v/>
      </c>
      <c r="G1439" s="49"/>
      <c r="H1439" s="50"/>
      <c r="I1439" s="50"/>
      <c r="J1439" s="47"/>
    </row>
    <row r="1440" customFormat="false" ht="16.5" hidden="false" customHeight="true" outlineLevel="0" collapsed="false">
      <c r="B1440" s="37" t="str">
        <f aca="false">IF(C1440="","",ROW()-9)</f>
        <v/>
      </c>
      <c r="C1440" s="38"/>
      <c r="D1440" s="39" t="str">
        <f aca="false">IF(C1440="","",IFERROR(TEXT(C1440,"MMMM"),""))</f>
        <v/>
      </c>
      <c r="E1440" s="40"/>
      <c r="F1440" s="41" t="str">
        <f aca="false">IF(E1440="","",IFERROR(INDEX('Chart of Accounts'!$C$4:$C$200,MATCH(TEXT(E1440,"@"),TEXT('Chart of Accounts'!$B$4:$B$200,"@"),0)),"⚠ Not Found"))</f>
        <v/>
      </c>
      <c r="G1440" s="42"/>
      <c r="H1440" s="43"/>
      <c r="I1440" s="43"/>
      <c r="J1440" s="40"/>
    </row>
    <row r="1441" customFormat="false" ht="16.5" hidden="false" customHeight="true" outlineLevel="0" collapsed="false">
      <c r="B1441" s="44" t="str">
        <f aca="false">IF(C1441="","",ROW()-9)</f>
        <v/>
      </c>
      <c r="C1441" s="45"/>
      <c r="D1441" s="46" t="str">
        <f aca="false">IF(C1441="","",IFERROR(TEXT(C1441,"MMMM"),""))</f>
        <v/>
      </c>
      <c r="E1441" s="47"/>
      <c r="F1441" s="48" t="str">
        <f aca="false">IF(E1441="","",IFERROR(INDEX('Chart of Accounts'!$C$4:$C$200,MATCH(TEXT(E1441,"@"),TEXT('Chart of Accounts'!$B$4:$B$200,"@"),0)),"⚠ Not Found"))</f>
        <v/>
      </c>
      <c r="G1441" s="49"/>
      <c r="H1441" s="50"/>
      <c r="I1441" s="50"/>
      <c r="J1441" s="47"/>
    </row>
    <row r="1442" customFormat="false" ht="16.5" hidden="false" customHeight="true" outlineLevel="0" collapsed="false">
      <c r="B1442" s="37" t="str">
        <f aca="false">IF(C1442="","",ROW()-9)</f>
        <v/>
      </c>
      <c r="C1442" s="38"/>
      <c r="D1442" s="39" t="str">
        <f aca="false">IF(C1442="","",IFERROR(TEXT(C1442,"MMMM"),""))</f>
        <v/>
      </c>
      <c r="E1442" s="40"/>
      <c r="F1442" s="41" t="str">
        <f aca="false">IF(E1442="","",IFERROR(INDEX('Chart of Accounts'!$C$4:$C$200,MATCH(TEXT(E1442,"@"),TEXT('Chart of Accounts'!$B$4:$B$200,"@"),0)),"⚠ Not Found"))</f>
        <v/>
      </c>
      <c r="G1442" s="42"/>
      <c r="H1442" s="43"/>
      <c r="I1442" s="43"/>
      <c r="J1442" s="40"/>
    </row>
    <row r="1443" customFormat="false" ht="16.5" hidden="false" customHeight="true" outlineLevel="0" collapsed="false">
      <c r="B1443" s="44" t="str">
        <f aca="false">IF(C1443="","",ROW()-9)</f>
        <v/>
      </c>
      <c r="C1443" s="45"/>
      <c r="D1443" s="46" t="str">
        <f aca="false">IF(C1443="","",IFERROR(TEXT(C1443,"MMMM"),""))</f>
        <v/>
      </c>
      <c r="E1443" s="47"/>
      <c r="F1443" s="48" t="str">
        <f aca="false">IF(E1443="","",IFERROR(INDEX('Chart of Accounts'!$C$4:$C$200,MATCH(TEXT(E1443,"@"),TEXT('Chart of Accounts'!$B$4:$B$200,"@"),0)),"⚠ Not Found"))</f>
        <v/>
      </c>
      <c r="G1443" s="49"/>
      <c r="H1443" s="50"/>
      <c r="I1443" s="50"/>
      <c r="J1443" s="47"/>
    </row>
    <row r="1444" customFormat="false" ht="16.5" hidden="false" customHeight="true" outlineLevel="0" collapsed="false">
      <c r="B1444" s="37" t="str">
        <f aca="false">IF(C1444="","",ROW()-9)</f>
        <v/>
      </c>
      <c r="C1444" s="38"/>
      <c r="D1444" s="39" t="str">
        <f aca="false">IF(C1444="","",IFERROR(TEXT(C1444,"MMMM"),""))</f>
        <v/>
      </c>
      <c r="E1444" s="40"/>
      <c r="F1444" s="41" t="str">
        <f aca="false">IF(E1444="","",IFERROR(INDEX('Chart of Accounts'!$C$4:$C$200,MATCH(TEXT(E1444,"@"),TEXT('Chart of Accounts'!$B$4:$B$200,"@"),0)),"⚠ Not Found"))</f>
        <v/>
      </c>
      <c r="G1444" s="42"/>
      <c r="H1444" s="43"/>
      <c r="I1444" s="43"/>
      <c r="J1444" s="40"/>
    </row>
    <row r="1445" customFormat="false" ht="16.5" hidden="false" customHeight="true" outlineLevel="0" collapsed="false">
      <c r="B1445" s="44" t="str">
        <f aca="false">IF(C1445="","",ROW()-9)</f>
        <v/>
      </c>
      <c r="C1445" s="45"/>
      <c r="D1445" s="46" t="str">
        <f aca="false">IF(C1445="","",IFERROR(TEXT(C1445,"MMMM"),""))</f>
        <v/>
      </c>
      <c r="E1445" s="47"/>
      <c r="F1445" s="48" t="str">
        <f aca="false">IF(E1445="","",IFERROR(INDEX('Chart of Accounts'!$C$4:$C$200,MATCH(TEXT(E1445,"@"),TEXT('Chart of Accounts'!$B$4:$B$200,"@"),0)),"⚠ Not Found"))</f>
        <v/>
      </c>
      <c r="G1445" s="49"/>
      <c r="H1445" s="50"/>
      <c r="I1445" s="50"/>
      <c r="J1445" s="47"/>
    </row>
    <row r="1446" customFormat="false" ht="16.5" hidden="false" customHeight="true" outlineLevel="0" collapsed="false">
      <c r="B1446" s="37" t="str">
        <f aca="false">IF(C1446="","",ROW()-9)</f>
        <v/>
      </c>
      <c r="C1446" s="38"/>
      <c r="D1446" s="39" t="str">
        <f aca="false">IF(C1446="","",IFERROR(TEXT(C1446,"MMMM"),""))</f>
        <v/>
      </c>
      <c r="E1446" s="40"/>
      <c r="F1446" s="41" t="str">
        <f aca="false">IF(E1446="","",IFERROR(INDEX('Chart of Accounts'!$C$4:$C$200,MATCH(TEXT(E1446,"@"),TEXT('Chart of Accounts'!$B$4:$B$200,"@"),0)),"⚠ Not Found"))</f>
        <v/>
      </c>
      <c r="G1446" s="42"/>
      <c r="H1446" s="43"/>
      <c r="I1446" s="43"/>
      <c r="J1446" s="40"/>
    </row>
    <row r="1447" customFormat="false" ht="16.5" hidden="false" customHeight="true" outlineLevel="0" collapsed="false">
      <c r="B1447" s="44" t="str">
        <f aca="false">IF(C1447="","",ROW()-9)</f>
        <v/>
      </c>
      <c r="C1447" s="45"/>
      <c r="D1447" s="46" t="str">
        <f aca="false">IF(C1447="","",IFERROR(TEXT(C1447,"MMMM"),""))</f>
        <v/>
      </c>
      <c r="E1447" s="47"/>
      <c r="F1447" s="48" t="str">
        <f aca="false">IF(E1447="","",IFERROR(INDEX('Chart of Accounts'!$C$4:$C$200,MATCH(TEXT(E1447,"@"),TEXT('Chart of Accounts'!$B$4:$B$200,"@"),0)),"⚠ Not Found"))</f>
        <v/>
      </c>
      <c r="G1447" s="49"/>
      <c r="H1447" s="50"/>
      <c r="I1447" s="50"/>
      <c r="J1447" s="47"/>
    </row>
    <row r="1448" customFormat="false" ht="16.5" hidden="false" customHeight="true" outlineLevel="0" collapsed="false">
      <c r="B1448" s="37" t="str">
        <f aca="false">IF(C1448="","",ROW()-9)</f>
        <v/>
      </c>
      <c r="C1448" s="38"/>
      <c r="D1448" s="39" t="str">
        <f aca="false">IF(C1448="","",IFERROR(TEXT(C1448,"MMMM"),""))</f>
        <v/>
      </c>
      <c r="E1448" s="40"/>
      <c r="F1448" s="41" t="str">
        <f aca="false">IF(E1448="","",IFERROR(INDEX('Chart of Accounts'!$C$4:$C$200,MATCH(TEXT(E1448,"@"),TEXT('Chart of Accounts'!$B$4:$B$200,"@"),0)),"⚠ Not Found"))</f>
        <v/>
      </c>
      <c r="G1448" s="42"/>
      <c r="H1448" s="43"/>
      <c r="I1448" s="43"/>
      <c r="J1448" s="40"/>
    </row>
    <row r="1449" customFormat="false" ht="16.5" hidden="false" customHeight="true" outlineLevel="0" collapsed="false">
      <c r="B1449" s="44" t="str">
        <f aca="false">IF(C1449="","",ROW()-9)</f>
        <v/>
      </c>
      <c r="C1449" s="45"/>
      <c r="D1449" s="46" t="str">
        <f aca="false">IF(C1449="","",IFERROR(TEXT(C1449,"MMMM"),""))</f>
        <v/>
      </c>
      <c r="E1449" s="47"/>
      <c r="F1449" s="48" t="str">
        <f aca="false">IF(E1449="","",IFERROR(INDEX('Chart of Accounts'!$C$4:$C$200,MATCH(TEXT(E1449,"@"),TEXT('Chart of Accounts'!$B$4:$B$200,"@"),0)),"⚠ Not Found"))</f>
        <v/>
      </c>
      <c r="G1449" s="49"/>
      <c r="H1449" s="50"/>
      <c r="I1449" s="50"/>
      <c r="J1449" s="47"/>
    </row>
    <row r="1450" customFormat="false" ht="16.5" hidden="false" customHeight="true" outlineLevel="0" collapsed="false">
      <c r="B1450" s="37" t="str">
        <f aca="false">IF(C1450="","",ROW()-9)</f>
        <v/>
      </c>
      <c r="C1450" s="38"/>
      <c r="D1450" s="39" t="str">
        <f aca="false">IF(C1450="","",IFERROR(TEXT(C1450,"MMMM"),""))</f>
        <v/>
      </c>
      <c r="E1450" s="40"/>
      <c r="F1450" s="41" t="str">
        <f aca="false">IF(E1450="","",IFERROR(INDEX('Chart of Accounts'!$C$4:$C$200,MATCH(TEXT(E1450,"@"),TEXT('Chart of Accounts'!$B$4:$B$200,"@"),0)),"⚠ Not Found"))</f>
        <v/>
      </c>
      <c r="G1450" s="42"/>
      <c r="H1450" s="43"/>
      <c r="I1450" s="43"/>
      <c r="J1450" s="40"/>
    </row>
    <row r="1451" customFormat="false" ht="16.5" hidden="false" customHeight="true" outlineLevel="0" collapsed="false">
      <c r="B1451" s="44" t="str">
        <f aca="false">IF(C1451="","",ROW()-9)</f>
        <v/>
      </c>
      <c r="C1451" s="45"/>
      <c r="D1451" s="46" t="str">
        <f aca="false">IF(C1451="","",IFERROR(TEXT(C1451,"MMMM"),""))</f>
        <v/>
      </c>
      <c r="E1451" s="47"/>
      <c r="F1451" s="48" t="str">
        <f aca="false">IF(E1451="","",IFERROR(INDEX('Chart of Accounts'!$C$4:$C$200,MATCH(TEXT(E1451,"@"),TEXT('Chart of Accounts'!$B$4:$B$200,"@"),0)),"⚠ Not Found"))</f>
        <v/>
      </c>
      <c r="G1451" s="49"/>
      <c r="H1451" s="50"/>
      <c r="I1451" s="50"/>
      <c r="J1451" s="47"/>
    </row>
    <row r="1452" customFormat="false" ht="16.5" hidden="false" customHeight="true" outlineLevel="0" collapsed="false">
      <c r="B1452" s="37" t="str">
        <f aca="false">IF(C1452="","",ROW()-9)</f>
        <v/>
      </c>
      <c r="C1452" s="38"/>
      <c r="D1452" s="39" t="str">
        <f aca="false">IF(C1452="","",IFERROR(TEXT(C1452,"MMMM"),""))</f>
        <v/>
      </c>
      <c r="E1452" s="40"/>
      <c r="F1452" s="41" t="str">
        <f aca="false">IF(E1452="","",IFERROR(INDEX('Chart of Accounts'!$C$4:$C$200,MATCH(TEXT(E1452,"@"),TEXT('Chart of Accounts'!$B$4:$B$200,"@"),0)),"⚠ Not Found"))</f>
        <v/>
      </c>
      <c r="G1452" s="42"/>
      <c r="H1452" s="43"/>
      <c r="I1452" s="43"/>
      <c r="J1452" s="40"/>
    </row>
    <row r="1453" customFormat="false" ht="16.5" hidden="false" customHeight="true" outlineLevel="0" collapsed="false">
      <c r="B1453" s="44" t="str">
        <f aca="false">IF(C1453="","",ROW()-9)</f>
        <v/>
      </c>
      <c r="C1453" s="45"/>
      <c r="D1453" s="46" t="str">
        <f aca="false">IF(C1453="","",IFERROR(TEXT(C1453,"MMMM"),""))</f>
        <v/>
      </c>
      <c r="E1453" s="47"/>
      <c r="F1453" s="48" t="str">
        <f aca="false">IF(E1453="","",IFERROR(INDEX('Chart of Accounts'!$C$4:$C$200,MATCH(TEXT(E1453,"@"),TEXT('Chart of Accounts'!$B$4:$B$200,"@"),0)),"⚠ Not Found"))</f>
        <v/>
      </c>
      <c r="G1453" s="49"/>
      <c r="H1453" s="50"/>
      <c r="I1453" s="50"/>
      <c r="J1453" s="47"/>
    </row>
    <row r="1454" customFormat="false" ht="16.5" hidden="false" customHeight="true" outlineLevel="0" collapsed="false">
      <c r="B1454" s="37" t="str">
        <f aca="false">IF(C1454="","",ROW()-9)</f>
        <v/>
      </c>
      <c r="C1454" s="38"/>
      <c r="D1454" s="39" t="str">
        <f aca="false">IF(C1454="","",IFERROR(TEXT(C1454,"MMMM"),""))</f>
        <v/>
      </c>
      <c r="E1454" s="40"/>
      <c r="F1454" s="41" t="str">
        <f aca="false">IF(E1454="","",IFERROR(INDEX('Chart of Accounts'!$C$4:$C$200,MATCH(TEXT(E1454,"@"),TEXT('Chart of Accounts'!$B$4:$B$200,"@"),0)),"⚠ Not Found"))</f>
        <v/>
      </c>
      <c r="G1454" s="42"/>
      <c r="H1454" s="43"/>
      <c r="I1454" s="43"/>
      <c r="J1454" s="40"/>
    </row>
    <row r="1455" customFormat="false" ht="16.5" hidden="false" customHeight="true" outlineLevel="0" collapsed="false">
      <c r="B1455" s="44" t="str">
        <f aca="false">IF(C1455="","",ROW()-9)</f>
        <v/>
      </c>
      <c r="C1455" s="45"/>
      <c r="D1455" s="46" t="str">
        <f aca="false">IF(C1455="","",IFERROR(TEXT(C1455,"MMMM"),""))</f>
        <v/>
      </c>
      <c r="E1455" s="47"/>
      <c r="F1455" s="48" t="str">
        <f aca="false">IF(E1455="","",IFERROR(INDEX('Chart of Accounts'!$C$4:$C$200,MATCH(TEXT(E1455,"@"),TEXT('Chart of Accounts'!$B$4:$B$200,"@"),0)),"⚠ Not Found"))</f>
        <v/>
      </c>
      <c r="G1455" s="49"/>
      <c r="H1455" s="50"/>
      <c r="I1455" s="50"/>
      <c r="J1455" s="47"/>
    </row>
    <row r="1456" customFormat="false" ht="16.5" hidden="false" customHeight="true" outlineLevel="0" collapsed="false">
      <c r="B1456" s="37" t="str">
        <f aca="false">IF(C1456="","",ROW()-9)</f>
        <v/>
      </c>
      <c r="C1456" s="38"/>
      <c r="D1456" s="39" t="str">
        <f aca="false">IF(C1456="","",IFERROR(TEXT(C1456,"MMMM"),""))</f>
        <v/>
      </c>
      <c r="E1456" s="40"/>
      <c r="F1456" s="41" t="str">
        <f aca="false">IF(E1456="","",IFERROR(INDEX('Chart of Accounts'!$C$4:$C$200,MATCH(TEXT(E1456,"@"),TEXT('Chart of Accounts'!$B$4:$B$200,"@"),0)),"⚠ Not Found"))</f>
        <v/>
      </c>
      <c r="G1456" s="42"/>
      <c r="H1456" s="43"/>
      <c r="I1456" s="43"/>
      <c r="J1456" s="40"/>
    </row>
    <row r="1457" customFormat="false" ht="16.5" hidden="false" customHeight="true" outlineLevel="0" collapsed="false">
      <c r="B1457" s="44" t="str">
        <f aca="false">IF(C1457="","",ROW()-9)</f>
        <v/>
      </c>
      <c r="C1457" s="45"/>
      <c r="D1457" s="46" t="str">
        <f aca="false">IF(C1457="","",IFERROR(TEXT(C1457,"MMMM"),""))</f>
        <v/>
      </c>
      <c r="E1457" s="47"/>
      <c r="F1457" s="48" t="str">
        <f aca="false">IF(E1457="","",IFERROR(INDEX('Chart of Accounts'!$C$4:$C$200,MATCH(TEXT(E1457,"@"),TEXT('Chart of Accounts'!$B$4:$B$200,"@"),0)),"⚠ Not Found"))</f>
        <v/>
      </c>
      <c r="G1457" s="49"/>
      <c r="H1457" s="50"/>
      <c r="I1457" s="50"/>
      <c r="J1457" s="47"/>
    </row>
    <row r="1458" customFormat="false" ht="16.5" hidden="false" customHeight="true" outlineLevel="0" collapsed="false">
      <c r="B1458" s="37" t="str">
        <f aca="false">IF(C1458="","",ROW()-9)</f>
        <v/>
      </c>
      <c r="C1458" s="38"/>
      <c r="D1458" s="39" t="str">
        <f aca="false">IF(C1458="","",IFERROR(TEXT(C1458,"MMMM"),""))</f>
        <v/>
      </c>
      <c r="E1458" s="40"/>
      <c r="F1458" s="41" t="str">
        <f aca="false">IF(E1458="","",IFERROR(INDEX('Chart of Accounts'!$C$4:$C$200,MATCH(TEXT(E1458,"@"),TEXT('Chart of Accounts'!$B$4:$B$200,"@"),0)),"⚠ Not Found"))</f>
        <v/>
      </c>
      <c r="G1458" s="42"/>
      <c r="H1458" s="43"/>
      <c r="I1458" s="43"/>
      <c r="J1458" s="40"/>
    </row>
    <row r="1459" customFormat="false" ht="16.5" hidden="false" customHeight="true" outlineLevel="0" collapsed="false">
      <c r="B1459" s="44" t="str">
        <f aca="false">IF(C1459="","",ROW()-9)</f>
        <v/>
      </c>
      <c r="C1459" s="45"/>
      <c r="D1459" s="46" t="str">
        <f aca="false">IF(C1459="","",IFERROR(TEXT(C1459,"MMMM"),""))</f>
        <v/>
      </c>
      <c r="E1459" s="47"/>
      <c r="F1459" s="48" t="str">
        <f aca="false">IF(E1459="","",IFERROR(INDEX('Chart of Accounts'!$C$4:$C$200,MATCH(TEXT(E1459,"@"),TEXT('Chart of Accounts'!$B$4:$B$200,"@"),0)),"⚠ Not Found"))</f>
        <v/>
      </c>
      <c r="G1459" s="49"/>
      <c r="H1459" s="50"/>
      <c r="I1459" s="50"/>
      <c r="J1459" s="47"/>
    </row>
    <row r="1460" customFormat="false" ht="16.5" hidden="false" customHeight="true" outlineLevel="0" collapsed="false">
      <c r="B1460" s="37" t="str">
        <f aca="false">IF(C1460="","",ROW()-9)</f>
        <v/>
      </c>
      <c r="C1460" s="38"/>
      <c r="D1460" s="39" t="str">
        <f aca="false">IF(C1460="","",IFERROR(TEXT(C1460,"MMMM"),""))</f>
        <v/>
      </c>
      <c r="E1460" s="40"/>
      <c r="F1460" s="41" t="str">
        <f aca="false">IF(E1460="","",IFERROR(INDEX('Chart of Accounts'!$C$4:$C$200,MATCH(TEXT(E1460,"@"),TEXT('Chart of Accounts'!$B$4:$B$200,"@"),0)),"⚠ Not Found"))</f>
        <v/>
      </c>
      <c r="G1460" s="42"/>
      <c r="H1460" s="43"/>
      <c r="I1460" s="43"/>
      <c r="J1460" s="40"/>
    </row>
    <row r="1461" customFormat="false" ht="16.5" hidden="false" customHeight="true" outlineLevel="0" collapsed="false">
      <c r="B1461" s="44" t="str">
        <f aca="false">IF(C1461="","",ROW()-9)</f>
        <v/>
      </c>
      <c r="C1461" s="45"/>
      <c r="D1461" s="46" t="str">
        <f aca="false">IF(C1461="","",IFERROR(TEXT(C1461,"MMMM"),""))</f>
        <v/>
      </c>
      <c r="E1461" s="47"/>
      <c r="F1461" s="48" t="str">
        <f aca="false">IF(E1461="","",IFERROR(INDEX('Chart of Accounts'!$C$4:$C$200,MATCH(TEXT(E1461,"@"),TEXT('Chart of Accounts'!$B$4:$B$200,"@"),0)),"⚠ Not Found"))</f>
        <v/>
      </c>
      <c r="G1461" s="49"/>
      <c r="H1461" s="50"/>
      <c r="I1461" s="50"/>
      <c r="J1461" s="47"/>
    </row>
    <row r="1462" customFormat="false" ht="16.5" hidden="false" customHeight="true" outlineLevel="0" collapsed="false">
      <c r="B1462" s="37" t="str">
        <f aca="false">IF(C1462="","",ROW()-9)</f>
        <v/>
      </c>
      <c r="C1462" s="38"/>
      <c r="D1462" s="39" t="str">
        <f aca="false">IF(C1462="","",IFERROR(TEXT(C1462,"MMMM"),""))</f>
        <v/>
      </c>
      <c r="E1462" s="40"/>
      <c r="F1462" s="41" t="str">
        <f aca="false">IF(E1462="","",IFERROR(INDEX('Chart of Accounts'!$C$4:$C$200,MATCH(TEXT(E1462,"@"),TEXT('Chart of Accounts'!$B$4:$B$200,"@"),0)),"⚠ Not Found"))</f>
        <v/>
      </c>
      <c r="G1462" s="42"/>
      <c r="H1462" s="43"/>
      <c r="I1462" s="43"/>
      <c r="J1462" s="40"/>
    </row>
    <row r="1463" customFormat="false" ht="16.5" hidden="false" customHeight="true" outlineLevel="0" collapsed="false">
      <c r="B1463" s="44" t="str">
        <f aca="false">IF(C1463="","",ROW()-9)</f>
        <v/>
      </c>
      <c r="C1463" s="45"/>
      <c r="D1463" s="46" t="str">
        <f aca="false">IF(C1463="","",IFERROR(TEXT(C1463,"MMMM"),""))</f>
        <v/>
      </c>
      <c r="E1463" s="47"/>
      <c r="F1463" s="48" t="str">
        <f aca="false">IF(E1463="","",IFERROR(INDEX('Chart of Accounts'!$C$4:$C$200,MATCH(TEXT(E1463,"@"),TEXT('Chart of Accounts'!$B$4:$B$200,"@"),0)),"⚠ Not Found"))</f>
        <v/>
      </c>
      <c r="G1463" s="49"/>
      <c r="H1463" s="50"/>
      <c r="I1463" s="50"/>
      <c r="J1463" s="47"/>
    </row>
    <row r="1464" customFormat="false" ht="16.5" hidden="false" customHeight="true" outlineLevel="0" collapsed="false">
      <c r="B1464" s="37" t="str">
        <f aca="false">IF(C1464="","",ROW()-9)</f>
        <v/>
      </c>
      <c r="C1464" s="38"/>
      <c r="D1464" s="39" t="str">
        <f aca="false">IF(C1464="","",IFERROR(TEXT(C1464,"MMMM"),""))</f>
        <v/>
      </c>
      <c r="E1464" s="40"/>
      <c r="F1464" s="41" t="str">
        <f aca="false">IF(E1464="","",IFERROR(INDEX('Chart of Accounts'!$C$4:$C$200,MATCH(TEXT(E1464,"@"),TEXT('Chart of Accounts'!$B$4:$B$200,"@"),0)),"⚠ Not Found"))</f>
        <v/>
      </c>
      <c r="G1464" s="42"/>
      <c r="H1464" s="43"/>
      <c r="I1464" s="43"/>
      <c r="J1464" s="40"/>
    </row>
    <row r="1465" customFormat="false" ht="16.5" hidden="false" customHeight="true" outlineLevel="0" collapsed="false">
      <c r="B1465" s="44" t="str">
        <f aca="false">IF(C1465="","",ROW()-9)</f>
        <v/>
      </c>
      <c r="C1465" s="45"/>
      <c r="D1465" s="46" t="str">
        <f aca="false">IF(C1465="","",IFERROR(TEXT(C1465,"MMMM"),""))</f>
        <v/>
      </c>
      <c r="E1465" s="47"/>
      <c r="F1465" s="48" t="str">
        <f aca="false">IF(E1465="","",IFERROR(INDEX('Chart of Accounts'!$C$4:$C$200,MATCH(TEXT(E1465,"@"),TEXT('Chart of Accounts'!$B$4:$B$200,"@"),0)),"⚠ Not Found"))</f>
        <v/>
      </c>
      <c r="G1465" s="49"/>
      <c r="H1465" s="50"/>
      <c r="I1465" s="50"/>
      <c r="J1465" s="47"/>
    </row>
    <row r="1466" customFormat="false" ht="16.5" hidden="false" customHeight="true" outlineLevel="0" collapsed="false">
      <c r="B1466" s="37" t="str">
        <f aca="false">IF(C1466="","",ROW()-9)</f>
        <v/>
      </c>
      <c r="C1466" s="38"/>
      <c r="D1466" s="39" t="str">
        <f aca="false">IF(C1466="","",IFERROR(TEXT(C1466,"MMMM"),""))</f>
        <v/>
      </c>
      <c r="E1466" s="40"/>
      <c r="F1466" s="41" t="str">
        <f aca="false">IF(E1466="","",IFERROR(INDEX('Chart of Accounts'!$C$4:$C$200,MATCH(TEXT(E1466,"@"),TEXT('Chart of Accounts'!$B$4:$B$200,"@"),0)),"⚠ Not Found"))</f>
        <v/>
      </c>
      <c r="G1466" s="42"/>
      <c r="H1466" s="43"/>
      <c r="I1466" s="43"/>
      <c r="J1466" s="40"/>
    </row>
    <row r="1467" customFormat="false" ht="16.5" hidden="false" customHeight="true" outlineLevel="0" collapsed="false">
      <c r="B1467" s="44" t="str">
        <f aca="false">IF(C1467="","",ROW()-9)</f>
        <v/>
      </c>
      <c r="C1467" s="45"/>
      <c r="D1467" s="46" t="str">
        <f aca="false">IF(C1467="","",IFERROR(TEXT(C1467,"MMMM"),""))</f>
        <v/>
      </c>
      <c r="E1467" s="47"/>
      <c r="F1467" s="48" t="str">
        <f aca="false">IF(E1467="","",IFERROR(INDEX('Chart of Accounts'!$C$4:$C$200,MATCH(TEXT(E1467,"@"),TEXT('Chart of Accounts'!$B$4:$B$200,"@"),0)),"⚠ Not Found"))</f>
        <v/>
      </c>
      <c r="G1467" s="49"/>
      <c r="H1467" s="50"/>
      <c r="I1467" s="50"/>
      <c r="J1467" s="47"/>
    </row>
    <row r="1468" customFormat="false" ht="16.5" hidden="false" customHeight="true" outlineLevel="0" collapsed="false">
      <c r="B1468" s="37" t="str">
        <f aca="false">IF(C1468="","",ROW()-9)</f>
        <v/>
      </c>
      <c r="C1468" s="38"/>
      <c r="D1468" s="39" t="str">
        <f aca="false">IF(C1468="","",IFERROR(TEXT(C1468,"MMMM"),""))</f>
        <v/>
      </c>
      <c r="E1468" s="40"/>
      <c r="F1468" s="41" t="str">
        <f aca="false">IF(E1468="","",IFERROR(INDEX('Chart of Accounts'!$C$4:$C$200,MATCH(TEXT(E1468,"@"),TEXT('Chart of Accounts'!$B$4:$B$200,"@"),0)),"⚠ Not Found"))</f>
        <v/>
      </c>
      <c r="G1468" s="42"/>
      <c r="H1468" s="43"/>
      <c r="I1468" s="43"/>
      <c r="J1468" s="40"/>
    </row>
    <row r="1469" customFormat="false" ht="16.5" hidden="false" customHeight="true" outlineLevel="0" collapsed="false">
      <c r="B1469" s="44" t="str">
        <f aca="false">IF(C1469="","",ROW()-9)</f>
        <v/>
      </c>
      <c r="C1469" s="45"/>
      <c r="D1469" s="46" t="str">
        <f aca="false">IF(C1469="","",IFERROR(TEXT(C1469,"MMMM"),""))</f>
        <v/>
      </c>
      <c r="E1469" s="47"/>
      <c r="F1469" s="48" t="str">
        <f aca="false">IF(E1469="","",IFERROR(INDEX('Chart of Accounts'!$C$4:$C$200,MATCH(TEXT(E1469,"@"),TEXT('Chart of Accounts'!$B$4:$B$200,"@"),0)),"⚠ Not Found"))</f>
        <v/>
      </c>
      <c r="G1469" s="49"/>
      <c r="H1469" s="50"/>
      <c r="I1469" s="50"/>
      <c r="J1469" s="47"/>
    </row>
    <row r="1470" customFormat="false" ht="16.5" hidden="false" customHeight="true" outlineLevel="0" collapsed="false">
      <c r="B1470" s="37" t="str">
        <f aca="false">IF(C1470="","",ROW()-9)</f>
        <v/>
      </c>
      <c r="C1470" s="38"/>
      <c r="D1470" s="39" t="str">
        <f aca="false">IF(C1470="","",IFERROR(TEXT(C1470,"MMMM"),""))</f>
        <v/>
      </c>
      <c r="E1470" s="40"/>
      <c r="F1470" s="41" t="str">
        <f aca="false">IF(E1470="","",IFERROR(INDEX('Chart of Accounts'!$C$4:$C$200,MATCH(TEXT(E1470,"@"),TEXT('Chart of Accounts'!$B$4:$B$200,"@"),0)),"⚠ Not Found"))</f>
        <v/>
      </c>
      <c r="G1470" s="42"/>
      <c r="H1470" s="43"/>
      <c r="I1470" s="43"/>
      <c r="J1470" s="40"/>
    </row>
    <row r="1471" customFormat="false" ht="16.5" hidden="false" customHeight="true" outlineLevel="0" collapsed="false">
      <c r="B1471" s="44" t="str">
        <f aca="false">IF(C1471="","",ROW()-9)</f>
        <v/>
      </c>
      <c r="C1471" s="45"/>
      <c r="D1471" s="46" t="str">
        <f aca="false">IF(C1471="","",IFERROR(TEXT(C1471,"MMMM"),""))</f>
        <v/>
      </c>
      <c r="E1471" s="47"/>
      <c r="F1471" s="48" t="str">
        <f aca="false">IF(E1471="","",IFERROR(INDEX('Chart of Accounts'!$C$4:$C$200,MATCH(TEXT(E1471,"@"),TEXT('Chart of Accounts'!$B$4:$B$200,"@"),0)),"⚠ Not Found"))</f>
        <v/>
      </c>
      <c r="G1471" s="49"/>
      <c r="H1471" s="50"/>
      <c r="I1471" s="50"/>
      <c r="J1471" s="47"/>
    </row>
    <row r="1472" customFormat="false" ht="16.5" hidden="false" customHeight="true" outlineLevel="0" collapsed="false">
      <c r="B1472" s="37" t="str">
        <f aca="false">IF(C1472="","",ROW()-9)</f>
        <v/>
      </c>
      <c r="C1472" s="38"/>
      <c r="D1472" s="39" t="str">
        <f aca="false">IF(C1472="","",IFERROR(TEXT(C1472,"MMMM"),""))</f>
        <v/>
      </c>
      <c r="E1472" s="40"/>
      <c r="F1472" s="41" t="str">
        <f aca="false">IF(E1472="","",IFERROR(INDEX('Chart of Accounts'!$C$4:$C$200,MATCH(TEXT(E1472,"@"),TEXT('Chart of Accounts'!$B$4:$B$200,"@"),0)),"⚠ Not Found"))</f>
        <v/>
      </c>
      <c r="G1472" s="42"/>
      <c r="H1472" s="43"/>
      <c r="I1472" s="43"/>
      <c r="J1472" s="40"/>
    </row>
    <row r="1473" customFormat="false" ht="16.5" hidden="false" customHeight="true" outlineLevel="0" collapsed="false">
      <c r="B1473" s="44" t="str">
        <f aca="false">IF(C1473="","",ROW()-9)</f>
        <v/>
      </c>
      <c r="C1473" s="45"/>
      <c r="D1473" s="46" t="str">
        <f aca="false">IF(C1473="","",IFERROR(TEXT(C1473,"MMMM"),""))</f>
        <v/>
      </c>
      <c r="E1473" s="47"/>
      <c r="F1473" s="48" t="str">
        <f aca="false">IF(E1473="","",IFERROR(INDEX('Chart of Accounts'!$C$4:$C$200,MATCH(TEXT(E1473,"@"),TEXT('Chart of Accounts'!$B$4:$B$200,"@"),0)),"⚠ Not Found"))</f>
        <v/>
      </c>
      <c r="G1473" s="49"/>
      <c r="H1473" s="50"/>
      <c r="I1473" s="50"/>
      <c r="J1473" s="47"/>
    </row>
    <row r="1474" customFormat="false" ht="16.5" hidden="false" customHeight="true" outlineLevel="0" collapsed="false">
      <c r="B1474" s="37" t="str">
        <f aca="false">IF(C1474="","",ROW()-9)</f>
        <v/>
      </c>
      <c r="C1474" s="38"/>
      <c r="D1474" s="39" t="str">
        <f aca="false">IF(C1474="","",IFERROR(TEXT(C1474,"MMMM"),""))</f>
        <v/>
      </c>
      <c r="E1474" s="40"/>
      <c r="F1474" s="41" t="str">
        <f aca="false">IF(E1474="","",IFERROR(INDEX('Chart of Accounts'!$C$4:$C$200,MATCH(TEXT(E1474,"@"),TEXT('Chart of Accounts'!$B$4:$B$200,"@"),0)),"⚠ Not Found"))</f>
        <v/>
      </c>
      <c r="G1474" s="42"/>
      <c r="H1474" s="43"/>
      <c r="I1474" s="43"/>
      <c r="J1474" s="40"/>
    </row>
    <row r="1475" customFormat="false" ht="16.5" hidden="false" customHeight="true" outlineLevel="0" collapsed="false">
      <c r="B1475" s="44" t="str">
        <f aca="false">IF(C1475="","",ROW()-9)</f>
        <v/>
      </c>
      <c r="C1475" s="45"/>
      <c r="D1475" s="46" t="str">
        <f aca="false">IF(C1475="","",IFERROR(TEXT(C1475,"MMMM"),""))</f>
        <v/>
      </c>
      <c r="E1475" s="47"/>
      <c r="F1475" s="48" t="str">
        <f aca="false">IF(E1475="","",IFERROR(INDEX('Chart of Accounts'!$C$4:$C$200,MATCH(TEXT(E1475,"@"),TEXT('Chart of Accounts'!$B$4:$B$200,"@"),0)),"⚠ Not Found"))</f>
        <v/>
      </c>
      <c r="G1475" s="49"/>
      <c r="H1475" s="50"/>
      <c r="I1475" s="50"/>
      <c r="J1475" s="47"/>
    </row>
    <row r="1476" customFormat="false" ht="16.5" hidden="false" customHeight="true" outlineLevel="0" collapsed="false">
      <c r="B1476" s="37" t="str">
        <f aca="false">IF(C1476="","",ROW()-9)</f>
        <v/>
      </c>
      <c r="C1476" s="38"/>
      <c r="D1476" s="39" t="str">
        <f aca="false">IF(C1476="","",IFERROR(TEXT(C1476,"MMMM"),""))</f>
        <v/>
      </c>
      <c r="E1476" s="40"/>
      <c r="F1476" s="41" t="str">
        <f aca="false">IF(E1476="","",IFERROR(INDEX('Chart of Accounts'!$C$4:$C$200,MATCH(TEXT(E1476,"@"),TEXT('Chart of Accounts'!$B$4:$B$200,"@"),0)),"⚠ Not Found"))</f>
        <v/>
      </c>
      <c r="G1476" s="42"/>
      <c r="H1476" s="43"/>
      <c r="I1476" s="43"/>
      <c r="J1476" s="40"/>
    </row>
    <row r="1477" customFormat="false" ht="16.5" hidden="false" customHeight="true" outlineLevel="0" collapsed="false">
      <c r="B1477" s="44" t="str">
        <f aca="false">IF(C1477="","",ROW()-9)</f>
        <v/>
      </c>
      <c r="C1477" s="45"/>
      <c r="D1477" s="46" t="str">
        <f aca="false">IF(C1477="","",IFERROR(TEXT(C1477,"MMMM"),""))</f>
        <v/>
      </c>
      <c r="E1477" s="47"/>
      <c r="F1477" s="48" t="str">
        <f aca="false">IF(E1477="","",IFERROR(INDEX('Chart of Accounts'!$C$4:$C$200,MATCH(TEXT(E1477,"@"),TEXT('Chart of Accounts'!$B$4:$B$200,"@"),0)),"⚠ Not Found"))</f>
        <v/>
      </c>
      <c r="G1477" s="49"/>
      <c r="H1477" s="50"/>
      <c r="I1477" s="50"/>
      <c r="J1477" s="47"/>
    </row>
    <row r="1478" customFormat="false" ht="16.5" hidden="false" customHeight="true" outlineLevel="0" collapsed="false">
      <c r="B1478" s="37" t="str">
        <f aca="false">IF(C1478="","",ROW()-9)</f>
        <v/>
      </c>
      <c r="C1478" s="38"/>
      <c r="D1478" s="39" t="str">
        <f aca="false">IF(C1478="","",IFERROR(TEXT(C1478,"MMMM"),""))</f>
        <v/>
      </c>
      <c r="E1478" s="40"/>
      <c r="F1478" s="41" t="str">
        <f aca="false">IF(E1478="","",IFERROR(INDEX('Chart of Accounts'!$C$4:$C$200,MATCH(TEXT(E1478,"@"),TEXT('Chart of Accounts'!$B$4:$B$200,"@"),0)),"⚠ Not Found"))</f>
        <v/>
      </c>
      <c r="G1478" s="42"/>
      <c r="H1478" s="43"/>
      <c r="I1478" s="43"/>
      <c r="J1478" s="40"/>
    </row>
    <row r="1479" customFormat="false" ht="16.5" hidden="false" customHeight="true" outlineLevel="0" collapsed="false">
      <c r="B1479" s="44" t="str">
        <f aca="false">IF(C1479="","",ROW()-9)</f>
        <v/>
      </c>
      <c r="C1479" s="45"/>
      <c r="D1479" s="46" t="str">
        <f aca="false">IF(C1479="","",IFERROR(TEXT(C1479,"MMMM"),""))</f>
        <v/>
      </c>
      <c r="E1479" s="47"/>
      <c r="F1479" s="48" t="str">
        <f aca="false">IF(E1479="","",IFERROR(INDEX('Chart of Accounts'!$C$4:$C$200,MATCH(TEXT(E1479,"@"),TEXT('Chart of Accounts'!$B$4:$B$200,"@"),0)),"⚠ Not Found"))</f>
        <v/>
      </c>
      <c r="G1479" s="49"/>
      <c r="H1479" s="50"/>
      <c r="I1479" s="50"/>
      <c r="J1479" s="47"/>
    </row>
    <row r="1480" customFormat="false" ht="16.5" hidden="false" customHeight="true" outlineLevel="0" collapsed="false">
      <c r="B1480" s="37" t="str">
        <f aca="false">IF(C1480="","",ROW()-9)</f>
        <v/>
      </c>
      <c r="C1480" s="38"/>
      <c r="D1480" s="39" t="str">
        <f aca="false">IF(C1480="","",IFERROR(TEXT(C1480,"MMMM"),""))</f>
        <v/>
      </c>
      <c r="E1480" s="40"/>
      <c r="F1480" s="41" t="str">
        <f aca="false">IF(E1480="","",IFERROR(INDEX('Chart of Accounts'!$C$4:$C$200,MATCH(TEXT(E1480,"@"),TEXT('Chart of Accounts'!$B$4:$B$200,"@"),0)),"⚠ Not Found"))</f>
        <v/>
      </c>
      <c r="G1480" s="42"/>
      <c r="H1480" s="43"/>
      <c r="I1480" s="43"/>
      <c r="J1480" s="40"/>
    </row>
    <row r="1481" customFormat="false" ht="16.5" hidden="false" customHeight="true" outlineLevel="0" collapsed="false">
      <c r="B1481" s="44" t="str">
        <f aca="false">IF(C1481="","",ROW()-9)</f>
        <v/>
      </c>
      <c r="C1481" s="45"/>
      <c r="D1481" s="46" t="str">
        <f aca="false">IF(C1481="","",IFERROR(TEXT(C1481,"MMMM"),""))</f>
        <v/>
      </c>
      <c r="E1481" s="47"/>
      <c r="F1481" s="48" t="str">
        <f aca="false">IF(E1481="","",IFERROR(INDEX('Chart of Accounts'!$C$4:$C$200,MATCH(TEXT(E1481,"@"),TEXT('Chart of Accounts'!$B$4:$B$200,"@"),0)),"⚠ Not Found"))</f>
        <v/>
      </c>
      <c r="G1481" s="49"/>
      <c r="H1481" s="50"/>
      <c r="I1481" s="50"/>
      <c r="J1481" s="47"/>
    </row>
    <row r="1482" customFormat="false" ht="16.5" hidden="false" customHeight="true" outlineLevel="0" collapsed="false">
      <c r="B1482" s="37" t="str">
        <f aca="false">IF(C1482="","",ROW()-9)</f>
        <v/>
      </c>
      <c r="C1482" s="38"/>
      <c r="D1482" s="39" t="str">
        <f aca="false">IF(C1482="","",IFERROR(TEXT(C1482,"MMMM"),""))</f>
        <v/>
      </c>
      <c r="E1482" s="40"/>
      <c r="F1482" s="41" t="str">
        <f aca="false">IF(E1482="","",IFERROR(INDEX('Chart of Accounts'!$C$4:$C$200,MATCH(TEXT(E1482,"@"),TEXT('Chart of Accounts'!$B$4:$B$200,"@"),0)),"⚠ Not Found"))</f>
        <v/>
      </c>
      <c r="G1482" s="42"/>
      <c r="H1482" s="43"/>
      <c r="I1482" s="43"/>
      <c r="J1482" s="40"/>
    </row>
    <row r="1483" customFormat="false" ht="16.5" hidden="false" customHeight="true" outlineLevel="0" collapsed="false">
      <c r="B1483" s="44" t="str">
        <f aca="false">IF(C1483="","",ROW()-9)</f>
        <v/>
      </c>
      <c r="C1483" s="45"/>
      <c r="D1483" s="46" t="str">
        <f aca="false">IF(C1483="","",IFERROR(TEXT(C1483,"MMMM"),""))</f>
        <v/>
      </c>
      <c r="E1483" s="47"/>
      <c r="F1483" s="48" t="str">
        <f aca="false">IF(E1483="","",IFERROR(INDEX('Chart of Accounts'!$C$4:$C$200,MATCH(TEXT(E1483,"@"),TEXT('Chart of Accounts'!$B$4:$B$200,"@"),0)),"⚠ Not Found"))</f>
        <v/>
      </c>
      <c r="G1483" s="49"/>
      <c r="H1483" s="50"/>
      <c r="I1483" s="50"/>
      <c r="J1483" s="47"/>
    </row>
    <row r="1484" customFormat="false" ht="16.5" hidden="false" customHeight="true" outlineLevel="0" collapsed="false">
      <c r="B1484" s="37" t="str">
        <f aca="false">IF(C1484="","",ROW()-9)</f>
        <v/>
      </c>
      <c r="C1484" s="38"/>
      <c r="D1484" s="39" t="str">
        <f aca="false">IF(C1484="","",IFERROR(TEXT(C1484,"MMMM"),""))</f>
        <v/>
      </c>
      <c r="E1484" s="40"/>
      <c r="F1484" s="41" t="str">
        <f aca="false">IF(E1484="","",IFERROR(INDEX('Chart of Accounts'!$C$4:$C$200,MATCH(TEXT(E1484,"@"),TEXT('Chart of Accounts'!$B$4:$B$200,"@"),0)),"⚠ Not Found"))</f>
        <v/>
      </c>
      <c r="G1484" s="42"/>
      <c r="H1484" s="43"/>
      <c r="I1484" s="43"/>
      <c r="J1484" s="40"/>
    </row>
    <row r="1485" customFormat="false" ht="16.5" hidden="false" customHeight="true" outlineLevel="0" collapsed="false">
      <c r="B1485" s="44" t="str">
        <f aca="false">IF(C1485="","",ROW()-9)</f>
        <v/>
      </c>
      <c r="C1485" s="45"/>
      <c r="D1485" s="46" t="str">
        <f aca="false">IF(C1485="","",IFERROR(TEXT(C1485,"MMMM"),""))</f>
        <v/>
      </c>
      <c r="E1485" s="47"/>
      <c r="F1485" s="48" t="str">
        <f aca="false">IF(E1485="","",IFERROR(INDEX('Chart of Accounts'!$C$4:$C$200,MATCH(TEXT(E1485,"@"),TEXT('Chart of Accounts'!$B$4:$B$200,"@"),0)),"⚠ Not Found"))</f>
        <v/>
      </c>
      <c r="G1485" s="49"/>
      <c r="H1485" s="50"/>
      <c r="I1485" s="50"/>
      <c r="J1485" s="47"/>
    </row>
    <row r="1486" customFormat="false" ht="16.5" hidden="false" customHeight="true" outlineLevel="0" collapsed="false">
      <c r="B1486" s="37" t="str">
        <f aca="false">IF(C1486="","",ROW()-9)</f>
        <v/>
      </c>
      <c r="C1486" s="38"/>
      <c r="D1486" s="39" t="str">
        <f aca="false">IF(C1486="","",IFERROR(TEXT(C1486,"MMMM"),""))</f>
        <v/>
      </c>
      <c r="E1486" s="40"/>
      <c r="F1486" s="41" t="str">
        <f aca="false">IF(E1486="","",IFERROR(INDEX('Chart of Accounts'!$C$4:$C$200,MATCH(TEXT(E1486,"@"),TEXT('Chart of Accounts'!$B$4:$B$200,"@"),0)),"⚠ Not Found"))</f>
        <v/>
      </c>
      <c r="G1486" s="42"/>
      <c r="H1486" s="43"/>
      <c r="I1486" s="43"/>
      <c r="J1486" s="40"/>
    </row>
    <row r="1487" customFormat="false" ht="16.5" hidden="false" customHeight="true" outlineLevel="0" collapsed="false">
      <c r="B1487" s="44" t="str">
        <f aca="false">IF(C1487="","",ROW()-9)</f>
        <v/>
      </c>
      <c r="C1487" s="45"/>
      <c r="D1487" s="46" t="str">
        <f aca="false">IF(C1487="","",IFERROR(TEXT(C1487,"MMMM"),""))</f>
        <v/>
      </c>
      <c r="E1487" s="47"/>
      <c r="F1487" s="48" t="str">
        <f aca="false">IF(E1487="","",IFERROR(INDEX('Chart of Accounts'!$C$4:$C$200,MATCH(TEXT(E1487,"@"),TEXT('Chart of Accounts'!$B$4:$B$200,"@"),0)),"⚠ Not Found"))</f>
        <v/>
      </c>
      <c r="G1487" s="49"/>
      <c r="H1487" s="50"/>
      <c r="I1487" s="50"/>
      <c r="J1487" s="47"/>
    </row>
    <row r="1488" customFormat="false" ht="16.5" hidden="false" customHeight="true" outlineLevel="0" collapsed="false">
      <c r="B1488" s="37" t="str">
        <f aca="false">IF(C1488="","",ROW()-9)</f>
        <v/>
      </c>
      <c r="C1488" s="38"/>
      <c r="D1488" s="39" t="str">
        <f aca="false">IF(C1488="","",IFERROR(TEXT(C1488,"MMMM"),""))</f>
        <v/>
      </c>
      <c r="E1488" s="40"/>
      <c r="F1488" s="41" t="str">
        <f aca="false">IF(E1488="","",IFERROR(INDEX('Chart of Accounts'!$C$4:$C$200,MATCH(TEXT(E1488,"@"),TEXT('Chart of Accounts'!$B$4:$B$200,"@"),0)),"⚠ Not Found"))</f>
        <v/>
      </c>
      <c r="G1488" s="42"/>
      <c r="H1488" s="43"/>
      <c r="I1488" s="43"/>
      <c r="J1488" s="40"/>
    </row>
    <row r="1489" customFormat="false" ht="16.5" hidden="false" customHeight="true" outlineLevel="0" collapsed="false">
      <c r="B1489" s="44" t="str">
        <f aca="false">IF(C1489="","",ROW()-9)</f>
        <v/>
      </c>
      <c r="C1489" s="45"/>
      <c r="D1489" s="46" t="str">
        <f aca="false">IF(C1489="","",IFERROR(TEXT(C1489,"MMMM"),""))</f>
        <v/>
      </c>
      <c r="E1489" s="47"/>
      <c r="F1489" s="48" t="str">
        <f aca="false">IF(E1489="","",IFERROR(INDEX('Chart of Accounts'!$C$4:$C$200,MATCH(TEXT(E1489,"@"),TEXT('Chart of Accounts'!$B$4:$B$200,"@"),0)),"⚠ Not Found"))</f>
        <v/>
      </c>
      <c r="G1489" s="49"/>
      <c r="H1489" s="50"/>
      <c r="I1489" s="50"/>
      <c r="J1489" s="47"/>
    </row>
    <row r="1490" customFormat="false" ht="16.5" hidden="false" customHeight="true" outlineLevel="0" collapsed="false">
      <c r="B1490" s="37" t="str">
        <f aca="false">IF(C1490="","",ROW()-9)</f>
        <v/>
      </c>
      <c r="C1490" s="38"/>
      <c r="D1490" s="39" t="str">
        <f aca="false">IF(C1490="","",IFERROR(TEXT(C1490,"MMMM"),""))</f>
        <v/>
      </c>
      <c r="E1490" s="40"/>
      <c r="F1490" s="41" t="str">
        <f aca="false">IF(E1490="","",IFERROR(INDEX('Chart of Accounts'!$C$4:$C$200,MATCH(TEXT(E1490,"@"),TEXT('Chart of Accounts'!$B$4:$B$200,"@"),0)),"⚠ Not Found"))</f>
        <v/>
      </c>
      <c r="G1490" s="42"/>
      <c r="H1490" s="43"/>
      <c r="I1490" s="43"/>
      <c r="J1490" s="40"/>
    </row>
    <row r="1491" customFormat="false" ht="16.5" hidden="false" customHeight="true" outlineLevel="0" collapsed="false">
      <c r="B1491" s="44" t="str">
        <f aca="false">IF(C1491="","",ROW()-9)</f>
        <v/>
      </c>
      <c r="C1491" s="45"/>
      <c r="D1491" s="46" t="str">
        <f aca="false">IF(C1491="","",IFERROR(TEXT(C1491,"MMMM"),""))</f>
        <v/>
      </c>
      <c r="E1491" s="47"/>
      <c r="F1491" s="48" t="str">
        <f aca="false">IF(E1491="","",IFERROR(INDEX('Chart of Accounts'!$C$4:$C$200,MATCH(TEXT(E1491,"@"),TEXT('Chart of Accounts'!$B$4:$B$200,"@"),0)),"⚠ Not Found"))</f>
        <v/>
      </c>
      <c r="G1491" s="49"/>
      <c r="H1491" s="50"/>
      <c r="I1491" s="50"/>
      <c r="J1491" s="47"/>
    </row>
    <row r="1492" customFormat="false" ht="16.5" hidden="false" customHeight="true" outlineLevel="0" collapsed="false">
      <c r="B1492" s="37" t="str">
        <f aca="false">IF(C1492="","",ROW()-9)</f>
        <v/>
      </c>
      <c r="C1492" s="38"/>
      <c r="D1492" s="39" t="str">
        <f aca="false">IF(C1492="","",IFERROR(TEXT(C1492,"MMMM"),""))</f>
        <v/>
      </c>
      <c r="E1492" s="40"/>
      <c r="F1492" s="41" t="str">
        <f aca="false">IF(E1492="","",IFERROR(INDEX('Chart of Accounts'!$C$4:$C$200,MATCH(TEXT(E1492,"@"),TEXT('Chart of Accounts'!$B$4:$B$200,"@"),0)),"⚠ Not Found"))</f>
        <v/>
      </c>
      <c r="G1492" s="42"/>
      <c r="H1492" s="43"/>
      <c r="I1492" s="43"/>
      <c r="J1492" s="40"/>
    </row>
    <row r="1493" customFormat="false" ht="16.5" hidden="false" customHeight="true" outlineLevel="0" collapsed="false">
      <c r="B1493" s="44" t="str">
        <f aca="false">IF(C1493="","",ROW()-9)</f>
        <v/>
      </c>
      <c r="C1493" s="45"/>
      <c r="D1493" s="46" t="str">
        <f aca="false">IF(C1493="","",IFERROR(TEXT(C1493,"MMMM"),""))</f>
        <v/>
      </c>
      <c r="E1493" s="47"/>
      <c r="F1493" s="48" t="str">
        <f aca="false">IF(E1493="","",IFERROR(INDEX('Chart of Accounts'!$C$4:$C$200,MATCH(TEXT(E1493,"@"),TEXT('Chart of Accounts'!$B$4:$B$200,"@"),0)),"⚠ Not Found"))</f>
        <v/>
      </c>
      <c r="G1493" s="49"/>
      <c r="H1493" s="50"/>
      <c r="I1493" s="50"/>
      <c r="J1493" s="47"/>
    </row>
    <row r="1494" customFormat="false" ht="16.5" hidden="false" customHeight="true" outlineLevel="0" collapsed="false">
      <c r="B1494" s="37" t="str">
        <f aca="false">IF(C1494="","",ROW()-9)</f>
        <v/>
      </c>
      <c r="C1494" s="38"/>
      <c r="D1494" s="39" t="str">
        <f aca="false">IF(C1494="","",IFERROR(TEXT(C1494,"MMMM"),""))</f>
        <v/>
      </c>
      <c r="E1494" s="40"/>
      <c r="F1494" s="41" t="str">
        <f aca="false">IF(E1494="","",IFERROR(INDEX('Chart of Accounts'!$C$4:$C$200,MATCH(TEXT(E1494,"@"),TEXT('Chart of Accounts'!$B$4:$B$200,"@"),0)),"⚠ Not Found"))</f>
        <v/>
      </c>
      <c r="G1494" s="42"/>
      <c r="H1494" s="43"/>
      <c r="I1494" s="43"/>
      <c r="J1494" s="40"/>
    </row>
    <row r="1495" customFormat="false" ht="16.5" hidden="false" customHeight="true" outlineLevel="0" collapsed="false">
      <c r="B1495" s="44" t="str">
        <f aca="false">IF(C1495="","",ROW()-9)</f>
        <v/>
      </c>
      <c r="C1495" s="45"/>
      <c r="D1495" s="46" t="str">
        <f aca="false">IF(C1495="","",IFERROR(TEXT(C1495,"MMMM"),""))</f>
        <v/>
      </c>
      <c r="E1495" s="47"/>
      <c r="F1495" s="48" t="str">
        <f aca="false">IF(E1495="","",IFERROR(INDEX('Chart of Accounts'!$C$4:$C$200,MATCH(TEXT(E1495,"@"),TEXT('Chart of Accounts'!$B$4:$B$200,"@"),0)),"⚠ Not Found"))</f>
        <v/>
      </c>
      <c r="G1495" s="49"/>
      <c r="H1495" s="50"/>
      <c r="I1495" s="50"/>
      <c r="J1495" s="47"/>
    </row>
    <row r="1496" customFormat="false" ht="16.5" hidden="false" customHeight="true" outlineLevel="0" collapsed="false">
      <c r="B1496" s="37" t="str">
        <f aca="false">IF(C1496="","",ROW()-9)</f>
        <v/>
      </c>
      <c r="C1496" s="38"/>
      <c r="D1496" s="39" t="str">
        <f aca="false">IF(C1496="","",IFERROR(TEXT(C1496,"MMMM"),""))</f>
        <v/>
      </c>
      <c r="E1496" s="40"/>
      <c r="F1496" s="41" t="str">
        <f aca="false">IF(E1496="","",IFERROR(INDEX('Chart of Accounts'!$C$4:$C$200,MATCH(TEXT(E1496,"@"),TEXT('Chart of Accounts'!$B$4:$B$200,"@"),0)),"⚠ Not Found"))</f>
        <v/>
      </c>
      <c r="G1496" s="42"/>
      <c r="H1496" s="43"/>
      <c r="I1496" s="43"/>
      <c r="J1496" s="40"/>
    </row>
    <row r="1497" customFormat="false" ht="16.5" hidden="false" customHeight="true" outlineLevel="0" collapsed="false">
      <c r="B1497" s="44" t="str">
        <f aca="false">IF(C1497="","",ROW()-9)</f>
        <v/>
      </c>
      <c r="C1497" s="45"/>
      <c r="D1497" s="46" t="str">
        <f aca="false">IF(C1497="","",IFERROR(TEXT(C1497,"MMMM"),""))</f>
        <v/>
      </c>
      <c r="E1497" s="47"/>
      <c r="F1497" s="48" t="str">
        <f aca="false">IF(E1497="","",IFERROR(INDEX('Chart of Accounts'!$C$4:$C$200,MATCH(TEXT(E1497,"@"),TEXT('Chart of Accounts'!$B$4:$B$200,"@"),0)),"⚠ Not Found"))</f>
        <v/>
      </c>
      <c r="G1497" s="49"/>
      <c r="H1497" s="50"/>
      <c r="I1497" s="50"/>
      <c r="J1497" s="47"/>
    </row>
    <row r="1498" customFormat="false" ht="16.5" hidden="false" customHeight="true" outlineLevel="0" collapsed="false">
      <c r="B1498" s="37" t="str">
        <f aca="false">IF(C1498="","",ROW()-9)</f>
        <v/>
      </c>
      <c r="C1498" s="38"/>
      <c r="D1498" s="39" t="str">
        <f aca="false">IF(C1498="","",IFERROR(TEXT(C1498,"MMMM"),""))</f>
        <v/>
      </c>
      <c r="E1498" s="40"/>
      <c r="F1498" s="41" t="str">
        <f aca="false">IF(E1498="","",IFERROR(INDEX('Chart of Accounts'!$C$4:$C$200,MATCH(TEXT(E1498,"@"),TEXT('Chart of Accounts'!$B$4:$B$200,"@"),0)),"⚠ Not Found"))</f>
        <v/>
      </c>
      <c r="G1498" s="42"/>
      <c r="H1498" s="43"/>
      <c r="I1498" s="43"/>
      <c r="J1498" s="40"/>
    </row>
    <row r="1499" customFormat="false" ht="16.5" hidden="false" customHeight="true" outlineLevel="0" collapsed="false">
      <c r="B1499" s="44" t="str">
        <f aca="false">IF(C1499="","",ROW()-9)</f>
        <v/>
      </c>
      <c r="C1499" s="45"/>
      <c r="D1499" s="46" t="str">
        <f aca="false">IF(C1499="","",IFERROR(TEXT(C1499,"MMMM"),""))</f>
        <v/>
      </c>
      <c r="E1499" s="47"/>
      <c r="F1499" s="48" t="str">
        <f aca="false">IF(E1499="","",IFERROR(INDEX('Chart of Accounts'!$C$4:$C$200,MATCH(TEXT(E1499,"@"),TEXT('Chart of Accounts'!$B$4:$B$200,"@"),0)),"⚠ Not Found"))</f>
        <v/>
      </c>
      <c r="G1499" s="49"/>
      <c r="H1499" s="50"/>
      <c r="I1499" s="50"/>
      <c r="J1499" s="47"/>
    </row>
    <row r="1500" customFormat="false" ht="16.5" hidden="false" customHeight="true" outlineLevel="0" collapsed="false">
      <c r="B1500" s="37" t="str">
        <f aca="false">IF(C1500="","",ROW()-9)</f>
        <v/>
      </c>
      <c r="C1500" s="38"/>
      <c r="D1500" s="39" t="str">
        <f aca="false">IF(C1500="","",IFERROR(TEXT(C1500,"MMMM"),""))</f>
        <v/>
      </c>
      <c r="E1500" s="40"/>
      <c r="F1500" s="41" t="str">
        <f aca="false">IF(E1500="","",IFERROR(INDEX('Chart of Accounts'!$C$4:$C$200,MATCH(TEXT(E1500,"@"),TEXT('Chart of Accounts'!$B$4:$B$200,"@"),0)),"⚠ Not Found"))</f>
        <v/>
      </c>
      <c r="G1500" s="42"/>
      <c r="H1500" s="43"/>
      <c r="I1500" s="43"/>
      <c r="J1500" s="40"/>
    </row>
    <row r="1501" customFormat="false" ht="16.5" hidden="false" customHeight="true" outlineLevel="0" collapsed="false">
      <c r="B1501" s="44" t="str">
        <f aca="false">IF(C1501="","",ROW()-9)</f>
        <v/>
      </c>
      <c r="C1501" s="45"/>
      <c r="D1501" s="46" t="str">
        <f aca="false">IF(C1501="","",IFERROR(TEXT(C1501,"MMMM"),""))</f>
        <v/>
      </c>
      <c r="E1501" s="47"/>
      <c r="F1501" s="48" t="str">
        <f aca="false">IF(E1501="","",IFERROR(INDEX('Chart of Accounts'!$C$4:$C$200,MATCH(TEXT(E1501,"@"),TEXT('Chart of Accounts'!$B$4:$B$200,"@"),0)),"⚠ Not Found"))</f>
        <v/>
      </c>
      <c r="G1501" s="49"/>
      <c r="H1501" s="50"/>
      <c r="I1501" s="50"/>
      <c r="J1501" s="47"/>
    </row>
    <row r="1502" customFormat="false" ht="16.5" hidden="false" customHeight="true" outlineLevel="0" collapsed="false">
      <c r="B1502" s="37" t="str">
        <f aca="false">IF(C1502="","",ROW()-9)</f>
        <v/>
      </c>
      <c r="C1502" s="38"/>
      <c r="D1502" s="39" t="str">
        <f aca="false">IF(C1502="","",IFERROR(TEXT(C1502,"MMMM"),""))</f>
        <v/>
      </c>
      <c r="E1502" s="40"/>
      <c r="F1502" s="41" t="str">
        <f aca="false">IF(E1502="","",IFERROR(INDEX('Chart of Accounts'!$C$4:$C$200,MATCH(TEXT(E1502,"@"),TEXT('Chart of Accounts'!$B$4:$B$200,"@"),0)),"⚠ Not Found"))</f>
        <v/>
      </c>
      <c r="G1502" s="42"/>
      <c r="H1502" s="43"/>
      <c r="I1502" s="43"/>
      <c r="J1502" s="40"/>
    </row>
    <row r="1503" customFormat="false" ht="16.5" hidden="false" customHeight="true" outlineLevel="0" collapsed="false">
      <c r="B1503" s="44" t="str">
        <f aca="false">IF(C1503="","",ROW()-9)</f>
        <v/>
      </c>
      <c r="C1503" s="45"/>
      <c r="D1503" s="46" t="str">
        <f aca="false">IF(C1503="","",IFERROR(TEXT(C1503,"MMMM"),""))</f>
        <v/>
      </c>
      <c r="E1503" s="47"/>
      <c r="F1503" s="48" t="str">
        <f aca="false">IF(E1503="","",IFERROR(INDEX('Chart of Accounts'!$C$4:$C$200,MATCH(TEXT(E1503,"@"),TEXT('Chart of Accounts'!$B$4:$B$200,"@"),0)),"⚠ Not Found"))</f>
        <v/>
      </c>
      <c r="G1503" s="49"/>
      <c r="H1503" s="50"/>
      <c r="I1503" s="50"/>
      <c r="J1503" s="47"/>
    </row>
    <row r="1504" customFormat="false" ht="16.5" hidden="false" customHeight="true" outlineLevel="0" collapsed="false">
      <c r="B1504" s="37" t="str">
        <f aca="false">IF(C1504="","",ROW()-9)</f>
        <v/>
      </c>
      <c r="C1504" s="38"/>
      <c r="D1504" s="39" t="str">
        <f aca="false">IF(C1504="","",IFERROR(TEXT(C1504,"MMMM"),""))</f>
        <v/>
      </c>
      <c r="E1504" s="40"/>
      <c r="F1504" s="41" t="str">
        <f aca="false">IF(E1504="","",IFERROR(INDEX('Chart of Accounts'!$C$4:$C$200,MATCH(TEXT(E1504,"@"),TEXT('Chart of Accounts'!$B$4:$B$200,"@"),0)),"⚠ Not Found"))</f>
        <v/>
      </c>
      <c r="G1504" s="42"/>
      <c r="H1504" s="43"/>
      <c r="I1504" s="43"/>
      <c r="J1504" s="40"/>
    </row>
    <row r="1505" customFormat="false" ht="16.5" hidden="false" customHeight="true" outlineLevel="0" collapsed="false">
      <c r="B1505" s="44" t="str">
        <f aca="false">IF(C1505="","",ROW()-9)</f>
        <v/>
      </c>
      <c r="C1505" s="45"/>
      <c r="D1505" s="46" t="str">
        <f aca="false">IF(C1505="","",IFERROR(TEXT(C1505,"MMMM"),""))</f>
        <v/>
      </c>
      <c r="E1505" s="47"/>
      <c r="F1505" s="48" t="str">
        <f aca="false">IF(E1505="","",IFERROR(INDEX('Chart of Accounts'!$C$4:$C$200,MATCH(TEXT(E1505,"@"),TEXT('Chart of Accounts'!$B$4:$B$200,"@"),0)),"⚠ Not Found"))</f>
        <v/>
      </c>
      <c r="G1505" s="49"/>
      <c r="H1505" s="50"/>
      <c r="I1505" s="50"/>
      <c r="J1505" s="47"/>
    </row>
    <row r="1506" customFormat="false" ht="16.5" hidden="false" customHeight="true" outlineLevel="0" collapsed="false">
      <c r="B1506" s="37" t="str">
        <f aca="false">IF(C1506="","",ROW()-9)</f>
        <v/>
      </c>
      <c r="C1506" s="38"/>
      <c r="D1506" s="39" t="str">
        <f aca="false">IF(C1506="","",IFERROR(TEXT(C1506,"MMMM"),""))</f>
        <v/>
      </c>
      <c r="E1506" s="40"/>
      <c r="F1506" s="41" t="str">
        <f aca="false">IF(E1506="","",IFERROR(INDEX('Chart of Accounts'!$C$4:$C$200,MATCH(TEXT(E1506,"@"),TEXT('Chart of Accounts'!$B$4:$B$200,"@"),0)),"⚠ Not Found"))</f>
        <v/>
      </c>
      <c r="G1506" s="42"/>
      <c r="H1506" s="43"/>
      <c r="I1506" s="43"/>
      <c r="J1506" s="40"/>
    </row>
    <row r="1507" customFormat="false" ht="16.5" hidden="false" customHeight="true" outlineLevel="0" collapsed="false">
      <c r="B1507" s="44" t="str">
        <f aca="false">IF(C1507="","",ROW()-9)</f>
        <v/>
      </c>
      <c r="C1507" s="45"/>
      <c r="D1507" s="46" t="str">
        <f aca="false">IF(C1507="","",IFERROR(TEXT(C1507,"MMMM"),""))</f>
        <v/>
      </c>
      <c r="E1507" s="47"/>
      <c r="F1507" s="48" t="str">
        <f aca="false">IF(E1507="","",IFERROR(INDEX('Chart of Accounts'!$C$4:$C$200,MATCH(TEXT(E1507,"@"),TEXT('Chart of Accounts'!$B$4:$B$200,"@"),0)),"⚠ Not Found"))</f>
        <v/>
      </c>
      <c r="G1507" s="49"/>
      <c r="H1507" s="50"/>
      <c r="I1507" s="50"/>
      <c r="J1507" s="47"/>
    </row>
    <row r="1508" customFormat="false" ht="16.5" hidden="false" customHeight="true" outlineLevel="0" collapsed="false">
      <c r="B1508" s="37" t="str">
        <f aca="false">IF(C1508="","",ROW()-9)</f>
        <v/>
      </c>
      <c r="C1508" s="38"/>
      <c r="D1508" s="39" t="str">
        <f aca="false">IF(C1508="","",IFERROR(TEXT(C1508,"MMMM"),""))</f>
        <v/>
      </c>
      <c r="E1508" s="40"/>
      <c r="F1508" s="41" t="str">
        <f aca="false">IF(E1508="","",IFERROR(INDEX('Chart of Accounts'!$C$4:$C$200,MATCH(TEXT(E1508,"@"),TEXT('Chart of Accounts'!$B$4:$B$200,"@"),0)),"⚠ Not Found"))</f>
        <v/>
      </c>
      <c r="G1508" s="42"/>
      <c r="H1508" s="43"/>
      <c r="I1508" s="43"/>
      <c r="J1508" s="40"/>
    </row>
    <row r="1509" customFormat="false" ht="16.5" hidden="false" customHeight="true" outlineLevel="0" collapsed="false">
      <c r="B1509" s="44" t="str">
        <f aca="false">IF(C1509="","",ROW()-9)</f>
        <v/>
      </c>
      <c r="C1509" s="45"/>
      <c r="D1509" s="46" t="str">
        <f aca="false">IF(C1509="","",IFERROR(TEXT(C1509,"MMMM"),""))</f>
        <v/>
      </c>
      <c r="E1509" s="47"/>
      <c r="F1509" s="48" t="str">
        <f aca="false">IF(E1509="","",IFERROR(INDEX('Chart of Accounts'!$C$4:$C$200,MATCH(TEXT(E1509,"@"),TEXT('Chart of Accounts'!$B$4:$B$200,"@"),0)),"⚠ Not Found"))</f>
        <v/>
      </c>
      <c r="G1509" s="49"/>
      <c r="H1509" s="50"/>
      <c r="I1509" s="50"/>
      <c r="J1509" s="47"/>
    </row>
    <row r="1510" customFormat="false" ht="16.5" hidden="false" customHeight="true" outlineLevel="0" collapsed="false">
      <c r="B1510" s="37" t="str">
        <f aca="false">IF(C1510="","",ROW()-9)</f>
        <v/>
      </c>
      <c r="C1510" s="38"/>
      <c r="D1510" s="39" t="str">
        <f aca="false">IF(C1510="","",IFERROR(TEXT(C1510,"MMMM"),""))</f>
        <v/>
      </c>
      <c r="E1510" s="40"/>
      <c r="F1510" s="41" t="str">
        <f aca="false">IF(E1510="","",IFERROR(INDEX('Chart of Accounts'!$C$4:$C$200,MATCH(TEXT(E1510,"@"),TEXT('Chart of Accounts'!$B$4:$B$200,"@"),0)),"⚠ Not Found"))</f>
        <v/>
      </c>
      <c r="G1510" s="42"/>
      <c r="H1510" s="43"/>
      <c r="I1510" s="43"/>
      <c r="J1510" s="40"/>
    </row>
    <row r="1511" customFormat="false" ht="16.5" hidden="false" customHeight="true" outlineLevel="0" collapsed="false">
      <c r="B1511" s="44" t="str">
        <f aca="false">IF(C1511="","",ROW()-9)</f>
        <v/>
      </c>
      <c r="C1511" s="45"/>
      <c r="D1511" s="46" t="str">
        <f aca="false">IF(C1511="","",IFERROR(TEXT(C1511,"MMMM"),""))</f>
        <v/>
      </c>
      <c r="E1511" s="47"/>
      <c r="F1511" s="48" t="str">
        <f aca="false">IF(E1511="","",IFERROR(INDEX('Chart of Accounts'!$C$4:$C$200,MATCH(TEXT(E1511,"@"),TEXT('Chart of Accounts'!$B$4:$B$200,"@"),0)),"⚠ Not Found"))</f>
        <v/>
      </c>
      <c r="G1511" s="49"/>
      <c r="H1511" s="50"/>
      <c r="I1511" s="50"/>
      <c r="J1511" s="47"/>
    </row>
    <row r="1512" customFormat="false" ht="16.5" hidden="false" customHeight="true" outlineLevel="0" collapsed="false">
      <c r="B1512" s="37" t="str">
        <f aca="false">IF(C1512="","",ROW()-9)</f>
        <v/>
      </c>
      <c r="C1512" s="38"/>
      <c r="D1512" s="39" t="str">
        <f aca="false">IF(C1512="","",IFERROR(TEXT(C1512,"MMMM"),""))</f>
        <v/>
      </c>
      <c r="E1512" s="40"/>
      <c r="F1512" s="41" t="str">
        <f aca="false">IF(E1512="","",IFERROR(INDEX('Chart of Accounts'!$C$4:$C$200,MATCH(TEXT(E1512,"@"),TEXT('Chart of Accounts'!$B$4:$B$200,"@"),0)),"⚠ Not Found"))</f>
        <v/>
      </c>
      <c r="G1512" s="42"/>
      <c r="H1512" s="43"/>
      <c r="I1512" s="43"/>
      <c r="J1512" s="40"/>
    </row>
    <row r="1513" customFormat="false" ht="16.5" hidden="false" customHeight="true" outlineLevel="0" collapsed="false">
      <c r="B1513" s="44" t="str">
        <f aca="false">IF(C1513="","",ROW()-9)</f>
        <v/>
      </c>
      <c r="C1513" s="45"/>
      <c r="D1513" s="46" t="str">
        <f aca="false">IF(C1513="","",IFERROR(TEXT(C1513,"MMMM"),""))</f>
        <v/>
      </c>
      <c r="E1513" s="47"/>
      <c r="F1513" s="48" t="str">
        <f aca="false">IF(E1513="","",IFERROR(INDEX('Chart of Accounts'!$C$4:$C$200,MATCH(TEXT(E1513,"@"),TEXT('Chart of Accounts'!$B$4:$B$200,"@"),0)),"⚠ Not Found"))</f>
        <v/>
      </c>
      <c r="G1513" s="49"/>
      <c r="H1513" s="50"/>
      <c r="I1513" s="50"/>
      <c r="J1513" s="47"/>
    </row>
    <row r="1514" customFormat="false" ht="16.5" hidden="false" customHeight="true" outlineLevel="0" collapsed="false">
      <c r="B1514" s="37" t="str">
        <f aca="false">IF(C1514="","",ROW()-9)</f>
        <v/>
      </c>
      <c r="C1514" s="38"/>
      <c r="D1514" s="39" t="str">
        <f aca="false">IF(C1514="","",IFERROR(TEXT(C1514,"MMMM"),""))</f>
        <v/>
      </c>
      <c r="E1514" s="40"/>
      <c r="F1514" s="41" t="str">
        <f aca="false">IF(E1514="","",IFERROR(INDEX('Chart of Accounts'!$C$4:$C$200,MATCH(TEXT(E1514,"@"),TEXT('Chart of Accounts'!$B$4:$B$200,"@"),0)),"⚠ Not Found"))</f>
        <v/>
      </c>
      <c r="G1514" s="42"/>
      <c r="H1514" s="43"/>
      <c r="I1514" s="43"/>
      <c r="J1514" s="40"/>
    </row>
    <row r="1515" customFormat="false" ht="16.5" hidden="false" customHeight="true" outlineLevel="0" collapsed="false">
      <c r="B1515" s="44" t="str">
        <f aca="false">IF(C1515="","",ROW()-9)</f>
        <v/>
      </c>
      <c r="C1515" s="45"/>
      <c r="D1515" s="46" t="str">
        <f aca="false">IF(C1515="","",IFERROR(TEXT(C1515,"MMMM"),""))</f>
        <v/>
      </c>
      <c r="E1515" s="47"/>
      <c r="F1515" s="48" t="str">
        <f aca="false">IF(E1515="","",IFERROR(INDEX('Chart of Accounts'!$C$4:$C$200,MATCH(TEXT(E1515,"@"),TEXT('Chart of Accounts'!$B$4:$B$200,"@"),0)),"⚠ Not Found"))</f>
        <v/>
      </c>
      <c r="G1515" s="49"/>
      <c r="H1515" s="50"/>
      <c r="I1515" s="50"/>
      <c r="J1515" s="47"/>
    </row>
    <row r="1516" customFormat="false" ht="16.5" hidden="false" customHeight="true" outlineLevel="0" collapsed="false">
      <c r="B1516" s="37" t="str">
        <f aca="false">IF(C1516="","",ROW()-9)</f>
        <v/>
      </c>
      <c r="C1516" s="38"/>
      <c r="D1516" s="39" t="str">
        <f aca="false">IF(C1516="","",IFERROR(TEXT(C1516,"MMMM"),""))</f>
        <v/>
      </c>
      <c r="E1516" s="40"/>
      <c r="F1516" s="41" t="str">
        <f aca="false">IF(E1516="","",IFERROR(INDEX('Chart of Accounts'!$C$4:$C$200,MATCH(TEXT(E1516,"@"),TEXT('Chart of Accounts'!$B$4:$B$200,"@"),0)),"⚠ Not Found"))</f>
        <v/>
      </c>
      <c r="G1516" s="42"/>
      <c r="H1516" s="43"/>
      <c r="I1516" s="43"/>
      <c r="J1516" s="40"/>
    </row>
    <row r="1517" customFormat="false" ht="16.5" hidden="false" customHeight="true" outlineLevel="0" collapsed="false">
      <c r="B1517" s="44" t="str">
        <f aca="false">IF(C1517="","",ROW()-9)</f>
        <v/>
      </c>
      <c r="C1517" s="45"/>
      <c r="D1517" s="46" t="str">
        <f aca="false">IF(C1517="","",IFERROR(TEXT(C1517,"MMMM"),""))</f>
        <v/>
      </c>
      <c r="E1517" s="47"/>
      <c r="F1517" s="48" t="str">
        <f aca="false">IF(E1517="","",IFERROR(INDEX('Chart of Accounts'!$C$4:$C$200,MATCH(TEXT(E1517,"@"),TEXT('Chart of Accounts'!$B$4:$B$200,"@"),0)),"⚠ Not Found"))</f>
        <v/>
      </c>
      <c r="G1517" s="49"/>
      <c r="H1517" s="50"/>
      <c r="I1517" s="50"/>
      <c r="J1517" s="47"/>
    </row>
    <row r="1518" customFormat="false" ht="16.5" hidden="false" customHeight="true" outlineLevel="0" collapsed="false">
      <c r="B1518" s="37" t="str">
        <f aca="false">IF(C1518="","",ROW()-9)</f>
        <v/>
      </c>
      <c r="C1518" s="38"/>
      <c r="D1518" s="39" t="str">
        <f aca="false">IF(C1518="","",IFERROR(TEXT(C1518,"MMMM"),""))</f>
        <v/>
      </c>
      <c r="E1518" s="40"/>
      <c r="F1518" s="41" t="str">
        <f aca="false">IF(E1518="","",IFERROR(INDEX('Chart of Accounts'!$C$4:$C$200,MATCH(TEXT(E1518,"@"),TEXT('Chart of Accounts'!$B$4:$B$200,"@"),0)),"⚠ Not Found"))</f>
        <v/>
      </c>
      <c r="G1518" s="42"/>
      <c r="H1518" s="43"/>
      <c r="I1518" s="43"/>
      <c r="J1518" s="40"/>
    </row>
    <row r="1519" customFormat="false" ht="16.5" hidden="false" customHeight="true" outlineLevel="0" collapsed="false">
      <c r="B1519" s="44" t="str">
        <f aca="false">IF(C1519="","",ROW()-9)</f>
        <v/>
      </c>
      <c r="C1519" s="45"/>
      <c r="D1519" s="46" t="str">
        <f aca="false">IF(C1519="","",IFERROR(TEXT(C1519,"MMMM"),""))</f>
        <v/>
      </c>
      <c r="E1519" s="47"/>
      <c r="F1519" s="48" t="str">
        <f aca="false">IF(E1519="","",IFERROR(INDEX('Chart of Accounts'!$C$4:$C$200,MATCH(TEXT(E1519,"@"),TEXT('Chart of Accounts'!$B$4:$B$200,"@"),0)),"⚠ Not Found"))</f>
        <v/>
      </c>
      <c r="G1519" s="49"/>
      <c r="H1519" s="50"/>
      <c r="I1519" s="50"/>
      <c r="J1519" s="47"/>
    </row>
    <row r="1520" customFormat="false" ht="16.5" hidden="false" customHeight="true" outlineLevel="0" collapsed="false">
      <c r="B1520" s="37" t="str">
        <f aca="false">IF(C1520="","",ROW()-9)</f>
        <v/>
      </c>
      <c r="C1520" s="38"/>
      <c r="D1520" s="39" t="str">
        <f aca="false">IF(C1520="","",IFERROR(TEXT(C1520,"MMMM"),""))</f>
        <v/>
      </c>
      <c r="E1520" s="40"/>
      <c r="F1520" s="41" t="str">
        <f aca="false">IF(E1520="","",IFERROR(INDEX('Chart of Accounts'!$C$4:$C$200,MATCH(TEXT(E1520,"@"),TEXT('Chart of Accounts'!$B$4:$B$200,"@"),0)),"⚠ Not Found"))</f>
        <v/>
      </c>
      <c r="G1520" s="42"/>
      <c r="H1520" s="43"/>
      <c r="I1520" s="43"/>
      <c r="J1520" s="40"/>
    </row>
    <row r="1521" customFormat="false" ht="16.5" hidden="false" customHeight="true" outlineLevel="0" collapsed="false">
      <c r="B1521" s="44" t="str">
        <f aca="false">IF(C1521="","",ROW()-9)</f>
        <v/>
      </c>
      <c r="C1521" s="45"/>
      <c r="D1521" s="46" t="str">
        <f aca="false">IF(C1521="","",IFERROR(TEXT(C1521,"MMMM"),""))</f>
        <v/>
      </c>
      <c r="E1521" s="47"/>
      <c r="F1521" s="48" t="str">
        <f aca="false">IF(E1521="","",IFERROR(INDEX('Chart of Accounts'!$C$4:$C$200,MATCH(TEXT(E1521,"@"),TEXT('Chart of Accounts'!$B$4:$B$200,"@"),0)),"⚠ Not Found"))</f>
        <v/>
      </c>
      <c r="G1521" s="49"/>
      <c r="H1521" s="50"/>
      <c r="I1521" s="50"/>
      <c r="J1521" s="47"/>
    </row>
    <row r="1522" customFormat="false" ht="16.5" hidden="false" customHeight="true" outlineLevel="0" collapsed="false">
      <c r="B1522" s="37" t="str">
        <f aca="false">IF(C1522="","",ROW()-9)</f>
        <v/>
      </c>
      <c r="C1522" s="38"/>
      <c r="D1522" s="39" t="str">
        <f aca="false">IF(C1522="","",IFERROR(TEXT(C1522,"MMMM"),""))</f>
        <v/>
      </c>
      <c r="E1522" s="40"/>
      <c r="F1522" s="41" t="str">
        <f aca="false">IF(E1522="","",IFERROR(INDEX('Chart of Accounts'!$C$4:$C$200,MATCH(TEXT(E1522,"@"),TEXT('Chart of Accounts'!$B$4:$B$200,"@"),0)),"⚠ Not Found"))</f>
        <v/>
      </c>
      <c r="G1522" s="42"/>
      <c r="H1522" s="43"/>
      <c r="I1522" s="43"/>
      <c r="J1522" s="40"/>
    </row>
    <row r="1523" customFormat="false" ht="16.5" hidden="false" customHeight="true" outlineLevel="0" collapsed="false">
      <c r="B1523" s="44" t="str">
        <f aca="false">IF(C1523="","",ROW()-9)</f>
        <v/>
      </c>
      <c r="C1523" s="45"/>
      <c r="D1523" s="46" t="str">
        <f aca="false">IF(C1523="","",IFERROR(TEXT(C1523,"MMMM"),""))</f>
        <v/>
      </c>
      <c r="E1523" s="47"/>
      <c r="F1523" s="48" t="str">
        <f aca="false">IF(E1523="","",IFERROR(INDEX('Chart of Accounts'!$C$4:$C$200,MATCH(TEXT(E1523,"@"),TEXT('Chart of Accounts'!$B$4:$B$200,"@"),0)),"⚠ Not Found"))</f>
        <v/>
      </c>
      <c r="G1523" s="49"/>
      <c r="H1523" s="50"/>
      <c r="I1523" s="50"/>
      <c r="J1523" s="47"/>
    </row>
    <row r="1524" customFormat="false" ht="16.5" hidden="false" customHeight="true" outlineLevel="0" collapsed="false">
      <c r="B1524" s="37" t="str">
        <f aca="false">IF(C1524="","",ROW()-9)</f>
        <v/>
      </c>
      <c r="C1524" s="38"/>
      <c r="D1524" s="39" t="str">
        <f aca="false">IF(C1524="","",IFERROR(TEXT(C1524,"MMMM"),""))</f>
        <v/>
      </c>
      <c r="E1524" s="40"/>
      <c r="F1524" s="41" t="str">
        <f aca="false">IF(E1524="","",IFERROR(INDEX('Chart of Accounts'!$C$4:$C$200,MATCH(TEXT(E1524,"@"),TEXT('Chart of Accounts'!$B$4:$B$200,"@"),0)),"⚠ Not Found"))</f>
        <v/>
      </c>
      <c r="G1524" s="42"/>
      <c r="H1524" s="43"/>
      <c r="I1524" s="43"/>
      <c r="J1524" s="40"/>
    </row>
    <row r="1525" customFormat="false" ht="16.5" hidden="false" customHeight="true" outlineLevel="0" collapsed="false">
      <c r="B1525" s="44" t="str">
        <f aca="false">IF(C1525="","",ROW()-9)</f>
        <v/>
      </c>
      <c r="C1525" s="45"/>
      <c r="D1525" s="46" t="str">
        <f aca="false">IF(C1525="","",IFERROR(TEXT(C1525,"MMMM"),""))</f>
        <v/>
      </c>
      <c r="E1525" s="47"/>
      <c r="F1525" s="48" t="str">
        <f aca="false">IF(E1525="","",IFERROR(INDEX('Chart of Accounts'!$C$4:$C$200,MATCH(TEXT(E1525,"@"),TEXT('Chart of Accounts'!$B$4:$B$200,"@"),0)),"⚠ Not Found"))</f>
        <v/>
      </c>
      <c r="G1525" s="49"/>
      <c r="H1525" s="50"/>
      <c r="I1525" s="50"/>
      <c r="J1525" s="47"/>
    </row>
    <row r="1526" customFormat="false" ht="16.5" hidden="false" customHeight="true" outlineLevel="0" collapsed="false">
      <c r="B1526" s="37" t="str">
        <f aca="false">IF(C1526="","",ROW()-9)</f>
        <v/>
      </c>
      <c r="C1526" s="38"/>
      <c r="D1526" s="39" t="str">
        <f aca="false">IF(C1526="","",IFERROR(TEXT(C1526,"MMMM"),""))</f>
        <v/>
      </c>
      <c r="E1526" s="40"/>
      <c r="F1526" s="41" t="str">
        <f aca="false">IF(E1526="","",IFERROR(INDEX('Chart of Accounts'!$C$4:$C$200,MATCH(TEXT(E1526,"@"),TEXT('Chart of Accounts'!$B$4:$B$200,"@"),0)),"⚠ Not Found"))</f>
        <v/>
      </c>
      <c r="G1526" s="42"/>
      <c r="H1526" s="43"/>
      <c r="I1526" s="43"/>
      <c r="J1526" s="40"/>
    </row>
    <row r="1527" customFormat="false" ht="16.5" hidden="false" customHeight="true" outlineLevel="0" collapsed="false">
      <c r="B1527" s="44" t="str">
        <f aca="false">IF(C1527="","",ROW()-9)</f>
        <v/>
      </c>
      <c r="C1527" s="45"/>
      <c r="D1527" s="46" t="str">
        <f aca="false">IF(C1527="","",IFERROR(TEXT(C1527,"MMMM"),""))</f>
        <v/>
      </c>
      <c r="E1527" s="47"/>
      <c r="F1527" s="48" t="str">
        <f aca="false">IF(E1527="","",IFERROR(INDEX('Chart of Accounts'!$C$4:$C$200,MATCH(TEXT(E1527,"@"),TEXT('Chart of Accounts'!$B$4:$B$200,"@"),0)),"⚠ Not Found"))</f>
        <v/>
      </c>
      <c r="G1527" s="49"/>
      <c r="H1527" s="50"/>
      <c r="I1527" s="50"/>
      <c r="J1527" s="47"/>
    </row>
    <row r="1528" customFormat="false" ht="16.5" hidden="false" customHeight="true" outlineLevel="0" collapsed="false">
      <c r="B1528" s="37" t="str">
        <f aca="false">IF(C1528="","",ROW()-9)</f>
        <v/>
      </c>
      <c r="C1528" s="38"/>
      <c r="D1528" s="39" t="str">
        <f aca="false">IF(C1528="","",IFERROR(TEXT(C1528,"MMMM"),""))</f>
        <v/>
      </c>
      <c r="E1528" s="40"/>
      <c r="F1528" s="41" t="str">
        <f aca="false">IF(E1528="","",IFERROR(INDEX('Chart of Accounts'!$C$4:$C$200,MATCH(TEXT(E1528,"@"),TEXT('Chart of Accounts'!$B$4:$B$200,"@"),0)),"⚠ Not Found"))</f>
        <v/>
      </c>
      <c r="G1528" s="42"/>
      <c r="H1528" s="43"/>
      <c r="I1528" s="43"/>
      <c r="J1528" s="40"/>
    </row>
    <row r="1529" customFormat="false" ht="16.5" hidden="false" customHeight="true" outlineLevel="0" collapsed="false">
      <c r="B1529" s="44" t="str">
        <f aca="false">IF(C1529="","",ROW()-9)</f>
        <v/>
      </c>
      <c r="C1529" s="45"/>
      <c r="D1529" s="46" t="str">
        <f aca="false">IF(C1529="","",IFERROR(TEXT(C1529,"MMMM"),""))</f>
        <v/>
      </c>
      <c r="E1529" s="47"/>
      <c r="F1529" s="48" t="str">
        <f aca="false">IF(E1529="","",IFERROR(INDEX('Chart of Accounts'!$C$4:$C$200,MATCH(TEXT(E1529,"@"),TEXT('Chart of Accounts'!$B$4:$B$200,"@"),0)),"⚠ Not Found"))</f>
        <v/>
      </c>
      <c r="G1529" s="49"/>
      <c r="H1529" s="50"/>
      <c r="I1529" s="50"/>
      <c r="J1529" s="47"/>
    </row>
    <row r="1530" customFormat="false" ht="16.5" hidden="false" customHeight="true" outlineLevel="0" collapsed="false">
      <c r="B1530" s="37" t="str">
        <f aca="false">IF(C1530="","",ROW()-9)</f>
        <v/>
      </c>
      <c r="C1530" s="38"/>
      <c r="D1530" s="39" t="str">
        <f aca="false">IF(C1530="","",IFERROR(TEXT(C1530,"MMMM"),""))</f>
        <v/>
      </c>
      <c r="E1530" s="40"/>
      <c r="F1530" s="41" t="str">
        <f aca="false">IF(E1530="","",IFERROR(INDEX('Chart of Accounts'!$C$4:$C$200,MATCH(TEXT(E1530,"@"),TEXT('Chart of Accounts'!$B$4:$B$200,"@"),0)),"⚠ Not Found"))</f>
        <v/>
      </c>
      <c r="G1530" s="42"/>
      <c r="H1530" s="43"/>
      <c r="I1530" s="43"/>
      <c r="J1530" s="40"/>
    </row>
    <row r="1531" customFormat="false" ht="16.5" hidden="false" customHeight="true" outlineLevel="0" collapsed="false">
      <c r="B1531" s="44" t="str">
        <f aca="false">IF(C1531="","",ROW()-9)</f>
        <v/>
      </c>
      <c r="C1531" s="45"/>
      <c r="D1531" s="46" t="str">
        <f aca="false">IF(C1531="","",IFERROR(TEXT(C1531,"MMMM"),""))</f>
        <v/>
      </c>
      <c r="E1531" s="47"/>
      <c r="F1531" s="48" t="str">
        <f aca="false">IF(E1531="","",IFERROR(INDEX('Chart of Accounts'!$C$4:$C$200,MATCH(TEXT(E1531,"@"),TEXT('Chart of Accounts'!$B$4:$B$200,"@"),0)),"⚠ Not Found"))</f>
        <v/>
      </c>
      <c r="G1531" s="49"/>
      <c r="H1531" s="50"/>
      <c r="I1531" s="50"/>
      <c r="J1531" s="47"/>
    </row>
    <row r="1532" customFormat="false" ht="16.5" hidden="false" customHeight="true" outlineLevel="0" collapsed="false">
      <c r="B1532" s="37" t="str">
        <f aca="false">IF(C1532="","",ROW()-9)</f>
        <v/>
      </c>
      <c r="C1532" s="38"/>
      <c r="D1532" s="39" t="str">
        <f aca="false">IF(C1532="","",IFERROR(TEXT(C1532,"MMMM"),""))</f>
        <v/>
      </c>
      <c r="E1532" s="40"/>
      <c r="F1532" s="41" t="str">
        <f aca="false">IF(E1532="","",IFERROR(INDEX('Chart of Accounts'!$C$4:$C$200,MATCH(TEXT(E1532,"@"),TEXT('Chart of Accounts'!$B$4:$B$200,"@"),0)),"⚠ Not Found"))</f>
        <v/>
      </c>
      <c r="G1532" s="42"/>
      <c r="H1532" s="43"/>
      <c r="I1532" s="43"/>
      <c r="J1532" s="40"/>
    </row>
    <row r="1533" customFormat="false" ht="16.5" hidden="false" customHeight="true" outlineLevel="0" collapsed="false">
      <c r="B1533" s="44" t="str">
        <f aca="false">IF(C1533="","",ROW()-9)</f>
        <v/>
      </c>
      <c r="C1533" s="45"/>
      <c r="D1533" s="46" t="str">
        <f aca="false">IF(C1533="","",IFERROR(TEXT(C1533,"MMMM"),""))</f>
        <v/>
      </c>
      <c r="E1533" s="47"/>
      <c r="F1533" s="48" t="str">
        <f aca="false">IF(E1533="","",IFERROR(INDEX('Chart of Accounts'!$C$4:$C$200,MATCH(TEXT(E1533,"@"),TEXT('Chart of Accounts'!$B$4:$B$200,"@"),0)),"⚠ Not Found"))</f>
        <v/>
      </c>
      <c r="G1533" s="49"/>
      <c r="H1533" s="50"/>
      <c r="I1533" s="50"/>
      <c r="J1533" s="47"/>
    </row>
    <row r="1534" customFormat="false" ht="16.5" hidden="false" customHeight="true" outlineLevel="0" collapsed="false">
      <c r="B1534" s="37" t="str">
        <f aca="false">IF(C1534="","",ROW()-9)</f>
        <v/>
      </c>
      <c r="C1534" s="38"/>
      <c r="D1534" s="39" t="str">
        <f aca="false">IF(C1534="","",IFERROR(TEXT(C1534,"MMMM"),""))</f>
        <v/>
      </c>
      <c r="E1534" s="40"/>
      <c r="F1534" s="41" t="str">
        <f aca="false">IF(E1534="","",IFERROR(INDEX('Chart of Accounts'!$C$4:$C$200,MATCH(TEXT(E1534,"@"),TEXT('Chart of Accounts'!$B$4:$B$200,"@"),0)),"⚠ Not Found"))</f>
        <v/>
      </c>
      <c r="G1534" s="42"/>
      <c r="H1534" s="43"/>
      <c r="I1534" s="43"/>
      <c r="J1534" s="40"/>
    </row>
    <row r="1535" customFormat="false" ht="16.5" hidden="false" customHeight="true" outlineLevel="0" collapsed="false">
      <c r="B1535" s="44" t="str">
        <f aca="false">IF(C1535="","",ROW()-9)</f>
        <v/>
      </c>
      <c r="C1535" s="45"/>
      <c r="D1535" s="46" t="str">
        <f aca="false">IF(C1535="","",IFERROR(TEXT(C1535,"MMMM"),""))</f>
        <v/>
      </c>
      <c r="E1535" s="47"/>
      <c r="F1535" s="48" t="str">
        <f aca="false">IF(E1535="","",IFERROR(INDEX('Chart of Accounts'!$C$4:$C$200,MATCH(TEXT(E1535,"@"),TEXT('Chart of Accounts'!$B$4:$B$200,"@"),0)),"⚠ Not Found"))</f>
        <v/>
      </c>
      <c r="G1535" s="49"/>
      <c r="H1535" s="50"/>
      <c r="I1535" s="50"/>
      <c r="J1535" s="47"/>
    </row>
    <row r="1536" customFormat="false" ht="16.5" hidden="false" customHeight="true" outlineLevel="0" collapsed="false">
      <c r="B1536" s="37" t="str">
        <f aca="false">IF(C1536="","",ROW()-9)</f>
        <v/>
      </c>
      <c r="C1536" s="38"/>
      <c r="D1536" s="39" t="str">
        <f aca="false">IF(C1536="","",IFERROR(TEXT(C1536,"MMMM"),""))</f>
        <v/>
      </c>
      <c r="E1536" s="40"/>
      <c r="F1536" s="41" t="str">
        <f aca="false">IF(E1536="","",IFERROR(INDEX('Chart of Accounts'!$C$4:$C$200,MATCH(TEXT(E1536,"@"),TEXT('Chart of Accounts'!$B$4:$B$200,"@"),0)),"⚠ Not Found"))</f>
        <v/>
      </c>
      <c r="G1536" s="42"/>
      <c r="H1536" s="43"/>
      <c r="I1536" s="43"/>
      <c r="J1536" s="40"/>
    </row>
    <row r="1537" customFormat="false" ht="16.5" hidden="false" customHeight="true" outlineLevel="0" collapsed="false">
      <c r="B1537" s="44" t="str">
        <f aca="false">IF(C1537="","",ROW()-9)</f>
        <v/>
      </c>
      <c r="C1537" s="45"/>
      <c r="D1537" s="46" t="str">
        <f aca="false">IF(C1537="","",IFERROR(TEXT(C1537,"MMMM"),""))</f>
        <v/>
      </c>
      <c r="E1537" s="47"/>
      <c r="F1537" s="48" t="str">
        <f aca="false">IF(E1537="","",IFERROR(INDEX('Chart of Accounts'!$C$4:$C$200,MATCH(TEXT(E1537,"@"),TEXT('Chart of Accounts'!$B$4:$B$200,"@"),0)),"⚠ Not Found"))</f>
        <v/>
      </c>
      <c r="G1537" s="49"/>
      <c r="H1537" s="50"/>
      <c r="I1537" s="50"/>
      <c r="J1537" s="47"/>
    </row>
    <row r="1538" customFormat="false" ht="16.5" hidden="false" customHeight="true" outlineLevel="0" collapsed="false">
      <c r="B1538" s="37" t="str">
        <f aca="false">IF(C1538="","",ROW()-9)</f>
        <v/>
      </c>
      <c r="C1538" s="38"/>
      <c r="D1538" s="39" t="str">
        <f aca="false">IF(C1538="","",IFERROR(TEXT(C1538,"MMMM"),""))</f>
        <v/>
      </c>
      <c r="E1538" s="40"/>
      <c r="F1538" s="41" t="str">
        <f aca="false">IF(E1538="","",IFERROR(INDEX('Chart of Accounts'!$C$4:$C$200,MATCH(TEXT(E1538,"@"),TEXT('Chart of Accounts'!$B$4:$B$200,"@"),0)),"⚠ Not Found"))</f>
        <v/>
      </c>
      <c r="G1538" s="42"/>
      <c r="H1538" s="43"/>
      <c r="I1538" s="43"/>
      <c r="J1538" s="40"/>
    </row>
    <row r="1539" customFormat="false" ht="16.5" hidden="false" customHeight="true" outlineLevel="0" collapsed="false">
      <c r="B1539" s="44" t="str">
        <f aca="false">IF(C1539="","",ROW()-9)</f>
        <v/>
      </c>
      <c r="C1539" s="45"/>
      <c r="D1539" s="46" t="str">
        <f aca="false">IF(C1539="","",IFERROR(TEXT(C1539,"MMMM"),""))</f>
        <v/>
      </c>
      <c r="E1539" s="47"/>
      <c r="F1539" s="48" t="str">
        <f aca="false">IF(E1539="","",IFERROR(INDEX('Chart of Accounts'!$C$4:$C$200,MATCH(TEXT(E1539,"@"),TEXT('Chart of Accounts'!$B$4:$B$200,"@"),0)),"⚠ Not Found"))</f>
        <v/>
      </c>
      <c r="G1539" s="49"/>
      <c r="H1539" s="50"/>
      <c r="I1539" s="50"/>
      <c r="J1539" s="47"/>
    </row>
    <row r="1540" customFormat="false" ht="16.5" hidden="false" customHeight="true" outlineLevel="0" collapsed="false">
      <c r="B1540" s="37" t="str">
        <f aca="false">IF(C1540="","",ROW()-9)</f>
        <v/>
      </c>
      <c r="C1540" s="38"/>
      <c r="D1540" s="39" t="str">
        <f aca="false">IF(C1540="","",IFERROR(TEXT(C1540,"MMMM"),""))</f>
        <v/>
      </c>
      <c r="E1540" s="40"/>
      <c r="F1540" s="41" t="str">
        <f aca="false">IF(E1540="","",IFERROR(INDEX('Chart of Accounts'!$C$4:$C$200,MATCH(TEXT(E1540,"@"),TEXT('Chart of Accounts'!$B$4:$B$200,"@"),0)),"⚠ Not Found"))</f>
        <v/>
      </c>
      <c r="G1540" s="42"/>
      <c r="H1540" s="43"/>
      <c r="I1540" s="43"/>
      <c r="J1540" s="40"/>
    </row>
    <row r="1541" customFormat="false" ht="16.5" hidden="false" customHeight="true" outlineLevel="0" collapsed="false">
      <c r="B1541" s="44" t="str">
        <f aca="false">IF(C1541="","",ROW()-9)</f>
        <v/>
      </c>
      <c r="C1541" s="45"/>
      <c r="D1541" s="46" t="str">
        <f aca="false">IF(C1541="","",IFERROR(TEXT(C1541,"MMMM"),""))</f>
        <v/>
      </c>
      <c r="E1541" s="47"/>
      <c r="F1541" s="48" t="str">
        <f aca="false">IF(E1541="","",IFERROR(INDEX('Chart of Accounts'!$C$4:$C$200,MATCH(TEXT(E1541,"@"),TEXT('Chart of Accounts'!$B$4:$B$200,"@"),0)),"⚠ Not Found"))</f>
        <v/>
      </c>
      <c r="G1541" s="49"/>
      <c r="H1541" s="50"/>
      <c r="I1541" s="50"/>
      <c r="J1541" s="47"/>
    </row>
    <row r="1542" customFormat="false" ht="16.5" hidden="false" customHeight="true" outlineLevel="0" collapsed="false">
      <c r="B1542" s="37" t="str">
        <f aca="false">IF(C1542="","",ROW()-9)</f>
        <v/>
      </c>
      <c r="C1542" s="38"/>
      <c r="D1542" s="39" t="str">
        <f aca="false">IF(C1542="","",IFERROR(TEXT(C1542,"MMMM"),""))</f>
        <v/>
      </c>
      <c r="E1542" s="40"/>
      <c r="F1542" s="41" t="str">
        <f aca="false">IF(E1542="","",IFERROR(INDEX('Chart of Accounts'!$C$4:$C$200,MATCH(TEXT(E1542,"@"),TEXT('Chart of Accounts'!$B$4:$B$200,"@"),0)),"⚠ Not Found"))</f>
        <v/>
      </c>
      <c r="G1542" s="42"/>
      <c r="H1542" s="43"/>
      <c r="I1542" s="43"/>
      <c r="J1542" s="40"/>
    </row>
    <row r="1543" customFormat="false" ht="16.5" hidden="false" customHeight="true" outlineLevel="0" collapsed="false">
      <c r="B1543" s="44" t="str">
        <f aca="false">IF(C1543="","",ROW()-9)</f>
        <v/>
      </c>
      <c r="C1543" s="45"/>
      <c r="D1543" s="46" t="str">
        <f aca="false">IF(C1543="","",IFERROR(TEXT(C1543,"MMMM"),""))</f>
        <v/>
      </c>
      <c r="E1543" s="47"/>
      <c r="F1543" s="48" t="str">
        <f aca="false">IF(E1543="","",IFERROR(INDEX('Chart of Accounts'!$C$4:$C$200,MATCH(TEXT(E1543,"@"),TEXT('Chart of Accounts'!$B$4:$B$200,"@"),0)),"⚠ Not Found"))</f>
        <v/>
      </c>
      <c r="G1543" s="49"/>
      <c r="H1543" s="50"/>
      <c r="I1543" s="50"/>
      <c r="J1543" s="47"/>
    </row>
    <row r="1544" customFormat="false" ht="16.5" hidden="false" customHeight="true" outlineLevel="0" collapsed="false">
      <c r="B1544" s="37" t="str">
        <f aca="false">IF(C1544="","",ROW()-9)</f>
        <v/>
      </c>
      <c r="C1544" s="38"/>
      <c r="D1544" s="39" t="str">
        <f aca="false">IF(C1544="","",IFERROR(TEXT(C1544,"MMMM"),""))</f>
        <v/>
      </c>
      <c r="E1544" s="40"/>
      <c r="F1544" s="41" t="str">
        <f aca="false">IF(E1544="","",IFERROR(INDEX('Chart of Accounts'!$C$4:$C$200,MATCH(TEXT(E1544,"@"),TEXT('Chart of Accounts'!$B$4:$B$200,"@"),0)),"⚠ Not Found"))</f>
        <v/>
      </c>
      <c r="G1544" s="42"/>
      <c r="H1544" s="43"/>
      <c r="I1544" s="43"/>
      <c r="J1544" s="40"/>
    </row>
    <row r="1545" customFormat="false" ht="16.5" hidden="false" customHeight="true" outlineLevel="0" collapsed="false">
      <c r="B1545" s="44" t="str">
        <f aca="false">IF(C1545="","",ROW()-9)</f>
        <v/>
      </c>
      <c r="C1545" s="45"/>
      <c r="D1545" s="46" t="str">
        <f aca="false">IF(C1545="","",IFERROR(TEXT(C1545,"MMMM"),""))</f>
        <v/>
      </c>
      <c r="E1545" s="47"/>
      <c r="F1545" s="48" t="str">
        <f aca="false">IF(E1545="","",IFERROR(INDEX('Chart of Accounts'!$C$4:$C$200,MATCH(TEXT(E1545,"@"),TEXT('Chart of Accounts'!$B$4:$B$200,"@"),0)),"⚠ Not Found"))</f>
        <v/>
      </c>
      <c r="G1545" s="49"/>
      <c r="H1545" s="50"/>
      <c r="I1545" s="50"/>
      <c r="J1545" s="47"/>
    </row>
    <row r="1546" customFormat="false" ht="16.5" hidden="false" customHeight="true" outlineLevel="0" collapsed="false">
      <c r="B1546" s="37" t="str">
        <f aca="false">IF(C1546="","",ROW()-9)</f>
        <v/>
      </c>
      <c r="C1546" s="38"/>
      <c r="D1546" s="39" t="str">
        <f aca="false">IF(C1546="","",IFERROR(TEXT(C1546,"MMMM"),""))</f>
        <v/>
      </c>
      <c r="E1546" s="40"/>
      <c r="F1546" s="41" t="str">
        <f aca="false">IF(E1546="","",IFERROR(INDEX('Chart of Accounts'!$C$4:$C$200,MATCH(TEXT(E1546,"@"),TEXT('Chart of Accounts'!$B$4:$B$200,"@"),0)),"⚠ Not Found"))</f>
        <v/>
      </c>
      <c r="G1546" s="42"/>
      <c r="H1546" s="43"/>
      <c r="I1546" s="43"/>
      <c r="J1546" s="40"/>
    </row>
    <row r="1547" customFormat="false" ht="16.5" hidden="false" customHeight="true" outlineLevel="0" collapsed="false">
      <c r="B1547" s="44" t="str">
        <f aca="false">IF(C1547="","",ROW()-9)</f>
        <v/>
      </c>
      <c r="C1547" s="45"/>
      <c r="D1547" s="46" t="str">
        <f aca="false">IF(C1547="","",IFERROR(TEXT(C1547,"MMMM"),""))</f>
        <v/>
      </c>
      <c r="E1547" s="47"/>
      <c r="F1547" s="48" t="str">
        <f aca="false">IF(E1547="","",IFERROR(INDEX('Chart of Accounts'!$C$4:$C$200,MATCH(TEXT(E1547,"@"),TEXT('Chart of Accounts'!$B$4:$B$200,"@"),0)),"⚠ Not Found"))</f>
        <v/>
      </c>
      <c r="G1547" s="49"/>
      <c r="H1547" s="50"/>
      <c r="I1547" s="50"/>
      <c r="J1547" s="47"/>
    </row>
    <row r="1548" customFormat="false" ht="16.5" hidden="false" customHeight="true" outlineLevel="0" collapsed="false">
      <c r="B1548" s="37" t="str">
        <f aca="false">IF(C1548="","",ROW()-9)</f>
        <v/>
      </c>
      <c r="C1548" s="38"/>
      <c r="D1548" s="39" t="str">
        <f aca="false">IF(C1548="","",IFERROR(TEXT(C1548,"MMMM"),""))</f>
        <v/>
      </c>
      <c r="E1548" s="40"/>
      <c r="F1548" s="41" t="str">
        <f aca="false">IF(E1548="","",IFERROR(INDEX('Chart of Accounts'!$C$4:$C$200,MATCH(TEXT(E1548,"@"),TEXT('Chart of Accounts'!$B$4:$B$200,"@"),0)),"⚠ Not Found"))</f>
        <v/>
      </c>
      <c r="G1548" s="42"/>
      <c r="H1548" s="43"/>
      <c r="I1548" s="43"/>
      <c r="J1548" s="40"/>
    </row>
    <row r="1549" customFormat="false" ht="16.5" hidden="false" customHeight="true" outlineLevel="0" collapsed="false">
      <c r="B1549" s="44" t="str">
        <f aca="false">IF(C1549="","",ROW()-9)</f>
        <v/>
      </c>
      <c r="C1549" s="45"/>
      <c r="D1549" s="46" t="str">
        <f aca="false">IF(C1549="","",IFERROR(TEXT(C1549,"MMMM"),""))</f>
        <v/>
      </c>
      <c r="E1549" s="47"/>
      <c r="F1549" s="48" t="str">
        <f aca="false">IF(E1549="","",IFERROR(INDEX('Chart of Accounts'!$C$4:$C$200,MATCH(TEXT(E1549,"@"),TEXT('Chart of Accounts'!$B$4:$B$200,"@"),0)),"⚠ Not Found"))</f>
        <v/>
      </c>
      <c r="G1549" s="49"/>
      <c r="H1549" s="50"/>
      <c r="I1549" s="50"/>
      <c r="J1549" s="47"/>
    </row>
    <row r="1550" customFormat="false" ht="16.5" hidden="false" customHeight="true" outlineLevel="0" collapsed="false">
      <c r="B1550" s="37" t="str">
        <f aca="false">IF(C1550="","",ROW()-9)</f>
        <v/>
      </c>
      <c r="C1550" s="38"/>
      <c r="D1550" s="39" t="str">
        <f aca="false">IF(C1550="","",IFERROR(TEXT(C1550,"MMMM"),""))</f>
        <v/>
      </c>
      <c r="E1550" s="40"/>
      <c r="F1550" s="41" t="str">
        <f aca="false">IF(E1550="","",IFERROR(INDEX('Chart of Accounts'!$C$4:$C$200,MATCH(TEXT(E1550,"@"),TEXT('Chart of Accounts'!$B$4:$B$200,"@"),0)),"⚠ Not Found"))</f>
        <v/>
      </c>
      <c r="G1550" s="42"/>
      <c r="H1550" s="43"/>
      <c r="I1550" s="43"/>
      <c r="J1550" s="40"/>
    </row>
    <row r="1551" customFormat="false" ht="16.5" hidden="false" customHeight="true" outlineLevel="0" collapsed="false">
      <c r="B1551" s="44" t="str">
        <f aca="false">IF(C1551="","",ROW()-9)</f>
        <v/>
      </c>
      <c r="C1551" s="45"/>
      <c r="D1551" s="46" t="str">
        <f aca="false">IF(C1551="","",IFERROR(TEXT(C1551,"MMMM"),""))</f>
        <v/>
      </c>
      <c r="E1551" s="47"/>
      <c r="F1551" s="48" t="str">
        <f aca="false">IF(E1551="","",IFERROR(INDEX('Chart of Accounts'!$C$4:$C$200,MATCH(TEXT(E1551,"@"),TEXT('Chart of Accounts'!$B$4:$B$200,"@"),0)),"⚠ Not Found"))</f>
        <v/>
      </c>
      <c r="G1551" s="49"/>
      <c r="H1551" s="50"/>
      <c r="I1551" s="50"/>
      <c r="J1551" s="47"/>
    </row>
    <row r="1552" customFormat="false" ht="16.5" hidden="false" customHeight="true" outlineLevel="0" collapsed="false">
      <c r="B1552" s="37" t="str">
        <f aca="false">IF(C1552="","",ROW()-9)</f>
        <v/>
      </c>
      <c r="C1552" s="38"/>
      <c r="D1552" s="39" t="str">
        <f aca="false">IF(C1552="","",IFERROR(TEXT(C1552,"MMMM"),""))</f>
        <v/>
      </c>
      <c r="E1552" s="40"/>
      <c r="F1552" s="41" t="str">
        <f aca="false">IF(E1552="","",IFERROR(INDEX('Chart of Accounts'!$C$4:$C$200,MATCH(TEXT(E1552,"@"),TEXT('Chart of Accounts'!$B$4:$B$200,"@"),0)),"⚠ Not Found"))</f>
        <v/>
      </c>
      <c r="G1552" s="42"/>
      <c r="H1552" s="43"/>
      <c r="I1552" s="43"/>
      <c r="J1552" s="40"/>
    </row>
    <row r="1553" customFormat="false" ht="16.5" hidden="false" customHeight="true" outlineLevel="0" collapsed="false">
      <c r="B1553" s="44" t="str">
        <f aca="false">IF(C1553="","",ROW()-9)</f>
        <v/>
      </c>
      <c r="C1553" s="45"/>
      <c r="D1553" s="46" t="str">
        <f aca="false">IF(C1553="","",IFERROR(TEXT(C1553,"MMMM"),""))</f>
        <v/>
      </c>
      <c r="E1553" s="47"/>
      <c r="F1553" s="48" t="str">
        <f aca="false">IF(E1553="","",IFERROR(INDEX('Chart of Accounts'!$C$4:$C$200,MATCH(TEXT(E1553,"@"),TEXT('Chart of Accounts'!$B$4:$B$200,"@"),0)),"⚠ Not Found"))</f>
        <v/>
      </c>
      <c r="G1553" s="49"/>
      <c r="H1553" s="50"/>
      <c r="I1553" s="50"/>
      <c r="J1553" s="47"/>
    </row>
    <row r="1554" customFormat="false" ht="16.5" hidden="false" customHeight="true" outlineLevel="0" collapsed="false">
      <c r="B1554" s="37" t="str">
        <f aca="false">IF(C1554="","",ROW()-9)</f>
        <v/>
      </c>
      <c r="C1554" s="38"/>
      <c r="D1554" s="39" t="str">
        <f aca="false">IF(C1554="","",IFERROR(TEXT(C1554,"MMMM"),""))</f>
        <v/>
      </c>
      <c r="E1554" s="40"/>
      <c r="F1554" s="41" t="str">
        <f aca="false">IF(E1554="","",IFERROR(INDEX('Chart of Accounts'!$C$4:$C$200,MATCH(TEXT(E1554,"@"),TEXT('Chart of Accounts'!$B$4:$B$200,"@"),0)),"⚠ Not Found"))</f>
        <v/>
      </c>
      <c r="G1554" s="42"/>
      <c r="H1554" s="43"/>
      <c r="I1554" s="43"/>
      <c r="J1554" s="40"/>
    </row>
    <row r="1555" customFormat="false" ht="16.5" hidden="false" customHeight="true" outlineLevel="0" collapsed="false">
      <c r="B1555" s="44" t="str">
        <f aca="false">IF(C1555="","",ROW()-9)</f>
        <v/>
      </c>
      <c r="C1555" s="45"/>
      <c r="D1555" s="46" t="str">
        <f aca="false">IF(C1555="","",IFERROR(TEXT(C1555,"MMMM"),""))</f>
        <v/>
      </c>
      <c r="E1555" s="47"/>
      <c r="F1555" s="48" t="str">
        <f aca="false">IF(E1555="","",IFERROR(INDEX('Chart of Accounts'!$C$4:$C$200,MATCH(TEXT(E1555,"@"),TEXT('Chart of Accounts'!$B$4:$B$200,"@"),0)),"⚠ Not Found"))</f>
        <v/>
      </c>
      <c r="G1555" s="49"/>
      <c r="H1555" s="50"/>
      <c r="I1555" s="50"/>
      <c r="J1555" s="47"/>
    </row>
    <row r="1556" customFormat="false" ht="16.5" hidden="false" customHeight="true" outlineLevel="0" collapsed="false">
      <c r="B1556" s="37" t="str">
        <f aca="false">IF(C1556="","",ROW()-9)</f>
        <v/>
      </c>
      <c r="C1556" s="38"/>
      <c r="D1556" s="39" t="str">
        <f aca="false">IF(C1556="","",IFERROR(TEXT(C1556,"MMMM"),""))</f>
        <v/>
      </c>
      <c r="E1556" s="40"/>
      <c r="F1556" s="41" t="str">
        <f aca="false">IF(E1556="","",IFERROR(INDEX('Chart of Accounts'!$C$4:$C$200,MATCH(TEXT(E1556,"@"),TEXT('Chart of Accounts'!$B$4:$B$200,"@"),0)),"⚠ Not Found"))</f>
        <v/>
      </c>
      <c r="G1556" s="42"/>
      <c r="H1556" s="43"/>
      <c r="I1556" s="43"/>
      <c r="J1556" s="40"/>
    </row>
    <row r="1557" customFormat="false" ht="16.5" hidden="false" customHeight="true" outlineLevel="0" collapsed="false">
      <c r="B1557" s="44" t="str">
        <f aca="false">IF(C1557="","",ROW()-9)</f>
        <v/>
      </c>
      <c r="C1557" s="45"/>
      <c r="D1557" s="46" t="str">
        <f aca="false">IF(C1557="","",IFERROR(TEXT(C1557,"MMMM"),""))</f>
        <v/>
      </c>
      <c r="E1557" s="47"/>
      <c r="F1557" s="48" t="str">
        <f aca="false">IF(E1557="","",IFERROR(INDEX('Chart of Accounts'!$C$4:$C$200,MATCH(TEXT(E1557,"@"),TEXT('Chart of Accounts'!$B$4:$B$200,"@"),0)),"⚠ Not Found"))</f>
        <v/>
      </c>
      <c r="G1557" s="49"/>
      <c r="H1557" s="50"/>
      <c r="I1557" s="50"/>
      <c r="J1557" s="47"/>
    </row>
    <row r="1558" customFormat="false" ht="16.5" hidden="false" customHeight="true" outlineLevel="0" collapsed="false">
      <c r="B1558" s="37" t="str">
        <f aca="false">IF(C1558="","",ROW()-9)</f>
        <v/>
      </c>
      <c r="C1558" s="38"/>
      <c r="D1558" s="39" t="str">
        <f aca="false">IF(C1558="","",IFERROR(TEXT(C1558,"MMMM"),""))</f>
        <v/>
      </c>
      <c r="E1558" s="40"/>
      <c r="F1558" s="41" t="str">
        <f aca="false">IF(E1558="","",IFERROR(INDEX('Chart of Accounts'!$C$4:$C$200,MATCH(TEXT(E1558,"@"),TEXT('Chart of Accounts'!$B$4:$B$200,"@"),0)),"⚠ Not Found"))</f>
        <v/>
      </c>
      <c r="G1558" s="42"/>
      <c r="H1558" s="43"/>
      <c r="I1558" s="43"/>
      <c r="J1558" s="40"/>
    </row>
    <row r="1559" customFormat="false" ht="16.5" hidden="false" customHeight="true" outlineLevel="0" collapsed="false">
      <c r="B1559" s="44" t="str">
        <f aca="false">IF(C1559="","",ROW()-9)</f>
        <v/>
      </c>
      <c r="C1559" s="45"/>
      <c r="D1559" s="46" t="str">
        <f aca="false">IF(C1559="","",IFERROR(TEXT(C1559,"MMMM"),""))</f>
        <v/>
      </c>
      <c r="E1559" s="47"/>
      <c r="F1559" s="48" t="str">
        <f aca="false">IF(E1559="","",IFERROR(INDEX('Chart of Accounts'!$C$4:$C$200,MATCH(TEXT(E1559,"@"),TEXT('Chart of Accounts'!$B$4:$B$200,"@"),0)),"⚠ Not Found"))</f>
        <v/>
      </c>
      <c r="G1559" s="49"/>
      <c r="H1559" s="50"/>
      <c r="I1559" s="50"/>
      <c r="J1559" s="47"/>
    </row>
    <row r="1560" customFormat="false" ht="16.5" hidden="false" customHeight="true" outlineLevel="0" collapsed="false">
      <c r="B1560" s="37" t="str">
        <f aca="false">IF(C1560="","",ROW()-9)</f>
        <v/>
      </c>
      <c r="C1560" s="38"/>
      <c r="D1560" s="39" t="str">
        <f aca="false">IF(C1560="","",IFERROR(TEXT(C1560,"MMMM"),""))</f>
        <v/>
      </c>
      <c r="E1560" s="40"/>
      <c r="F1560" s="41" t="str">
        <f aca="false">IF(E1560="","",IFERROR(INDEX('Chart of Accounts'!$C$4:$C$200,MATCH(TEXT(E1560,"@"),TEXT('Chart of Accounts'!$B$4:$B$200,"@"),0)),"⚠ Not Found"))</f>
        <v/>
      </c>
      <c r="G1560" s="42"/>
      <c r="H1560" s="43"/>
      <c r="I1560" s="43"/>
      <c r="J1560" s="40"/>
    </row>
    <row r="1561" customFormat="false" ht="16.5" hidden="false" customHeight="true" outlineLevel="0" collapsed="false">
      <c r="B1561" s="44" t="str">
        <f aca="false">IF(C1561="","",ROW()-9)</f>
        <v/>
      </c>
      <c r="C1561" s="45"/>
      <c r="D1561" s="46" t="str">
        <f aca="false">IF(C1561="","",IFERROR(TEXT(C1561,"MMMM"),""))</f>
        <v/>
      </c>
      <c r="E1561" s="47"/>
      <c r="F1561" s="48" t="str">
        <f aca="false">IF(E1561="","",IFERROR(INDEX('Chart of Accounts'!$C$4:$C$200,MATCH(TEXT(E1561,"@"),TEXT('Chart of Accounts'!$B$4:$B$200,"@"),0)),"⚠ Not Found"))</f>
        <v/>
      </c>
      <c r="G1561" s="49"/>
      <c r="H1561" s="50"/>
      <c r="I1561" s="50"/>
      <c r="J1561" s="47"/>
    </row>
    <row r="1562" customFormat="false" ht="16.5" hidden="false" customHeight="true" outlineLevel="0" collapsed="false">
      <c r="B1562" s="37" t="str">
        <f aca="false">IF(C1562="","",ROW()-9)</f>
        <v/>
      </c>
      <c r="C1562" s="38"/>
      <c r="D1562" s="39" t="str">
        <f aca="false">IF(C1562="","",IFERROR(TEXT(C1562,"MMMM"),""))</f>
        <v/>
      </c>
      <c r="E1562" s="40"/>
      <c r="F1562" s="41" t="str">
        <f aca="false">IF(E1562="","",IFERROR(INDEX('Chart of Accounts'!$C$4:$C$200,MATCH(TEXT(E1562,"@"),TEXT('Chart of Accounts'!$B$4:$B$200,"@"),0)),"⚠ Not Found"))</f>
        <v/>
      </c>
      <c r="G1562" s="42"/>
      <c r="H1562" s="43"/>
      <c r="I1562" s="43"/>
      <c r="J1562" s="40"/>
    </row>
    <row r="1563" customFormat="false" ht="16.5" hidden="false" customHeight="true" outlineLevel="0" collapsed="false">
      <c r="B1563" s="44" t="str">
        <f aca="false">IF(C1563="","",ROW()-9)</f>
        <v/>
      </c>
      <c r="C1563" s="45"/>
      <c r="D1563" s="46" t="str">
        <f aca="false">IF(C1563="","",IFERROR(TEXT(C1563,"MMMM"),""))</f>
        <v/>
      </c>
      <c r="E1563" s="47"/>
      <c r="F1563" s="48" t="str">
        <f aca="false">IF(E1563="","",IFERROR(INDEX('Chart of Accounts'!$C$4:$C$200,MATCH(TEXT(E1563,"@"),TEXT('Chart of Accounts'!$B$4:$B$200,"@"),0)),"⚠ Not Found"))</f>
        <v/>
      </c>
      <c r="G1563" s="49"/>
      <c r="H1563" s="50"/>
      <c r="I1563" s="50"/>
      <c r="J1563" s="47"/>
    </row>
    <row r="1564" customFormat="false" ht="16.5" hidden="false" customHeight="true" outlineLevel="0" collapsed="false">
      <c r="B1564" s="37" t="str">
        <f aca="false">IF(C1564="","",ROW()-9)</f>
        <v/>
      </c>
      <c r="C1564" s="38"/>
      <c r="D1564" s="39" t="str">
        <f aca="false">IF(C1564="","",IFERROR(TEXT(C1564,"MMMM"),""))</f>
        <v/>
      </c>
      <c r="E1564" s="40"/>
      <c r="F1564" s="41" t="str">
        <f aca="false">IF(E1564="","",IFERROR(INDEX('Chart of Accounts'!$C$4:$C$200,MATCH(TEXT(E1564,"@"),TEXT('Chart of Accounts'!$B$4:$B$200,"@"),0)),"⚠ Not Found"))</f>
        <v/>
      </c>
      <c r="G1564" s="42"/>
      <c r="H1564" s="43"/>
      <c r="I1564" s="43"/>
      <c r="J1564" s="40"/>
    </row>
    <row r="1565" customFormat="false" ht="16.5" hidden="false" customHeight="true" outlineLevel="0" collapsed="false">
      <c r="B1565" s="44" t="str">
        <f aca="false">IF(C1565="","",ROW()-9)</f>
        <v/>
      </c>
      <c r="C1565" s="45"/>
      <c r="D1565" s="46" t="str">
        <f aca="false">IF(C1565="","",IFERROR(TEXT(C1565,"MMMM"),""))</f>
        <v/>
      </c>
      <c r="E1565" s="47"/>
      <c r="F1565" s="48" t="str">
        <f aca="false">IF(E1565="","",IFERROR(INDEX('Chart of Accounts'!$C$4:$C$200,MATCH(TEXT(E1565,"@"),TEXT('Chart of Accounts'!$B$4:$B$200,"@"),0)),"⚠ Not Found"))</f>
        <v/>
      </c>
      <c r="G1565" s="49"/>
      <c r="H1565" s="50"/>
      <c r="I1565" s="50"/>
      <c r="J1565" s="47"/>
    </row>
    <row r="1566" customFormat="false" ht="16.5" hidden="false" customHeight="true" outlineLevel="0" collapsed="false">
      <c r="B1566" s="37" t="str">
        <f aca="false">IF(C1566="","",ROW()-9)</f>
        <v/>
      </c>
      <c r="C1566" s="38"/>
      <c r="D1566" s="39" t="str">
        <f aca="false">IF(C1566="","",IFERROR(TEXT(C1566,"MMMM"),""))</f>
        <v/>
      </c>
      <c r="E1566" s="40"/>
      <c r="F1566" s="41" t="str">
        <f aca="false">IF(E1566="","",IFERROR(INDEX('Chart of Accounts'!$C$4:$C$200,MATCH(TEXT(E1566,"@"),TEXT('Chart of Accounts'!$B$4:$B$200,"@"),0)),"⚠ Not Found"))</f>
        <v/>
      </c>
      <c r="G1566" s="42"/>
      <c r="H1566" s="43"/>
      <c r="I1566" s="43"/>
      <c r="J1566" s="40"/>
    </row>
    <row r="1567" customFormat="false" ht="16.5" hidden="false" customHeight="true" outlineLevel="0" collapsed="false">
      <c r="B1567" s="44" t="str">
        <f aca="false">IF(C1567="","",ROW()-9)</f>
        <v/>
      </c>
      <c r="C1567" s="45"/>
      <c r="D1567" s="46" t="str">
        <f aca="false">IF(C1567="","",IFERROR(TEXT(C1567,"MMMM"),""))</f>
        <v/>
      </c>
      <c r="E1567" s="47"/>
      <c r="F1567" s="48" t="str">
        <f aca="false">IF(E1567="","",IFERROR(INDEX('Chart of Accounts'!$C$4:$C$200,MATCH(TEXT(E1567,"@"),TEXT('Chart of Accounts'!$B$4:$B$200,"@"),0)),"⚠ Not Found"))</f>
        <v/>
      </c>
      <c r="G1567" s="49"/>
      <c r="H1567" s="50"/>
      <c r="I1567" s="50"/>
      <c r="J1567" s="47"/>
    </row>
    <row r="1568" customFormat="false" ht="16.5" hidden="false" customHeight="true" outlineLevel="0" collapsed="false">
      <c r="B1568" s="37" t="str">
        <f aca="false">IF(C1568="","",ROW()-9)</f>
        <v/>
      </c>
      <c r="C1568" s="38"/>
      <c r="D1568" s="39" t="str">
        <f aca="false">IF(C1568="","",IFERROR(TEXT(C1568,"MMMM"),""))</f>
        <v/>
      </c>
      <c r="E1568" s="40"/>
      <c r="F1568" s="41" t="str">
        <f aca="false">IF(E1568="","",IFERROR(INDEX('Chart of Accounts'!$C$4:$C$200,MATCH(TEXT(E1568,"@"),TEXT('Chart of Accounts'!$B$4:$B$200,"@"),0)),"⚠ Not Found"))</f>
        <v/>
      </c>
      <c r="G1568" s="42"/>
      <c r="H1568" s="43"/>
      <c r="I1568" s="43"/>
      <c r="J1568" s="40"/>
    </row>
    <row r="1569" customFormat="false" ht="16.5" hidden="false" customHeight="true" outlineLevel="0" collapsed="false">
      <c r="B1569" s="44" t="str">
        <f aca="false">IF(C1569="","",ROW()-9)</f>
        <v/>
      </c>
      <c r="C1569" s="45"/>
      <c r="D1569" s="46" t="str">
        <f aca="false">IF(C1569="","",IFERROR(TEXT(C1569,"MMMM"),""))</f>
        <v/>
      </c>
      <c r="E1569" s="47"/>
      <c r="F1569" s="48" t="str">
        <f aca="false">IF(E1569="","",IFERROR(INDEX('Chart of Accounts'!$C$4:$C$200,MATCH(TEXT(E1569,"@"),TEXT('Chart of Accounts'!$B$4:$B$200,"@"),0)),"⚠ Not Found"))</f>
        <v/>
      </c>
      <c r="G1569" s="49"/>
      <c r="H1569" s="50"/>
      <c r="I1569" s="50"/>
      <c r="J1569" s="47"/>
    </row>
    <row r="1570" customFormat="false" ht="16.5" hidden="false" customHeight="true" outlineLevel="0" collapsed="false">
      <c r="B1570" s="37" t="str">
        <f aca="false">IF(C1570="","",ROW()-9)</f>
        <v/>
      </c>
      <c r="C1570" s="38"/>
      <c r="D1570" s="39" t="str">
        <f aca="false">IF(C1570="","",IFERROR(TEXT(C1570,"MMMM"),""))</f>
        <v/>
      </c>
      <c r="E1570" s="40"/>
      <c r="F1570" s="41" t="str">
        <f aca="false">IF(E1570="","",IFERROR(INDEX('Chart of Accounts'!$C$4:$C$200,MATCH(TEXT(E1570,"@"),TEXT('Chart of Accounts'!$B$4:$B$200,"@"),0)),"⚠ Not Found"))</f>
        <v/>
      </c>
      <c r="G1570" s="42"/>
      <c r="H1570" s="43"/>
      <c r="I1570" s="43"/>
      <c r="J1570" s="40"/>
    </row>
    <row r="1571" customFormat="false" ht="16.5" hidden="false" customHeight="true" outlineLevel="0" collapsed="false">
      <c r="B1571" s="44" t="str">
        <f aca="false">IF(C1571="","",ROW()-9)</f>
        <v/>
      </c>
      <c r="C1571" s="45"/>
      <c r="D1571" s="46" t="str">
        <f aca="false">IF(C1571="","",IFERROR(TEXT(C1571,"MMMM"),""))</f>
        <v/>
      </c>
      <c r="E1571" s="47"/>
      <c r="F1571" s="48" t="str">
        <f aca="false">IF(E1571="","",IFERROR(INDEX('Chart of Accounts'!$C$4:$C$200,MATCH(TEXT(E1571,"@"),TEXT('Chart of Accounts'!$B$4:$B$200,"@"),0)),"⚠ Not Found"))</f>
        <v/>
      </c>
      <c r="G1571" s="49"/>
      <c r="H1571" s="50"/>
      <c r="I1571" s="50"/>
      <c r="J1571" s="47"/>
    </row>
    <row r="1572" customFormat="false" ht="16.5" hidden="false" customHeight="true" outlineLevel="0" collapsed="false">
      <c r="B1572" s="37" t="str">
        <f aca="false">IF(C1572="","",ROW()-9)</f>
        <v/>
      </c>
      <c r="C1572" s="38"/>
      <c r="D1572" s="39" t="str">
        <f aca="false">IF(C1572="","",IFERROR(TEXT(C1572,"MMMM"),""))</f>
        <v/>
      </c>
      <c r="E1572" s="40"/>
      <c r="F1572" s="41" t="str">
        <f aca="false">IF(E1572="","",IFERROR(INDEX('Chart of Accounts'!$C$4:$C$200,MATCH(TEXT(E1572,"@"),TEXT('Chart of Accounts'!$B$4:$B$200,"@"),0)),"⚠ Not Found"))</f>
        <v/>
      </c>
      <c r="G1572" s="42"/>
      <c r="H1572" s="43"/>
      <c r="I1572" s="43"/>
      <c r="J1572" s="40"/>
    </row>
    <row r="1573" customFormat="false" ht="16.5" hidden="false" customHeight="true" outlineLevel="0" collapsed="false">
      <c r="B1573" s="44" t="str">
        <f aca="false">IF(C1573="","",ROW()-9)</f>
        <v/>
      </c>
      <c r="C1573" s="45"/>
      <c r="D1573" s="46" t="str">
        <f aca="false">IF(C1573="","",IFERROR(TEXT(C1573,"MMMM"),""))</f>
        <v/>
      </c>
      <c r="E1573" s="47"/>
      <c r="F1573" s="48" t="str">
        <f aca="false">IF(E1573="","",IFERROR(INDEX('Chart of Accounts'!$C$4:$C$200,MATCH(TEXT(E1573,"@"),TEXT('Chart of Accounts'!$B$4:$B$200,"@"),0)),"⚠ Not Found"))</f>
        <v/>
      </c>
      <c r="G1573" s="49"/>
      <c r="H1573" s="50"/>
      <c r="I1573" s="50"/>
      <c r="J1573" s="47"/>
    </row>
    <row r="1574" customFormat="false" ht="16.5" hidden="false" customHeight="true" outlineLevel="0" collapsed="false">
      <c r="B1574" s="37" t="str">
        <f aca="false">IF(C1574="","",ROW()-9)</f>
        <v/>
      </c>
      <c r="C1574" s="38"/>
      <c r="D1574" s="39" t="str">
        <f aca="false">IF(C1574="","",IFERROR(TEXT(C1574,"MMMM"),""))</f>
        <v/>
      </c>
      <c r="E1574" s="40"/>
      <c r="F1574" s="41" t="str">
        <f aca="false">IF(E1574="","",IFERROR(INDEX('Chart of Accounts'!$C$4:$C$200,MATCH(TEXT(E1574,"@"),TEXT('Chart of Accounts'!$B$4:$B$200,"@"),0)),"⚠ Not Found"))</f>
        <v/>
      </c>
      <c r="G1574" s="42"/>
      <c r="H1574" s="43"/>
      <c r="I1574" s="43"/>
      <c r="J1574" s="40"/>
    </row>
    <row r="1575" customFormat="false" ht="16.5" hidden="false" customHeight="true" outlineLevel="0" collapsed="false">
      <c r="B1575" s="44" t="str">
        <f aca="false">IF(C1575="","",ROW()-9)</f>
        <v/>
      </c>
      <c r="C1575" s="45"/>
      <c r="D1575" s="46" t="str">
        <f aca="false">IF(C1575="","",IFERROR(TEXT(C1575,"MMMM"),""))</f>
        <v/>
      </c>
      <c r="E1575" s="47"/>
      <c r="F1575" s="48" t="str">
        <f aca="false">IF(E1575="","",IFERROR(INDEX('Chart of Accounts'!$C$4:$C$200,MATCH(TEXT(E1575,"@"),TEXT('Chart of Accounts'!$B$4:$B$200,"@"),0)),"⚠ Not Found"))</f>
        <v/>
      </c>
      <c r="G1575" s="49"/>
      <c r="H1575" s="50"/>
      <c r="I1575" s="50"/>
      <c r="J1575" s="47"/>
    </row>
    <row r="1576" customFormat="false" ht="16.5" hidden="false" customHeight="true" outlineLevel="0" collapsed="false">
      <c r="B1576" s="37" t="str">
        <f aca="false">IF(C1576="","",ROW()-9)</f>
        <v/>
      </c>
      <c r="C1576" s="38"/>
      <c r="D1576" s="39" t="str">
        <f aca="false">IF(C1576="","",IFERROR(TEXT(C1576,"MMMM"),""))</f>
        <v/>
      </c>
      <c r="E1576" s="40"/>
      <c r="F1576" s="41" t="str">
        <f aca="false">IF(E1576="","",IFERROR(INDEX('Chart of Accounts'!$C$4:$C$200,MATCH(TEXT(E1576,"@"),TEXT('Chart of Accounts'!$B$4:$B$200,"@"),0)),"⚠ Not Found"))</f>
        <v/>
      </c>
      <c r="G1576" s="42"/>
      <c r="H1576" s="43"/>
      <c r="I1576" s="43"/>
      <c r="J1576" s="40"/>
    </row>
    <row r="1577" customFormat="false" ht="16.5" hidden="false" customHeight="true" outlineLevel="0" collapsed="false">
      <c r="B1577" s="44" t="str">
        <f aca="false">IF(C1577="","",ROW()-9)</f>
        <v/>
      </c>
      <c r="C1577" s="45"/>
      <c r="D1577" s="46" t="str">
        <f aca="false">IF(C1577="","",IFERROR(TEXT(C1577,"MMMM"),""))</f>
        <v/>
      </c>
      <c r="E1577" s="47"/>
      <c r="F1577" s="48" t="str">
        <f aca="false">IF(E1577="","",IFERROR(INDEX('Chart of Accounts'!$C$4:$C$200,MATCH(TEXT(E1577,"@"),TEXT('Chart of Accounts'!$B$4:$B$200,"@"),0)),"⚠ Not Found"))</f>
        <v/>
      </c>
      <c r="G1577" s="49"/>
      <c r="H1577" s="50"/>
      <c r="I1577" s="50"/>
      <c r="J1577" s="47"/>
    </row>
    <row r="1578" customFormat="false" ht="16.5" hidden="false" customHeight="true" outlineLevel="0" collapsed="false">
      <c r="B1578" s="37" t="str">
        <f aca="false">IF(C1578="","",ROW()-9)</f>
        <v/>
      </c>
      <c r="C1578" s="38"/>
      <c r="D1578" s="39" t="str">
        <f aca="false">IF(C1578="","",IFERROR(TEXT(C1578,"MMMM"),""))</f>
        <v/>
      </c>
      <c r="E1578" s="40"/>
      <c r="F1578" s="41" t="str">
        <f aca="false">IF(E1578="","",IFERROR(INDEX('Chart of Accounts'!$C$4:$C$200,MATCH(TEXT(E1578,"@"),TEXT('Chart of Accounts'!$B$4:$B$200,"@"),0)),"⚠ Not Found"))</f>
        <v/>
      </c>
      <c r="G1578" s="42"/>
      <c r="H1578" s="43"/>
      <c r="I1578" s="43"/>
      <c r="J1578" s="40"/>
    </row>
    <row r="1579" customFormat="false" ht="16.5" hidden="false" customHeight="true" outlineLevel="0" collapsed="false">
      <c r="B1579" s="44" t="str">
        <f aca="false">IF(C1579="","",ROW()-9)</f>
        <v/>
      </c>
      <c r="C1579" s="45"/>
      <c r="D1579" s="46" t="str">
        <f aca="false">IF(C1579="","",IFERROR(TEXT(C1579,"MMMM"),""))</f>
        <v/>
      </c>
      <c r="E1579" s="47"/>
      <c r="F1579" s="48" t="str">
        <f aca="false">IF(E1579="","",IFERROR(INDEX('Chart of Accounts'!$C$4:$C$200,MATCH(TEXT(E1579,"@"),TEXT('Chart of Accounts'!$B$4:$B$200,"@"),0)),"⚠ Not Found"))</f>
        <v/>
      </c>
      <c r="G1579" s="49"/>
      <c r="H1579" s="50"/>
      <c r="I1579" s="50"/>
      <c r="J1579" s="47"/>
    </row>
    <row r="1580" customFormat="false" ht="16.5" hidden="false" customHeight="true" outlineLevel="0" collapsed="false">
      <c r="B1580" s="37" t="str">
        <f aca="false">IF(C1580="","",ROW()-9)</f>
        <v/>
      </c>
      <c r="C1580" s="38"/>
      <c r="D1580" s="39" t="str">
        <f aca="false">IF(C1580="","",IFERROR(TEXT(C1580,"MMMM"),""))</f>
        <v/>
      </c>
      <c r="E1580" s="40"/>
      <c r="F1580" s="41" t="str">
        <f aca="false">IF(E1580="","",IFERROR(INDEX('Chart of Accounts'!$C$4:$C$200,MATCH(TEXT(E1580,"@"),TEXT('Chart of Accounts'!$B$4:$B$200,"@"),0)),"⚠ Not Found"))</f>
        <v/>
      </c>
      <c r="G1580" s="42"/>
      <c r="H1580" s="43"/>
      <c r="I1580" s="43"/>
      <c r="J1580" s="40"/>
    </row>
    <row r="1581" customFormat="false" ht="16.5" hidden="false" customHeight="true" outlineLevel="0" collapsed="false">
      <c r="B1581" s="44" t="str">
        <f aca="false">IF(C1581="","",ROW()-9)</f>
        <v/>
      </c>
      <c r="C1581" s="45"/>
      <c r="D1581" s="46" t="str">
        <f aca="false">IF(C1581="","",IFERROR(TEXT(C1581,"MMMM"),""))</f>
        <v/>
      </c>
      <c r="E1581" s="47"/>
      <c r="F1581" s="48" t="str">
        <f aca="false">IF(E1581="","",IFERROR(INDEX('Chart of Accounts'!$C$4:$C$200,MATCH(TEXT(E1581,"@"),TEXT('Chart of Accounts'!$B$4:$B$200,"@"),0)),"⚠ Not Found"))</f>
        <v/>
      </c>
      <c r="G1581" s="49"/>
      <c r="H1581" s="50"/>
      <c r="I1581" s="50"/>
      <c r="J1581" s="47"/>
    </row>
    <row r="1582" customFormat="false" ht="16.5" hidden="false" customHeight="true" outlineLevel="0" collapsed="false">
      <c r="B1582" s="37" t="str">
        <f aca="false">IF(C1582="","",ROW()-9)</f>
        <v/>
      </c>
      <c r="C1582" s="38"/>
      <c r="D1582" s="39" t="str">
        <f aca="false">IF(C1582="","",IFERROR(TEXT(C1582,"MMMM"),""))</f>
        <v/>
      </c>
      <c r="E1582" s="40"/>
      <c r="F1582" s="41" t="str">
        <f aca="false">IF(E1582="","",IFERROR(INDEX('Chart of Accounts'!$C$4:$C$200,MATCH(TEXT(E1582,"@"),TEXT('Chart of Accounts'!$B$4:$B$200,"@"),0)),"⚠ Not Found"))</f>
        <v/>
      </c>
      <c r="G1582" s="42"/>
      <c r="H1582" s="43"/>
      <c r="I1582" s="43"/>
      <c r="J1582" s="40"/>
    </row>
    <row r="1583" customFormat="false" ht="16.5" hidden="false" customHeight="true" outlineLevel="0" collapsed="false">
      <c r="B1583" s="44" t="str">
        <f aca="false">IF(C1583="","",ROW()-9)</f>
        <v/>
      </c>
      <c r="C1583" s="45"/>
      <c r="D1583" s="46" t="str">
        <f aca="false">IF(C1583="","",IFERROR(TEXT(C1583,"MMMM"),""))</f>
        <v/>
      </c>
      <c r="E1583" s="47"/>
      <c r="F1583" s="48" t="str">
        <f aca="false">IF(E1583="","",IFERROR(INDEX('Chart of Accounts'!$C$4:$C$200,MATCH(TEXT(E1583,"@"),TEXT('Chart of Accounts'!$B$4:$B$200,"@"),0)),"⚠ Not Found"))</f>
        <v/>
      </c>
      <c r="G1583" s="49"/>
      <c r="H1583" s="50"/>
      <c r="I1583" s="50"/>
      <c r="J1583" s="47"/>
    </row>
    <row r="1584" customFormat="false" ht="16.5" hidden="false" customHeight="true" outlineLevel="0" collapsed="false">
      <c r="B1584" s="37" t="str">
        <f aca="false">IF(C1584="","",ROW()-9)</f>
        <v/>
      </c>
      <c r="C1584" s="38"/>
      <c r="D1584" s="39" t="str">
        <f aca="false">IF(C1584="","",IFERROR(TEXT(C1584,"MMMM"),""))</f>
        <v/>
      </c>
      <c r="E1584" s="40"/>
      <c r="F1584" s="41" t="str">
        <f aca="false">IF(E1584="","",IFERROR(INDEX('Chart of Accounts'!$C$4:$C$200,MATCH(TEXT(E1584,"@"),TEXT('Chart of Accounts'!$B$4:$B$200,"@"),0)),"⚠ Not Found"))</f>
        <v/>
      </c>
      <c r="G1584" s="42"/>
      <c r="H1584" s="43"/>
      <c r="I1584" s="43"/>
      <c r="J1584" s="40"/>
    </row>
    <row r="1585" customFormat="false" ht="16.5" hidden="false" customHeight="true" outlineLevel="0" collapsed="false">
      <c r="B1585" s="44" t="str">
        <f aca="false">IF(C1585="","",ROW()-9)</f>
        <v/>
      </c>
      <c r="C1585" s="45"/>
      <c r="D1585" s="46" t="str">
        <f aca="false">IF(C1585="","",IFERROR(TEXT(C1585,"MMMM"),""))</f>
        <v/>
      </c>
      <c r="E1585" s="47"/>
      <c r="F1585" s="48" t="str">
        <f aca="false">IF(E1585="","",IFERROR(INDEX('Chart of Accounts'!$C$4:$C$200,MATCH(TEXT(E1585,"@"),TEXT('Chart of Accounts'!$B$4:$B$200,"@"),0)),"⚠ Not Found"))</f>
        <v/>
      </c>
      <c r="G1585" s="49"/>
      <c r="H1585" s="50"/>
      <c r="I1585" s="50"/>
      <c r="J1585" s="47"/>
    </row>
    <row r="1586" customFormat="false" ht="16.5" hidden="false" customHeight="true" outlineLevel="0" collapsed="false">
      <c r="B1586" s="37" t="str">
        <f aca="false">IF(C1586="","",ROW()-9)</f>
        <v/>
      </c>
      <c r="C1586" s="38"/>
      <c r="D1586" s="39" t="str">
        <f aca="false">IF(C1586="","",IFERROR(TEXT(C1586,"MMMM"),""))</f>
        <v/>
      </c>
      <c r="E1586" s="40"/>
      <c r="F1586" s="41" t="str">
        <f aca="false">IF(E1586="","",IFERROR(INDEX('Chart of Accounts'!$C$4:$C$200,MATCH(TEXT(E1586,"@"),TEXT('Chart of Accounts'!$B$4:$B$200,"@"),0)),"⚠ Not Found"))</f>
        <v/>
      </c>
      <c r="G1586" s="42"/>
      <c r="H1586" s="43"/>
      <c r="I1586" s="43"/>
      <c r="J1586" s="40"/>
    </row>
    <row r="1587" customFormat="false" ht="16.5" hidden="false" customHeight="true" outlineLevel="0" collapsed="false">
      <c r="B1587" s="44" t="str">
        <f aca="false">IF(C1587="","",ROW()-9)</f>
        <v/>
      </c>
      <c r="C1587" s="45"/>
      <c r="D1587" s="46" t="str">
        <f aca="false">IF(C1587="","",IFERROR(TEXT(C1587,"MMMM"),""))</f>
        <v/>
      </c>
      <c r="E1587" s="47"/>
      <c r="F1587" s="48" t="str">
        <f aca="false">IF(E1587="","",IFERROR(INDEX('Chart of Accounts'!$C$4:$C$200,MATCH(TEXT(E1587,"@"),TEXT('Chart of Accounts'!$B$4:$B$200,"@"),0)),"⚠ Not Found"))</f>
        <v/>
      </c>
      <c r="G1587" s="49"/>
      <c r="H1587" s="50"/>
      <c r="I1587" s="50"/>
      <c r="J1587" s="47"/>
    </row>
    <row r="1588" customFormat="false" ht="16.5" hidden="false" customHeight="true" outlineLevel="0" collapsed="false">
      <c r="B1588" s="37" t="str">
        <f aca="false">IF(C1588="","",ROW()-9)</f>
        <v/>
      </c>
      <c r="C1588" s="38"/>
      <c r="D1588" s="39" t="str">
        <f aca="false">IF(C1588="","",IFERROR(TEXT(C1588,"MMMM"),""))</f>
        <v/>
      </c>
      <c r="E1588" s="40"/>
      <c r="F1588" s="41" t="str">
        <f aca="false">IF(E1588="","",IFERROR(INDEX('Chart of Accounts'!$C$4:$C$200,MATCH(TEXT(E1588,"@"),TEXT('Chart of Accounts'!$B$4:$B$200,"@"),0)),"⚠ Not Found"))</f>
        <v/>
      </c>
      <c r="G1588" s="42"/>
      <c r="H1588" s="43"/>
      <c r="I1588" s="43"/>
      <c r="J1588" s="40"/>
    </row>
    <row r="1589" customFormat="false" ht="16.5" hidden="false" customHeight="true" outlineLevel="0" collapsed="false">
      <c r="B1589" s="44" t="str">
        <f aca="false">IF(C1589="","",ROW()-9)</f>
        <v/>
      </c>
      <c r="C1589" s="45"/>
      <c r="D1589" s="46" t="str">
        <f aca="false">IF(C1589="","",IFERROR(TEXT(C1589,"MMMM"),""))</f>
        <v/>
      </c>
      <c r="E1589" s="47"/>
      <c r="F1589" s="48" t="str">
        <f aca="false">IF(E1589="","",IFERROR(INDEX('Chart of Accounts'!$C$4:$C$200,MATCH(TEXT(E1589,"@"),TEXT('Chart of Accounts'!$B$4:$B$200,"@"),0)),"⚠ Not Found"))</f>
        <v/>
      </c>
      <c r="G1589" s="49"/>
      <c r="H1589" s="50"/>
      <c r="I1589" s="50"/>
      <c r="J1589" s="47"/>
    </row>
    <row r="1590" customFormat="false" ht="16.5" hidden="false" customHeight="true" outlineLevel="0" collapsed="false">
      <c r="B1590" s="37" t="str">
        <f aca="false">IF(C1590="","",ROW()-9)</f>
        <v/>
      </c>
      <c r="C1590" s="38"/>
      <c r="D1590" s="39" t="str">
        <f aca="false">IF(C1590="","",IFERROR(TEXT(C1590,"MMMM"),""))</f>
        <v/>
      </c>
      <c r="E1590" s="40"/>
      <c r="F1590" s="41" t="str">
        <f aca="false">IF(E1590="","",IFERROR(INDEX('Chart of Accounts'!$C$4:$C$200,MATCH(TEXT(E1590,"@"),TEXT('Chart of Accounts'!$B$4:$B$200,"@"),0)),"⚠ Not Found"))</f>
        <v/>
      </c>
      <c r="G1590" s="42"/>
      <c r="H1590" s="43"/>
      <c r="I1590" s="43"/>
      <c r="J1590" s="40"/>
    </row>
    <row r="1591" customFormat="false" ht="16.5" hidden="false" customHeight="true" outlineLevel="0" collapsed="false">
      <c r="B1591" s="44" t="str">
        <f aca="false">IF(C1591="","",ROW()-9)</f>
        <v/>
      </c>
      <c r="C1591" s="45"/>
      <c r="D1591" s="46" t="str">
        <f aca="false">IF(C1591="","",IFERROR(TEXT(C1591,"MMMM"),""))</f>
        <v/>
      </c>
      <c r="E1591" s="47"/>
      <c r="F1591" s="48" t="str">
        <f aca="false">IF(E1591="","",IFERROR(INDEX('Chart of Accounts'!$C$4:$C$200,MATCH(TEXT(E1591,"@"),TEXT('Chart of Accounts'!$B$4:$B$200,"@"),0)),"⚠ Not Found"))</f>
        <v/>
      </c>
      <c r="G1591" s="49"/>
      <c r="H1591" s="50"/>
      <c r="I1591" s="50"/>
      <c r="J1591" s="47"/>
    </row>
    <row r="1592" customFormat="false" ht="16.5" hidden="false" customHeight="true" outlineLevel="0" collapsed="false">
      <c r="B1592" s="37" t="str">
        <f aca="false">IF(C1592="","",ROW()-9)</f>
        <v/>
      </c>
      <c r="C1592" s="38"/>
      <c r="D1592" s="39" t="str">
        <f aca="false">IF(C1592="","",IFERROR(TEXT(C1592,"MMMM"),""))</f>
        <v/>
      </c>
      <c r="E1592" s="40"/>
      <c r="F1592" s="41" t="str">
        <f aca="false">IF(E1592="","",IFERROR(INDEX('Chart of Accounts'!$C$4:$C$200,MATCH(TEXT(E1592,"@"),TEXT('Chart of Accounts'!$B$4:$B$200,"@"),0)),"⚠ Not Found"))</f>
        <v/>
      </c>
      <c r="G1592" s="42"/>
      <c r="H1592" s="43"/>
      <c r="I1592" s="43"/>
      <c r="J1592" s="40"/>
    </row>
    <row r="1593" customFormat="false" ht="16.5" hidden="false" customHeight="true" outlineLevel="0" collapsed="false">
      <c r="B1593" s="44" t="str">
        <f aca="false">IF(C1593="","",ROW()-9)</f>
        <v/>
      </c>
      <c r="C1593" s="45"/>
      <c r="D1593" s="46" t="str">
        <f aca="false">IF(C1593="","",IFERROR(TEXT(C1593,"MMMM"),""))</f>
        <v/>
      </c>
      <c r="E1593" s="47"/>
      <c r="F1593" s="48" t="str">
        <f aca="false">IF(E1593="","",IFERROR(INDEX('Chart of Accounts'!$C$4:$C$200,MATCH(TEXT(E1593,"@"),TEXT('Chart of Accounts'!$B$4:$B$200,"@"),0)),"⚠ Not Found"))</f>
        <v/>
      </c>
      <c r="G1593" s="49"/>
      <c r="H1593" s="50"/>
      <c r="I1593" s="50"/>
      <c r="J1593" s="47"/>
    </row>
    <row r="1594" customFormat="false" ht="16.5" hidden="false" customHeight="true" outlineLevel="0" collapsed="false">
      <c r="B1594" s="37" t="str">
        <f aca="false">IF(C1594="","",ROW()-9)</f>
        <v/>
      </c>
      <c r="C1594" s="38"/>
      <c r="D1594" s="39" t="str">
        <f aca="false">IF(C1594="","",IFERROR(TEXT(C1594,"MMMM"),""))</f>
        <v/>
      </c>
      <c r="E1594" s="40"/>
      <c r="F1594" s="41" t="str">
        <f aca="false">IF(E1594="","",IFERROR(INDEX('Chart of Accounts'!$C$4:$C$200,MATCH(TEXT(E1594,"@"),TEXT('Chart of Accounts'!$B$4:$B$200,"@"),0)),"⚠ Not Found"))</f>
        <v/>
      </c>
      <c r="G1594" s="42"/>
      <c r="H1594" s="43"/>
      <c r="I1594" s="43"/>
      <c r="J1594" s="40"/>
    </row>
    <row r="1595" customFormat="false" ht="16.5" hidden="false" customHeight="true" outlineLevel="0" collapsed="false">
      <c r="B1595" s="44" t="str">
        <f aca="false">IF(C1595="","",ROW()-9)</f>
        <v/>
      </c>
      <c r="C1595" s="45"/>
      <c r="D1595" s="46" t="str">
        <f aca="false">IF(C1595="","",IFERROR(TEXT(C1595,"MMMM"),""))</f>
        <v/>
      </c>
      <c r="E1595" s="47"/>
      <c r="F1595" s="48" t="str">
        <f aca="false">IF(E1595="","",IFERROR(INDEX('Chart of Accounts'!$C$4:$C$200,MATCH(TEXT(E1595,"@"),TEXT('Chart of Accounts'!$B$4:$B$200,"@"),0)),"⚠ Not Found"))</f>
        <v/>
      </c>
      <c r="G1595" s="49"/>
      <c r="H1595" s="50"/>
      <c r="I1595" s="50"/>
      <c r="J1595" s="47"/>
    </row>
    <row r="1596" customFormat="false" ht="16.5" hidden="false" customHeight="true" outlineLevel="0" collapsed="false">
      <c r="B1596" s="37" t="str">
        <f aca="false">IF(C1596="","",ROW()-9)</f>
        <v/>
      </c>
      <c r="C1596" s="38"/>
      <c r="D1596" s="39" t="str">
        <f aca="false">IF(C1596="","",IFERROR(TEXT(C1596,"MMMM"),""))</f>
        <v/>
      </c>
      <c r="E1596" s="40"/>
      <c r="F1596" s="41" t="str">
        <f aca="false">IF(E1596="","",IFERROR(INDEX('Chart of Accounts'!$C$4:$C$200,MATCH(TEXT(E1596,"@"),TEXT('Chart of Accounts'!$B$4:$B$200,"@"),0)),"⚠ Not Found"))</f>
        <v/>
      </c>
      <c r="G1596" s="42"/>
      <c r="H1596" s="43"/>
      <c r="I1596" s="43"/>
      <c r="J1596" s="40"/>
    </row>
    <row r="1597" customFormat="false" ht="16.5" hidden="false" customHeight="true" outlineLevel="0" collapsed="false">
      <c r="B1597" s="44" t="str">
        <f aca="false">IF(C1597="","",ROW()-9)</f>
        <v/>
      </c>
      <c r="C1597" s="45"/>
      <c r="D1597" s="46" t="str">
        <f aca="false">IF(C1597="","",IFERROR(TEXT(C1597,"MMMM"),""))</f>
        <v/>
      </c>
      <c r="E1597" s="47"/>
      <c r="F1597" s="48" t="str">
        <f aca="false">IF(E1597="","",IFERROR(INDEX('Chart of Accounts'!$C$4:$C$200,MATCH(TEXT(E1597,"@"),TEXT('Chart of Accounts'!$B$4:$B$200,"@"),0)),"⚠ Not Found"))</f>
        <v/>
      </c>
      <c r="G1597" s="49"/>
      <c r="H1597" s="50"/>
      <c r="I1597" s="50"/>
      <c r="J1597" s="47"/>
    </row>
    <row r="1598" customFormat="false" ht="16.5" hidden="false" customHeight="true" outlineLevel="0" collapsed="false">
      <c r="B1598" s="37" t="str">
        <f aca="false">IF(C1598="","",ROW()-9)</f>
        <v/>
      </c>
      <c r="C1598" s="38"/>
      <c r="D1598" s="39" t="str">
        <f aca="false">IF(C1598="","",IFERROR(TEXT(C1598,"MMMM"),""))</f>
        <v/>
      </c>
      <c r="E1598" s="40"/>
      <c r="F1598" s="41" t="str">
        <f aca="false">IF(E1598="","",IFERROR(INDEX('Chart of Accounts'!$C$4:$C$200,MATCH(TEXT(E1598,"@"),TEXT('Chart of Accounts'!$B$4:$B$200,"@"),0)),"⚠ Not Found"))</f>
        <v/>
      </c>
      <c r="G1598" s="42"/>
      <c r="H1598" s="43"/>
      <c r="I1598" s="43"/>
      <c r="J1598" s="40"/>
    </row>
    <row r="1599" customFormat="false" ht="16.5" hidden="false" customHeight="true" outlineLevel="0" collapsed="false">
      <c r="B1599" s="44" t="str">
        <f aca="false">IF(C1599="","",ROW()-9)</f>
        <v/>
      </c>
      <c r="C1599" s="45"/>
      <c r="D1599" s="46" t="str">
        <f aca="false">IF(C1599="","",IFERROR(TEXT(C1599,"MMMM"),""))</f>
        <v/>
      </c>
      <c r="E1599" s="47"/>
      <c r="F1599" s="48" t="str">
        <f aca="false">IF(E1599="","",IFERROR(INDEX('Chart of Accounts'!$C$4:$C$200,MATCH(TEXT(E1599,"@"),TEXT('Chart of Accounts'!$B$4:$B$200,"@"),0)),"⚠ Not Found"))</f>
        <v/>
      </c>
      <c r="G1599" s="49"/>
      <c r="H1599" s="50"/>
      <c r="I1599" s="50"/>
      <c r="J1599" s="47"/>
    </row>
    <row r="1600" customFormat="false" ht="16.5" hidden="false" customHeight="true" outlineLevel="0" collapsed="false">
      <c r="B1600" s="37" t="str">
        <f aca="false">IF(C1600="","",ROW()-9)</f>
        <v/>
      </c>
      <c r="C1600" s="38"/>
      <c r="D1600" s="39" t="str">
        <f aca="false">IF(C1600="","",IFERROR(TEXT(C1600,"MMMM"),""))</f>
        <v/>
      </c>
      <c r="E1600" s="40"/>
      <c r="F1600" s="41" t="str">
        <f aca="false">IF(E1600="","",IFERROR(INDEX('Chart of Accounts'!$C$4:$C$200,MATCH(TEXT(E1600,"@"),TEXT('Chart of Accounts'!$B$4:$B$200,"@"),0)),"⚠ Not Found"))</f>
        <v/>
      </c>
      <c r="G1600" s="42"/>
      <c r="H1600" s="43"/>
      <c r="I1600" s="43"/>
      <c r="J1600" s="40"/>
    </row>
    <row r="1601" customFormat="false" ht="16.5" hidden="false" customHeight="true" outlineLevel="0" collapsed="false">
      <c r="B1601" s="44" t="str">
        <f aca="false">IF(C1601="","",ROW()-9)</f>
        <v/>
      </c>
      <c r="C1601" s="45"/>
      <c r="D1601" s="46" t="str">
        <f aca="false">IF(C1601="","",IFERROR(TEXT(C1601,"MMMM"),""))</f>
        <v/>
      </c>
      <c r="E1601" s="47"/>
      <c r="F1601" s="48" t="str">
        <f aca="false">IF(E1601="","",IFERROR(INDEX('Chart of Accounts'!$C$4:$C$200,MATCH(TEXT(E1601,"@"),TEXT('Chart of Accounts'!$B$4:$B$200,"@"),0)),"⚠ Not Found"))</f>
        <v/>
      </c>
      <c r="G1601" s="49"/>
      <c r="H1601" s="50"/>
      <c r="I1601" s="50"/>
      <c r="J1601" s="47"/>
    </row>
    <row r="1602" customFormat="false" ht="16.5" hidden="false" customHeight="true" outlineLevel="0" collapsed="false">
      <c r="B1602" s="37" t="str">
        <f aca="false">IF(C1602="","",ROW()-9)</f>
        <v/>
      </c>
      <c r="C1602" s="38"/>
      <c r="D1602" s="39" t="str">
        <f aca="false">IF(C1602="","",IFERROR(TEXT(C1602,"MMMM"),""))</f>
        <v/>
      </c>
      <c r="E1602" s="40"/>
      <c r="F1602" s="41" t="str">
        <f aca="false">IF(E1602="","",IFERROR(INDEX('Chart of Accounts'!$C$4:$C$200,MATCH(TEXT(E1602,"@"),TEXT('Chart of Accounts'!$B$4:$B$200,"@"),0)),"⚠ Not Found"))</f>
        <v/>
      </c>
      <c r="G1602" s="42"/>
      <c r="H1602" s="43"/>
      <c r="I1602" s="43"/>
      <c r="J1602" s="40"/>
    </row>
    <row r="1603" customFormat="false" ht="16.5" hidden="false" customHeight="true" outlineLevel="0" collapsed="false">
      <c r="B1603" s="44" t="str">
        <f aca="false">IF(C1603="","",ROW()-9)</f>
        <v/>
      </c>
      <c r="C1603" s="45"/>
      <c r="D1603" s="46" t="str">
        <f aca="false">IF(C1603="","",IFERROR(TEXT(C1603,"MMMM"),""))</f>
        <v/>
      </c>
      <c r="E1603" s="47"/>
      <c r="F1603" s="48" t="str">
        <f aca="false">IF(E1603="","",IFERROR(INDEX('Chart of Accounts'!$C$4:$C$200,MATCH(TEXT(E1603,"@"),TEXT('Chart of Accounts'!$B$4:$B$200,"@"),0)),"⚠ Not Found"))</f>
        <v/>
      </c>
      <c r="G1603" s="49"/>
      <c r="H1603" s="50"/>
      <c r="I1603" s="50"/>
      <c r="J1603" s="47"/>
    </row>
    <row r="1604" customFormat="false" ht="16.5" hidden="false" customHeight="true" outlineLevel="0" collapsed="false">
      <c r="B1604" s="37" t="str">
        <f aca="false">IF(C1604="","",ROW()-9)</f>
        <v/>
      </c>
      <c r="C1604" s="38"/>
      <c r="D1604" s="39" t="str">
        <f aca="false">IF(C1604="","",IFERROR(TEXT(C1604,"MMMM"),""))</f>
        <v/>
      </c>
      <c r="E1604" s="40"/>
      <c r="F1604" s="41" t="str">
        <f aca="false">IF(E1604="","",IFERROR(INDEX('Chart of Accounts'!$C$4:$C$200,MATCH(TEXT(E1604,"@"),TEXT('Chart of Accounts'!$B$4:$B$200,"@"),0)),"⚠ Not Found"))</f>
        <v/>
      </c>
      <c r="G1604" s="42"/>
      <c r="H1604" s="43"/>
      <c r="I1604" s="43"/>
      <c r="J1604" s="40"/>
    </row>
    <row r="1605" customFormat="false" ht="16.5" hidden="false" customHeight="true" outlineLevel="0" collapsed="false">
      <c r="B1605" s="44" t="str">
        <f aca="false">IF(C1605="","",ROW()-9)</f>
        <v/>
      </c>
      <c r="C1605" s="45"/>
      <c r="D1605" s="46" t="str">
        <f aca="false">IF(C1605="","",IFERROR(TEXT(C1605,"MMMM"),""))</f>
        <v/>
      </c>
      <c r="E1605" s="47"/>
      <c r="F1605" s="48" t="str">
        <f aca="false">IF(E1605="","",IFERROR(INDEX('Chart of Accounts'!$C$4:$C$200,MATCH(TEXT(E1605,"@"),TEXT('Chart of Accounts'!$B$4:$B$200,"@"),0)),"⚠ Not Found"))</f>
        <v/>
      </c>
      <c r="G1605" s="49"/>
      <c r="H1605" s="50"/>
      <c r="I1605" s="50"/>
      <c r="J1605" s="47"/>
    </row>
    <row r="1606" customFormat="false" ht="16.5" hidden="false" customHeight="true" outlineLevel="0" collapsed="false">
      <c r="B1606" s="37" t="str">
        <f aca="false">IF(C1606="","",ROW()-9)</f>
        <v/>
      </c>
      <c r="C1606" s="38"/>
      <c r="D1606" s="39" t="str">
        <f aca="false">IF(C1606="","",IFERROR(TEXT(C1606,"MMMM"),""))</f>
        <v/>
      </c>
      <c r="E1606" s="40"/>
      <c r="F1606" s="41" t="str">
        <f aca="false">IF(E1606="","",IFERROR(INDEX('Chart of Accounts'!$C$4:$C$200,MATCH(TEXT(E1606,"@"),TEXT('Chart of Accounts'!$B$4:$B$200,"@"),0)),"⚠ Not Found"))</f>
        <v/>
      </c>
      <c r="G1606" s="42"/>
      <c r="H1606" s="43"/>
      <c r="I1606" s="43"/>
      <c r="J1606" s="40"/>
    </row>
    <row r="1607" customFormat="false" ht="16.5" hidden="false" customHeight="true" outlineLevel="0" collapsed="false">
      <c r="B1607" s="44" t="str">
        <f aca="false">IF(C1607="","",ROW()-9)</f>
        <v/>
      </c>
      <c r="C1607" s="45"/>
      <c r="D1607" s="46" t="str">
        <f aca="false">IF(C1607="","",IFERROR(TEXT(C1607,"MMMM"),""))</f>
        <v/>
      </c>
      <c r="E1607" s="47"/>
      <c r="F1607" s="48" t="str">
        <f aca="false">IF(E1607="","",IFERROR(INDEX('Chart of Accounts'!$C$4:$C$200,MATCH(TEXT(E1607,"@"),TEXT('Chart of Accounts'!$B$4:$B$200,"@"),0)),"⚠ Not Found"))</f>
        <v/>
      </c>
      <c r="G1607" s="49"/>
      <c r="H1607" s="50"/>
      <c r="I1607" s="50"/>
      <c r="J1607" s="47"/>
    </row>
    <row r="1608" customFormat="false" ht="16.5" hidden="false" customHeight="true" outlineLevel="0" collapsed="false">
      <c r="B1608" s="37" t="str">
        <f aca="false">IF(C1608="","",ROW()-9)</f>
        <v/>
      </c>
      <c r="C1608" s="38"/>
      <c r="D1608" s="39" t="str">
        <f aca="false">IF(C1608="","",IFERROR(TEXT(C1608,"MMMM"),""))</f>
        <v/>
      </c>
      <c r="E1608" s="40"/>
      <c r="F1608" s="41" t="str">
        <f aca="false">IF(E1608="","",IFERROR(INDEX('Chart of Accounts'!$C$4:$C$200,MATCH(TEXT(E1608,"@"),TEXT('Chart of Accounts'!$B$4:$B$200,"@"),0)),"⚠ Not Found"))</f>
        <v/>
      </c>
      <c r="G1608" s="42"/>
      <c r="H1608" s="43"/>
      <c r="I1608" s="43"/>
      <c r="J1608" s="40"/>
    </row>
    <row r="1609" customFormat="false" ht="16.5" hidden="false" customHeight="true" outlineLevel="0" collapsed="false">
      <c r="B1609" s="44" t="str">
        <f aca="false">IF(C1609="","",ROW()-9)</f>
        <v/>
      </c>
      <c r="C1609" s="45"/>
      <c r="D1609" s="46" t="str">
        <f aca="false">IF(C1609="","",IFERROR(TEXT(C1609,"MMMM"),""))</f>
        <v/>
      </c>
      <c r="E1609" s="47"/>
      <c r="F1609" s="48" t="str">
        <f aca="false">IF(E1609="","",IFERROR(INDEX('Chart of Accounts'!$C$4:$C$200,MATCH(TEXT(E1609,"@"),TEXT('Chart of Accounts'!$B$4:$B$200,"@"),0)),"⚠ Not Found"))</f>
        <v/>
      </c>
      <c r="G1609" s="49"/>
      <c r="H1609" s="50"/>
      <c r="I1609" s="50"/>
      <c r="J1609" s="47"/>
    </row>
    <row r="1610" customFormat="false" ht="16.5" hidden="false" customHeight="true" outlineLevel="0" collapsed="false">
      <c r="B1610" s="37" t="str">
        <f aca="false">IF(C1610="","",ROW()-9)</f>
        <v/>
      </c>
      <c r="C1610" s="38"/>
      <c r="D1610" s="39" t="str">
        <f aca="false">IF(C1610="","",IFERROR(TEXT(C1610,"MMMM"),""))</f>
        <v/>
      </c>
      <c r="E1610" s="40"/>
      <c r="F1610" s="41" t="str">
        <f aca="false">IF(E1610="","",IFERROR(INDEX('Chart of Accounts'!$C$4:$C$200,MATCH(TEXT(E1610,"@"),TEXT('Chart of Accounts'!$B$4:$B$200,"@"),0)),"⚠ Not Found"))</f>
        <v/>
      </c>
      <c r="G1610" s="42"/>
      <c r="H1610" s="43"/>
      <c r="I1610" s="43"/>
      <c r="J1610" s="40"/>
    </row>
    <row r="1611" customFormat="false" ht="16.5" hidden="false" customHeight="true" outlineLevel="0" collapsed="false">
      <c r="B1611" s="44" t="str">
        <f aca="false">IF(C1611="","",ROW()-9)</f>
        <v/>
      </c>
      <c r="C1611" s="45"/>
      <c r="D1611" s="46" t="str">
        <f aca="false">IF(C1611="","",IFERROR(TEXT(C1611,"MMMM"),""))</f>
        <v/>
      </c>
      <c r="E1611" s="47"/>
      <c r="F1611" s="48" t="str">
        <f aca="false">IF(E1611="","",IFERROR(INDEX('Chart of Accounts'!$C$4:$C$200,MATCH(TEXT(E1611,"@"),TEXT('Chart of Accounts'!$B$4:$B$200,"@"),0)),"⚠ Not Found"))</f>
        <v/>
      </c>
      <c r="G1611" s="49"/>
      <c r="H1611" s="50"/>
      <c r="I1611" s="50"/>
      <c r="J1611" s="47"/>
    </row>
    <row r="1612" customFormat="false" ht="16.5" hidden="false" customHeight="true" outlineLevel="0" collapsed="false">
      <c r="B1612" s="37" t="str">
        <f aca="false">IF(C1612="","",ROW()-9)</f>
        <v/>
      </c>
      <c r="C1612" s="38"/>
      <c r="D1612" s="39" t="str">
        <f aca="false">IF(C1612="","",IFERROR(TEXT(C1612,"MMMM"),""))</f>
        <v/>
      </c>
      <c r="E1612" s="40"/>
      <c r="F1612" s="41" t="str">
        <f aca="false">IF(E1612="","",IFERROR(INDEX('Chart of Accounts'!$C$4:$C$200,MATCH(TEXT(E1612,"@"),TEXT('Chart of Accounts'!$B$4:$B$200,"@"),0)),"⚠ Not Found"))</f>
        <v/>
      </c>
      <c r="G1612" s="42"/>
      <c r="H1612" s="43"/>
      <c r="I1612" s="43"/>
      <c r="J1612" s="40"/>
    </row>
    <row r="1613" customFormat="false" ht="16.5" hidden="false" customHeight="true" outlineLevel="0" collapsed="false">
      <c r="B1613" s="44" t="str">
        <f aca="false">IF(C1613="","",ROW()-9)</f>
        <v/>
      </c>
      <c r="C1613" s="45"/>
      <c r="D1613" s="46" t="str">
        <f aca="false">IF(C1613="","",IFERROR(TEXT(C1613,"MMMM"),""))</f>
        <v/>
      </c>
      <c r="E1613" s="47"/>
      <c r="F1613" s="48" t="str">
        <f aca="false">IF(E1613="","",IFERROR(INDEX('Chart of Accounts'!$C$4:$C$200,MATCH(TEXT(E1613,"@"),TEXT('Chart of Accounts'!$B$4:$B$200,"@"),0)),"⚠ Not Found"))</f>
        <v/>
      </c>
      <c r="G1613" s="49"/>
      <c r="H1613" s="50"/>
      <c r="I1613" s="50"/>
      <c r="J1613" s="47"/>
    </row>
    <row r="1614" customFormat="false" ht="16.5" hidden="false" customHeight="true" outlineLevel="0" collapsed="false">
      <c r="B1614" s="37" t="str">
        <f aca="false">IF(C1614="","",ROW()-9)</f>
        <v/>
      </c>
      <c r="C1614" s="38"/>
      <c r="D1614" s="39" t="str">
        <f aca="false">IF(C1614="","",IFERROR(TEXT(C1614,"MMMM"),""))</f>
        <v/>
      </c>
      <c r="E1614" s="40"/>
      <c r="F1614" s="41" t="str">
        <f aca="false">IF(E1614="","",IFERROR(INDEX('Chart of Accounts'!$C$4:$C$200,MATCH(TEXT(E1614,"@"),TEXT('Chart of Accounts'!$B$4:$B$200,"@"),0)),"⚠ Not Found"))</f>
        <v/>
      </c>
      <c r="G1614" s="42"/>
      <c r="H1614" s="43"/>
      <c r="I1614" s="43"/>
      <c r="J1614" s="40"/>
    </row>
    <row r="1615" customFormat="false" ht="16.5" hidden="false" customHeight="true" outlineLevel="0" collapsed="false">
      <c r="B1615" s="44" t="str">
        <f aca="false">IF(C1615="","",ROW()-9)</f>
        <v/>
      </c>
      <c r="C1615" s="45"/>
      <c r="D1615" s="46" t="str">
        <f aca="false">IF(C1615="","",IFERROR(TEXT(C1615,"MMMM"),""))</f>
        <v/>
      </c>
      <c r="E1615" s="47"/>
      <c r="F1615" s="48" t="str">
        <f aca="false">IF(E1615="","",IFERROR(INDEX('Chart of Accounts'!$C$4:$C$200,MATCH(TEXT(E1615,"@"),TEXT('Chart of Accounts'!$B$4:$B$200,"@"),0)),"⚠ Not Found"))</f>
        <v/>
      </c>
      <c r="G1615" s="49"/>
      <c r="H1615" s="50"/>
      <c r="I1615" s="50"/>
      <c r="J1615" s="47"/>
    </row>
    <row r="1616" customFormat="false" ht="16.5" hidden="false" customHeight="true" outlineLevel="0" collapsed="false">
      <c r="B1616" s="37" t="str">
        <f aca="false">IF(C1616="","",ROW()-9)</f>
        <v/>
      </c>
      <c r="C1616" s="38"/>
      <c r="D1616" s="39" t="str">
        <f aca="false">IF(C1616="","",IFERROR(TEXT(C1616,"MMMM"),""))</f>
        <v/>
      </c>
      <c r="E1616" s="40"/>
      <c r="F1616" s="41" t="str">
        <f aca="false">IF(E1616="","",IFERROR(INDEX('Chart of Accounts'!$C$4:$C$200,MATCH(TEXT(E1616,"@"),TEXT('Chart of Accounts'!$B$4:$B$200,"@"),0)),"⚠ Not Found"))</f>
        <v/>
      </c>
      <c r="G1616" s="42"/>
      <c r="H1616" s="43"/>
      <c r="I1616" s="43"/>
      <c r="J1616" s="40"/>
    </row>
    <row r="1617" customFormat="false" ht="16.5" hidden="false" customHeight="true" outlineLevel="0" collapsed="false">
      <c r="B1617" s="44" t="str">
        <f aca="false">IF(C1617="","",ROW()-9)</f>
        <v/>
      </c>
      <c r="C1617" s="45"/>
      <c r="D1617" s="46" t="str">
        <f aca="false">IF(C1617="","",IFERROR(TEXT(C1617,"MMMM"),""))</f>
        <v/>
      </c>
      <c r="E1617" s="47"/>
      <c r="F1617" s="48" t="str">
        <f aca="false">IF(E1617="","",IFERROR(INDEX('Chart of Accounts'!$C$4:$C$200,MATCH(TEXT(E1617,"@"),TEXT('Chart of Accounts'!$B$4:$B$200,"@"),0)),"⚠ Not Found"))</f>
        <v/>
      </c>
      <c r="G1617" s="49"/>
      <c r="H1617" s="50"/>
      <c r="I1617" s="50"/>
      <c r="J1617" s="47"/>
    </row>
    <row r="1618" customFormat="false" ht="16.5" hidden="false" customHeight="true" outlineLevel="0" collapsed="false">
      <c r="B1618" s="37" t="str">
        <f aca="false">IF(C1618="","",ROW()-9)</f>
        <v/>
      </c>
      <c r="C1618" s="38"/>
      <c r="D1618" s="39" t="str">
        <f aca="false">IF(C1618="","",IFERROR(TEXT(C1618,"MMMM"),""))</f>
        <v/>
      </c>
      <c r="E1618" s="40"/>
      <c r="F1618" s="41" t="str">
        <f aca="false">IF(E1618="","",IFERROR(INDEX('Chart of Accounts'!$C$4:$C$200,MATCH(TEXT(E1618,"@"),TEXT('Chart of Accounts'!$B$4:$B$200,"@"),0)),"⚠ Not Found"))</f>
        <v/>
      </c>
      <c r="G1618" s="42"/>
      <c r="H1618" s="43"/>
      <c r="I1618" s="43"/>
      <c r="J1618" s="40"/>
    </row>
    <row r="1619" customFormat="false" ht="16.5" hidden="false" customHeight="true" outlineLevel="0" collapsed="false">
      <c r="B1619" s="44" t="str">
        <f aca="false">IF(C1619="","",ROW()-9)</f>
        <v/>
      </c>
      <c r="C1619" s="45"/>
      <c r="D1619" s="46" t="str">
        <f aca="false">IF(C1619="","",IFERROR(TEXT(C1619,"MMMM"),""))</f>
        <v/>
      </c>
      <c r="E1619" s="47"/>
      <c r="F1619" s="48" t="str">
        <f aca="false">IF(E1619="","",IFERROR(INDEX('Chart of Accounts'!$C$4:$C$200,MATCH(TEXT(E1619,"@"),TEXT('Chart of Accounts'!$B$4:$B$200,"@"),0)),"⚠ Not Found"))</f>
        <v/>
      </c>
      <c r="G1619" s="49"/>
      <c r="H1619" s="50"/>
      <c r="I1619" s="50"/>
      <c r="J1619" s="47"/>
    </row>
    <row r="1620" customFormat="false" ht="16.5" hidden="false" customHeight="true" outlineLevel="0" collapsed="false">
      <c r="B1620" s="37" t="str">
        <f aca="false">IF(C1620="","",ROW()-9)</f>
        <v/>
      </c>
      <c r="C1620" s="38"/>
      <c r="D1620" s="39" t="str">
        <f aca="false">IF(C1620="","",IFERROR(TEXT(C1620,"MMMM"),""))</f>
        <v/>
      </c>
      <c r="E1620" s="40"/>
      <c r="F1620" s="41" t="str">
        <f aca="false">IF(E1620="","",IFERROR(INDEX('Chart of Accounts'!$C$4:$C$200,MATCH(TEXT(E1620,"@"),TEXT('Chart of Accounts'!$B$4:$B$200,"@"),0)),"⚠ Not Found"))</f>
        <v/>
      </c>
      <c r="G1620" s="42"/>
      <c r="H1620" s="43"/>
      <c r="I1620" s="43"/>
      <c r="J1620" s="40"/>
    </row>
    <row r="1621" customFormat="false" ht="16.5" hidden="false" customHeight="true" outlineLevel="0" collapsed="false">
      <c r="B1621" s="44" t="str">
        <f aca="false">IF(C1621="","",ROW()-9)</f>
        <v/>
      </c>
      <c r="C1621" s="45"/>
      <c r="D1621" s="46" t="str">
        <f aca="false">IF(C1621="","",IFERROR(TEXT(C1621,"MMMM"),""))</f>
        <v/>
      </c>
      <c r="E1621" s="47"/>
      <c r="F1621" s="48" t="str">
        <f aca="false">IF(E1621="","",IFERROR(INDEX('Chart of Accounts'!$C$4:$C$200,MATCH(TEXT(E1621,"@"),TEXT('Chart of Accounts'!$B$4:$B$200,"@"),0)),"⚠ Not Found"))</f>
        <v/>
      </c>
      <c r="G1621" s="49"/>
      <c r="H1621" s="50"/>
      <c r="I1621" s="50"/>
      <c r="J1621" s="47"/>
    </row>
    <row r="1622" customFormat="false" ht="16.5" hidden="false" customHeight="true" outlineLevel="0" collapsed="false">
      <c r="B1622" s="37" t="str">
        <f aca="false">IF(C1622="","",ROW()-9)</f>
        <v/>
      </c>
      <c r="C1622" s="38"/>
      <c r="D1622" s="39" t="str">
        <f aca="false">IF(C1622="","",IFERROR(TEXT(C1622,"MMMM"),""))</f>
        <v/>
      </c>
      <c r="E1622" s="40"/>
      <c r="F1622" s="41" t="str">
        <f aca="false">IF(E1622="","",IFERROR(INDEX('Chart of Accounts'!$C$4:$C$200,MATCH(TEXT(E1622,"@"),TEXT('Chart of Accounts'!$B$4:$B$200,"@"),0)),"⚠ Not Found"))</f>
        <v/>
      </c>
      <c r="G1622" s="42"/>
      <c r="H1622" s="43"/>
      <c r="I1622" s="43"/>
      <c r="J1622" s="40"/>
    </row>
    <row r="1623" customFormat="false" ht="16.5" hidden="false" customHeight="true" outlineLevel="0" collapsed="false">
      <c r="B1623" s="44" t="str">
        <f aca="false">IF(C1623="","",ROW()-9)</f>
        <v/>
      </c>
      <c r="C1623" s="45"/>
      <c r="D1623" s="46" t="str">
        <f aca="false">IF(C1623="","",IFERROR(TEXT(C1623,"MMMM"),""))</f>
        <v/>
      </c>
      <c r="E1623" s="47"/>
      <c r="F1623" s="48" t="str">
        <f aca="false">IF(E1623="","",IFERROR(INDEX('Chart of Accounts'!$C$4:$C$200,MATCH(TEXT(E1623,"@"),TEXT('Chart of Accounts'!$B$4:$B$200,"@"),0)),"⚠ Not Found"))</f>
        <v/>
      </c>
      <c r="G1623" s="49"/>
      <c r="H1623" s="50"/>
      <c r="I1623" s="50"/>
      <c r="J1623" s="47"/>
    </row>
    <row r="1624" customFormat="false" ht="16.5" hidden="false" customHeight="true" outlineLevel="0" collapsed="false">
      <c r="B1624" s="37" t="str">
        <f aca="false">IF(C1624="","",ROW()-9)</f>
        <v/>
      </c>
      <c r="C1624" s="38"/>
      <c r="D1624" s="39" t="str">
        <f aca="false">IF(C1624="","",IFERROR(TEXT(C1624,"MMMM"),""))</f>
        <v/>
      </c>
      <c r="E1624" s="40"/>
      <c r="F1624" s="41" t="str">
        <f aca="false">IF(E1624="","",IFERROR(INDEX('Chart of Accounts'!$C$4:$C$200,MATCH(TEXT(E1624,"@"),TEXT('Chart of Accounts'!$B$4:$B$200,"@"),0)),"⚠ Not Found"))</f>
        <v/>
      </c>
      <c r="G1624" s="42"/>
      <c r="H1624" s="43"/>
      <c r="I1624" s="43"/>
      <c r="J1624" s="40"/>
    </row>
    <row r="1625" customFormat="false" ht="16.5" hidden="false" customHeight="true" outlineLevel="0" collapsed="false">
      <c r="B1625" s="44" t="str">
        <f aca="false">IF(C1625="","",ROW()-9)</f>
        <v/>
      </c>
      <c r="C1625" s="45"/>
      <c r="D1625" s="46" t="str">
        <f aca="false">IF(C1625="","",IFERROR(TEXT(C1625,"MMMM"),""))</f>
        <v/>
      </c>
      <c r="E1625" s="47"/>
      <c r="F1625" s="48" t="str">
        <f aca="false">IF(E1625="","",IFERROR(INDEX('Chart of Accounts'!$C$4:$C$200,MATCH(TEXT(E1625,"@"),TEXT('Chart of Accounts'!$B$4:$B$200,"@"),0)),"⚠ Not Found"))</f>
        <v/>
      </c>
      <c r="G1625" s="49"/>
      <c r="H1625" s="50"/>
      <c r="I1625" s="50"/>
      <c r="J1625" s="47"/>
    </row>
    <row r="1626" customFormat="false" ht="16.5" hidden="false" customHeight="true" outlineLevel="0" collapsed="false">
      <c r="B1626" s="37" t="str">
        <f aca="false">IF(C1626="","",ROW()-9)</f>
        <v/>
      </c>
      <c r="C1626" s="38"/>
      <c r="D1626" s="39" t="str">
        <f aca="false">IF(C1626="","",IFERROR(TEXT(C1626,"MMMM"),""))</f>
        <v/>
      </c>
      <c r="E1626" s="40"/>
      <c r="F1626" s="41" t="str">
        <f aca="false">IF(E1626="","",IFERROR(INDEX('Chart of Accounts'!$C$4:$C$200,MATCH(TEXT(E1626,"@"),TEXT('Chart of Accounts'!$B$4:$B$200,"@"),0)),"⚠ Not Found"))</f>
        <v/>
      </c>
      <c r="G1626" s="42"/>
      <c r="H1626" s="43"/>
      <c r="I1626" s="43"/>
      <c r="J1626" s="40"/>
    </row>
    <row r="1627" customFormat="false" ht="16.5" hidden="false" customHeight="true" outlineLevel="0" collapsed="false">
      <c r="B1627" s="44" t="str">
        <f aca="false">IF(C1627="","",ROW()-9)</f>
        <v/>
      </c>
      <c r="C1627" s="45"/>
      <c r="D1627" s="46" t="str">
        <f aca="false">IF(C1627="","",IFERROR(TEXT(C1627,"MMMM"),""))</f>
        <v/>
      </c>
      <c r="E1627" s="47"/>
      <c r="F1627" s="48" t="str">
        <f aca="false">IF(E1627="","",IFERROR(INDEX('Chart of Accounts'!$C$4:$C$200,MATCH(TEXT(E1627,"@"),TEXT('Chart of Accounts'!$B$4:$B$200,"@"),0)),"⚠ Not Found"))</f>
        <v/>
      </c>
      <c r="G1627" s="49"/>
      <c r="H1627" s="50"/>
      <c r="I1627" s="50"/>
      <c r="J1627" s="47"/>
    </row>
    <row r="1628" customFormat="false" ht="16.5" hidden="false" customHeight="true" outlineLevel="0" collapsed="false">
      <c r="B1628" s="37" t="str">
        <f aca="false">IF(C1628="","",ROW()-9)</f>
        <v/>
      </c>
      <c r="C1628" s="38"/>
      <c r="D1628" s="39" t="str">
        <f aca="false">IF(C1628="","",IFERROR(TEXT(C1628,"MMMM"),""))</f>
        <v/>
      </c>
      <c r="E1628" s="40"/>
      <c r="F1628" s="41" t="str">
        <f aca="false">IF(E1628="","",IFERROR(INDEX('Chart of Accounts'!$C$4:$C$200,MATCH(TEXT(E1628,"@"),TEXT('Chart of Accounts'!$B$4:$B$200,"@"),0)),"⚠ Not Found"))</f>
        <v/>
      </c>
      <c r="G1628" s="42"/>
      <c r="H1628" s="43"/>
      <c r="I1628" s="43"/>
      <c r="J1628" s="40"/>
    </row>
    <row r="1629" customFormat="false" ht="16.5" hidden="false" customHeight="true" outlineLevel="0" collapsed="false">
      <c r="B1629" s="44" t="str">
        <f aca="false">IF(C1629="","",ROW()-9)</f>
        <v/>
      </c>
      <c r="C1629" s="45"/>
      <c r="D1629" s="46" t="str">
        <f aca="false">IF(C1629="","",IFERROR(TEXT(C1629,"MMMM"),""))</f>
        <v/>
      </c>
      <c r="E1629" s="47"/>
      <c r="F1629" s="48" t="str">
        <f aca="false">IF(E1629="","",IFERROR(INDEX('Chart of Accounts'!$C$4:$C$200,MATCH(TEXT(E1629,"@"),TEXT('Chart of Accounts'!$B$4:$B$200,"@"),0)),"⚠ Not Found"))</f>
        <v/>
      </c>
      <c r="G1629" s="49"/>
      <c r="H1629" s="50"/>
      <c r="I1629" s="50"/>
      <c r="J1629" s="47"/>
    </row>
    <row r="1630" customFormat="false" ht="16.5" hidden="false" customHeight="true" outlineLevel="0" collapsed="false">
      <c r="B1630" s="37" t="str">
        <f aca="false">IF(C1630="","",ROW()-9)</f>
        <v/>
      </c>
      <c r="C1630" s="38"/>
      <c r="D1630" s="39" t="str">
        <f aca="false">IF(C1630="","",IFERROR(TEXT(C1630,"MMMM"),""))</f>
        <v/>
      </c>
      <c r="E1630" s="40"/>
      <c r="F1630" s="41" t="str">
        <f aca="false">IF(E1630="","",IFERROR(INDEX('Chart of Accounts'!$C$4:$C$200,MATCH(TEXT(E1630,"@"),TEXT('Chart of Accounts'!$B$4:$B$200,"@"),0)),"⚠ Not Found"))</f>
        <v/>
      </c>
      <c r="G1630" s="42"/>
      <c r="H1630" s="43"/>
      <c r="I1630" s="43"/>
      <c r="J1630" s="40"/>
    </row>
    <row r="1631" customFormat="false" ht="16.5" hidden="false" customHeight="true" outlineLevel="0" collapsed="false">
      <c r="B1631" s="44" t="str">
        <f aca="false">IF(C1631="","",ROW()-9)</f>
        <v/>
      </c>
      <c r="C1631" s="45"/>
      <c r="D1631" s="46" t="str">
        <f aca="false">IF(C1631="","",IFERROR(TEXT(C1631,"MMMM"),""))</f>
        <v/>
      </c>
      <c r="E1631" s="47"/>
      <c r="F1631" s="48" t="str">
        <f aca="false">IF(E1631="","",IFERROR(INDEX('Chart of Accounts'!$C$4:$C$200,MATCH(TEXT(E1631,"@"),TEXT('Chart of Accounts'!$B$4:$B$200,"@"),0)),"⚠ Not Found"))</f>
        <v/>
      </c>
      <c r="G1631" s="49"/>
      <c r="H1631" s="50"/>
      <c r="I1631" s="50"/>
      <c r="J1631" s="47"/>
    </row>
    <row r="1632" customFormat="false" ht="16.5" hidden="false" customHeight="true" outlineLevel="0" collapsed="false">
      <c r="B1632" s="37" t="str">
        <f aca="false">IF(C1632="","",ROW()-9)</f>
        <v/>
      </c>
      <c r="C1632" s="38"/>
      <c r="D1632" s="39" t="str">
        <f aca="false">IF(C1632="","",IFERROR(TEXT(C1632,"MMMM"),""))</f>
        <v/>
      </c>
      <c r="E1632" s="40"/>
      <c r="F1632" s="41" t="str">
        <f aca="false">IF(E1632="","",IFERROR(INDEX('Chart of Accounts'!$C$4:$C$200,MATCH(TEXT(E1632,"@"),TEXT('Chart of Accounts'!$B$4:$B$200,"@"),0)),"⚠ Not Found"))</f>
        <v/>
      </c>
      <c r="G1632" s="42"/>
      <c r="H1632" s="43"/>
      <c r="I1632" s="43"/>
      <c r="J1632" s="40"/>
    </row>
    <row r="1633" customFormat="false" ht="16.5" hidden="false" customHeight="true" outlineLevel="0" collapsed="false">
      <c r="B1633" s="44" t="str">
        <f aca="false">IF(C1633="","",ROW()-9)</f>
        <v/>
      </c>
      <c r="C1633" s="45"/>
      <c r="D1633" s="46" t="str">
        <f aca="false">IF(C1633="","",IFERROR(TEXT(C1633,"MMMM"),""))</f>
        <v/>
      </c>
      <c r="E1633" s="47"/>
      <c r="F1633" s="48" t="str">
        <f aca="false">IF(E1633="","",IFERROR(INDEX('Chart of Accounts'!$C$4:$C$200,MATCH(TEXT(E1633,"@"),TEXT('Chart of Accounts'!$B$4:$B$200,"@"),0)),"⚠ Not Found"))</f>
        <v/>
      </c>
      <c r="G1633" s="49"/>
      <c r="H1633" s="50"/>
      <c r="I1633" s="50"/>
      <c r="J1633" s="47"/>
    </row>
    <row r="1634" customFormat="false" ht="16.5" hidden="false" customHeight="true" outlineLevel="0" collapsed="false">
      <c r="B1634" s="37" t="str">
        <f aca="false">IF(C1634="","",ROW()-9)</f>
        <v/>
      </c>
      <c r="C1634" s="38"/>
      <c r="D1634" s="39" t="str">
        <f aca="false">IF(C1634="","",IFERROR(TEXT(C1634,"MMMM"),""))</f>
        <v/>
      </c>
      <c r="E1634" s="40"/>
      <c r="F1634" s="41" t="str">
        <f aca="false">IF(E1634="","",IFERROR(INDEX('Chart of Accounts'!$C$4:$C$200,MATCH(TEXT(E1634,"@"),TEXT('Chart of Accounts'!$B$4:$B$200,"@"),0)),"⚠ Not Found"))</f>
        <v/>
      </c>
      <c r="G1634" s="42"/>
      <c r="H1634" s="43"/>
      <c r="I1634" s="43"/>
      <c r="J1634" s="40"/>
    </row>
    <row r="1635" customFormat="false" ht="16.5" hidden="false" customHeight="true" outlineLevel="0" collapsed="false">
      <c r="B1635" s="44" t="str">
        <f aca="false">IF(C1635="","",ROW()-9)</f>
        <v/>
      </c>
      <c r="C1635" s="45"/>
      <c r="D1635" s="46" t="str">
        <f aca="false">IF(C1635="","",IFERROR(TEXT(C1635,"MMMM"),""))</f>
        <v/>
      </c>
      <c r="E1635" s="47"/>
      <c r="F1635" s="48" t="str">
        <f aca="false">IF(E1635="","",IFERROR(INDEX('Chart of Accounts'!$C$4:$C$200,MATCH(TEXT(E1635,"@"),TEXT('Chart of Accounts'!$B$4:$B$200,"@"),0)),"⚠ Not Found"))</f>
        <v/>
      </c>
      <c r="G1635" s="49"/>
      <c r="H1635" s="50"/>
      <c r="I1635" s="50"/>
      <c r="J1635" s="47"/>
    </row>
    <row r="1636" customFormat="false" ht="16.5" hidden="false" customHeight="true" outlineLevel="0" collapsed="false">
      <c r="B1636" s="37" t="str">
        <f aca="false">IF(C1636="","",ROW()-9)</f>
        <v/>
      </c>
      <c r="C1636" s="38"/>
      <c r="D1636" s="39" t="str">
        <f aca="false">IF(C1636="","",IFERROR(TEXT(C1636,"MMMM"),""))</f>
        <v/>
      </c>
      <c r="E1636" s="40"/>
      <c r="F1636" s="41" t="str">
        <f aca="false">IF(E1636="","",IFERROR(INDEX('Chart of Accounts'!$C$4:$C$200,MATCH(TEXT(E1636,"@"),TEXT('Chart of Accounts'!$B$4:$B$200,"@"),0)),"⚠ Not Found"))</f>
        <v/>
      </c>
      <c r="G1636" s="42"/>
      <c r="H1636" s="43"/>
      <c r="I1636" s="43"/>
      <c r="J1636" s="40"/>
    </row>
    <row r="1637" customFormat="false" ht="16.5" hidden="false" customHeight="true" outlineLevel="0" collapsed="false">
      <c r="B1637" s="44" t="str">
        <f aca="false">IF(C1637="","",ROW()-9)</f>
        <v/>
      </c>
      <c r="C1637" s="45"/>
      <c r="D1637" s="46" t="str">
        <f aca="false">IF(C1637="","",IFERROR(TEXT(C1637,"MMMM"),""))</f>
        <v/>
      </c>
      <c r="E1637" s="47"/>
      <c r="F1637" s="48" t="str">
        <f aca="false">IF(E1637="","",IFERROR(INDEX('Chart of Accounts'!$C$4:$C$200,MATCH(TEXT(E1637,"@"),TEXT('Chart of Accounts'!$B$4:$B$200,"@"),0)),"⚠ Not Found"))</f>
        <v/>
      </c>
      <c r="G1637" s="49"/>
      <c r="H1637" s="50"/>
      <c r="I1637" s="50"/>
      <c r="J1637" s="47"/>
    </row>
    <row r="1638" customFormat="false" ht="16.5" hidden="false" customHeight="true" outlineLevel="0" collapsed="false">
      <c r="B1638" s="37" t="str">
        <f aca="false">IF(C1638="","",ROW()-9)</f>
        <v/>
      </c>
      <c r="C1638" s="38"/>
      <c r="D1638" s="39" t="str">
        <f aca="false">IF(C1638="","",IFERROR(TEXT(C1638,"MMMM"),""))</f>
        <v/>
      </c>
      <c r="E1638" s="40"/>
      <c r="F1638" s="41" t="str">
        <f aca="false">IF(E1638="","",IFERROR(INDEX('Chart of Accounts'!$C$4:$C$200,MATCH(TEXT(E1638,"@"),TEXT('Chart of Accounts'!$B$4:$B$200,"@"),0)),"⚠ Not Found"))</f>
        <v/>
      </c>
      <c r="G1638" s="42"/>
      <c r="H1638" s="43"/>
      <c r="I1638" s="43"/>
      <c r="J1638" s="40"/>
    </row>
    <row r="1639" customFormat="false" ht="16.5" hidden="false" customHeight="true" outlineLevel="0" collapsed="false">
      <c r="B1639" s="44" t="str">
        <f aca="false">IF(C1639="","",ROW()-9)</f>
        <v/>
      </c>
      <c r="C1639" s="45"/>
      <c r="D1639" s="46" t="str">
        <f aca="false">IF(C1639="","",IFERROR(TEXT(C1639,"MMMM"),""))</f>
        <v/>
      </c>
      <c r="E1639" s="47"/>
      <c r="F1639" s="48" t="str">
        <f aca="false">IF(E1639="","",IFERROR(INDEX('Chart of Accounts'!$C$4:$C$200,MATCH(TEXT(E1639,"@"),TEXT('Chart of Accounts'!$B$4:$B$200,"@"),0)),"⚠ Not Found"))</f>
        <v/>
      </c>
      <c r="G1639" s="49"/>
      <c r="H1639" s="50"/>
      <c r="I1639" s="50"/>
      <c r="J1639" s="47"/>
    </row>
    <row r="1640" customFormat="false" ht="16.5" hidden="false" customHeight="true" outlineLevel="0" collapsed="false">
      <c r="B1640" s="37" t="str">
        <f aca="false">IF(C1640="","",ROW()-9)</f>
        <v/>
      </c>
      <c r="C1640" s="38"/>
      <c r="D1640" s="39" t="str">
        <f aca="false">IF(C1640="","",IFERROR(TEXT(C1640,"MMMM"),""))</f>
        <v/>
      </c>
      <c r="E1640" s="40"/>
      <c r="F1640" s="41" t="str">
        <f aca="false">IF(E1640="","",IFERROR(INDEX('Chart of Accounts'!$C$4:$C$200,MATCH(TEXT(E1640,"@"),TEXT('Chart of Accounts'!$B$4:$B$200,"@"),0)),"⚠ Not Found"))</f>
        <v/>
      </c>
      <c r="G1640" s="42"/>
      <c r="H1640" s="43"/>
      <c r="I1640" s="43"/>
      <c r="J1640" s="40"/>
    </row>
    <row r="1641" customFormat="false" ht="16.5" hidden="false" customHeight="true" outlineLevel="0" collapsed="false">
      <c r="B1641" s="44" t="str">
        <f aca="false">IF(C1641="","",ROW()-9)</f>
        <v/>
      </c>
      <c r="C1641" s="45"/>
      <c r="D1641" s="46" t="str">
        <f aca="false">IF(C1641="","",IFERROR(TEXT(C1641,"MMMM"),""))</f>
        <v/>
      </c>
      <c r="E1641" s="47"/>
      <c r="F1641" s="48" t="str">
        <f aca="false">IF(E1641="","",IFERROR(INDEX('Chart of Accounts'!$C$4:$C$200,MATCH(TEXT(E1641,"@"),TEXT('Chart of Accounts'!$B$4:$B$200,"@"),0)),"⚠ Not Found"))</f>
        <v/>
      </c>
      <c r="G1641" s="49"/>
      <c r="H1641" s="50"/>
      <c r="I1641" s="50"/>
      <c r="J1641" s="47"/>
    </row>
    <row r="1642" customFormat="false" ht="16.5" hidden="false" customHeight="true" outlineLevel="0" collapsed="false">
      <c r="B1642" s="37" t="str">
        <f aca="false">IF(C1642="","",ROW()-9)</f>
        <v/>
      </c>
      <c r="C1642" s="38"/>
      <c r="D1642" s="39" t="str">
        <f aca="false">IF(C1642="","",IFERROR(TEXT(C1642,"MMMM"),""))</f>
        <v/>
      </c>
      <c r="E1642" s="40"/>
      <c r="F1642" s="41" t="str">
        <f aca="false">IF(E1642="","",IFERROR(INDEX('Chart of Accounts'!$C$4:$C$200,MATCH(TEXT(E1642,"@"),TEXT('Chart of Accounts'!$B$4:$B$200,"@"),0)),"⚠ Not Found"))</f>
        <v/>
      </c>
      <c r="G1642" s="42"/>
      <c r="H1642" s="43"/>
      <c r="I1642" s="43"/>
      <c r="J1642" s="40"/>
    </row>
    <row r="1643" customFormat="false" ht="16.5" hidden="false" customHeight="true" outlineLevel="0" collapsed="false">
      <c r="B1643" s="44" t="str">
        <f aca="false">IF(C1643="","",ROW()-9)</f>
        <v/>
      </c>
      <c r="C1643" s="45"/>
      <c r="D1643" s="46" t="str">
        <f aca="false">IF(C1643="","",IFERROR(TEXT(C1643,"MMMM"),""))</f>
        <v/>
      </c>
      <c r="E1643" s="47"/>
      <c r="F1643" s="48" t="str">
        <f aca="false">IF(E1643="","",IFERROR(INDEX('Chart of Accounts'!$C$4:$C$200,MATCH(TEXT(E1643,"@"),TEXT('Chart of Accounts'!$B$4:$B$200,"@"),0)),"⚠ Not Found"))</f>
        <v/>
      </c>
      <c r="G1643" s="49"/>
      <c r="H1643" s="50"/>
      <c r="I1643" s="50"/>
      <c r="J1643" s="47"/>
    </row>
    <row r="1644" customFormat="false" ht="16.5" hidden="false" customHeight="true" outlineLevel="0" collapsed="false">
      <c r="B1644" s="37" t="str">
        <f aca="false">IF(C1644="","",ROW()-9)</f>
        <v/>
      </c>
      <c r="C1644" s="38"/>
      <c r="D1644" s="39" t="str">
        <f aca="false">IF(C1644="","",IFERROR(TEXT(C1644,"MMMM"),""))</f>
        <v/>
      </c>
      <c r="E1644" s="40"/>
      <c r="F1644" s="41" t="str">
        <f aca="false">IF(E1644="","",IFERROR(INDEX('Chart of Accounts'!$C$4:$C$200,MATCH(TEXT(E1644,"@"),TEXT('Chart of Accounts'!$B$4:$B$200,"@"),0)),"⚠ Not Found"))</f>
        <v/>
      </c>
      <c r="G1644" s="42"/>
      <c r="H1644" s="43"/>
      <c r="I1644" s="43"/>
      <c r="J1644" s="40"/>
    </row>
    <row r="1645" customFormat="false" ht="16.5" hidden="false" customHeight="true" outlineLevel="0" collapsed="false">
      <c r="B1645" s="44" t="str">
        <f aca="false">IF(C1645="","",ROW()-9)</f>
        <v/>
      </c>
      <c r="C1645" s="45"/>
      <c r="D1645" s="46" t="str">
        <f aca="false">IF(C1645="","",IFERROR(TEXT(C1645,"MMMM"),""))</f>
        <v/>
      </c>
      <c r="E1645" s="47"/>
      <c r="F1645" s="48" t="str">
        <f aca="false">IF(E1645="","",IFERROR(INDEX('Chart of Accounts'!$C$4:$C$200,MATCH(TEXT(E1645,"@"),TEXT('Chart of Accounts'!$B$4:$B$200,"@"),0)),"⚠ Not Found"))</f>
        <v/>
      </c>
      <c r="G1645" s="49"/>
      <c r="H1645" s="50"/>
      <c r="I1645" s="50"/>
      <c r="J1645" s="47"/>
    </row>
    <row r="1646" customFormat="false" ht="16.5" hidden="false" customHeight="true" outlineLevel="0" collapsed="false">
      <c r="B1646" s="37" t="str">
        <f aca="false">IF(C1646="","",ROW()-9)</f>
        <v/>
      </c>
      <c r="C1646" s="38"/>
      <c r="D1646" s="39" t="str">
        <f aca="false">IF(C1646="","",IFERROR(TEXT(C1646,"MMMM"),""))</f>
        <v/>
      </c>
      <c r="E1646" s="40"/>
      <c r="F1646" s="41" t="str">
        <f aca="false">IF(E1646="","",IFERROR(INDEX('Chart of Accounts'!$C$4:$C$200,MATCH(TEXT(E1646,"@"),TEXT('Chart of Accounts'!$B$4:$B$200,"@"),0)),"⚠ Not Found"))</f>
        <v/>
      </c>
      <c r="G1646" s="42"/>
      <c r="H1646" s="43"/>
      <c r="I1646" s="43"/>
      <c r="J1646" s="40"/>
    </row>
    <row r="1647" customFormat="false" ht="16.5" hidden="false" customHeight="true" outlineLevel="0" collapsed="false">
      <c r="B1647" s="44" t="str">
        <f aca="false">IF(C1647="","",ROW()-9)</f>
        <v/>
      </c>
      <c r="C1647" s="45"/>
      <c r="D1647" s="46" t="str">
        <f aca="false">IF(C1647="","",IFERROR(TEXT(C1647,"MMMM"),""))</f>
        <v/>
      </c>
      <c r="E1647" s="47"/>
      <c r="F1647" s="48" t="str">
        <f aca="false">IF(E1647="","",IFERROR(INDEX('Chart of Accounts'!$C$4:$C$200,MATCH(TEXT(E1647,"@"),TEXT('Chart of Accounts'!$B$4:$B$200,"@"),0)),"⚠ Not Found"))</f>
        <v/>
      </c>
      <c r="G1647" s="49"/>
      <c r="H1647" s="50"/>
      <c r="I1647" s="50"/>
      <c r="J1647" s="47"/>
    </row>
    <row r="1648" customFormat="false" ht="16.5" hidden="false" customHeight="true" outlineLevel="0" collapsed="false">
      <c r="B1648" s="37" t="str">
        <f aca="false">IF(C1648="","",ROW()-9)</f>
        <v/>
      </c>
      <c r="C1648" s="38"/>
      <c r="D1648" s="39" t="str">
        <f aca="false">IF(C1648="","",IFERROR(TEXT(C1648,"MMMM"),""))</f>
        <v/>
      </c>
      <c r="E1648" s="40"/>
      <c r="F1648" s="41" t="str">
        <f aca="false">IF(E1648="","",IFERROR(INDEX('Chart of Accounts'!$C$4:$C$200,MATCH(TEXT(E1648,"@"),TEXT('Chart of Accounts'!$B$4:$B$200,"@"),0)),"⚠ Not Found"))</f>
        <v/>
      </c>
      <c r="G1648" s="42"/>
      <c r="H1648" s="43"/>
      <c r="I1648" s="43"/>
      <c r="J1648" s="40"/>
    </row>
    <row r="1649" customFormat="false" ht="16.5" hidden="false" customHeight="true" outlineLevel="0" collapsed="false">
      <c r="B1649" s="44" t="str">
        <f aca="false">IF(C1649="","",ROW()-9)</f>
        <v/>
      </c>
      <c r="C1649" s="45"/>
      <c r="D1649" s="46" t="str">
        <f aca="false">IF(C1649="","",IFERROR(TEXT(C1649,"MMMM"),""))</f>
        <v/>
      </c>
      <c r="E1649" s="47"/>
      <c r="F1649" s="48" t="str">
        <f aca="false">IF(E1649="","",IFERROR(INDEX('Chart of Accounts'!$C$4:$C$200,MATCH(TEXT(E1649,"@"),TEXT('Chart of Accounts'!$B$4:$B$200,"@"),0)),"⚠ Not Found"))</f>
        <v/>
      </c>
      <c r="G1649" s="49"/>
      <c r="H1649" s="50"/>
      <c r="I1649" s="50"/>
      <c r="J1649" s="47"/>
    </row>
    <row r="1650" customFormat="false" ht="16.5" hidden="false" customHeight="true" outlineLevel="0" collapsed="false">
      <c r="B1650" s="37" t="str">
        <f aca="false">IF(C1650="","",ROW()-9)</f>
        <v/>
      </c>
      <c r="C1650" s="38"/>
      <c r="D1650" s="39" t="str">
        <f aca="false">IF(C1650="","",IFERROR(TEXT(C1650,"MMMM"),""))</f>
        <v/>
      </c>
      <c r="E1650" s="40"/>
      <c r="F1650" s="41" t="str">
        <f aca="false">IF(E1650="","",IFERROR(INDEX('Chart of Accounts'!$C$4:$C$200,MATCH(TEXT(E1650,"@"),TEXT('Chart of Accounts'!$B$4:$B$200,"@"),0)),"⚠ Not Found"))</f>
        <v/>
      </c>
      <c r="G1650" s="42"/>
      <c r="H1650" s="43"/>
      <c r="I1650" s="43"/>
      <c r="J1650" s="40"/>
    </row>
    <row r="1651" customFormat="false" ht="16.5" hidden="false" customHeight="true" outlineLevel="0" collapsed="false">
      <c r="B1651" s="44" t="str">
        <f aca="false">IF(C1651="","",ROW()-9)</f>
        <v/>
      </c>
      <c r="C1651" s="45"/>
      <c r="D1651" s="46" t="str">
        <f aca="false">IF(C1651="","",IFERROR(TEXT(C1651,"MMMM"),""))</f>
        <v/>
      </c>
      <c r="E1651" s="47"/>
      <c r="F1651" s="48" t="str">
        <f aca="false">IF(E1651="","",IFERROR(INDEX('Chart of Accounts'!$C$4:$C$200,MATCH(TEXT(E1651,"@"),TEXT('Chart of Accounts'!$B$4:$B$200,"@"),0)),"⚠ Not Found"))</f>
        <v/>
      </c>
      <c r="G1651" s="49"/>
      <c r="H1651" s="50"/>
      <c r="I1651" s="50"/>
      <c r="J1651" s="47"/>
    </row>
    <row r="1652" customFormat="false" ht="16.5" hidden="false" customHeight="true" outlineLevel="0" collapsed="false">
      <c r="B1652" s="37" t="str">
        <f aca="false">IF(C1652="","",ROW()-9)</f>
        <v/>
      </c>
      <c r="C1652" s="38"/>
      <c r="D1652" s="39" t="str">
        <f aca="false">IF(C1652="","",IFERROR(TEXT(C1652,"MMMM"),""))</f>
        <v/>
      </c>
      <c r="E1652" s="40"/>
      <c r="F1652" s="41" t="str">
        <f aca="false">IF(E1652="","",IFERROR(INDEX('Chart of Accounts'!$C$4:$C$200,MATCH(TEXT(E1652,"@"),TEXT('Chart of Accounts'!$B$4:$B$200,"@"),0)),"⚠ Not Found"))</f>
        <v/>
      </c>
      <c r="G1652" s="42"/>
      <c r="H1652" s="43"/>
      <c r="I1652" s="43"/>
      <c r="J1652" s="40"/>
    </row>
    <row r="1653" customFormat="false" ht="16.5" hidden="false" customHeight="true" outlineLevel="0" collapsed="false">
      <c r="B1653" s="44" t="str">
        <f aca="false">IF(C1653="","",ROW()-9)</f>
        <v/>
      </c>
      <c r="C1653" s="45"/>
      <c r="D1653" s="46" t="str">
        <f aca="false">IF(C1653="","",IFERROR(TEXT(C1653,"MMMM"),""))</f>
        <v/>
      </c>
      <c r="E1653" s="47"/>
      <c r="F1653" s="48" t="str">
        <f aca="false">IF(E1653="","",IFERROR(INDEX('Chart of Accounts'!$C$4:$C$200,MATCH(TEXT(E1653,"@"),TEXT('Chart of Accounts'!$B$4:$B$200,"@"),0)),"⚠ Not Found"))</f>
        <v/>
      </c>
      <c r="G1653" s="49"/>
      <c r="H1653" s="50"/>
      <c r="I1653" s="50"/>
      <c r="J1653" s="47"/>
    </row>
    <row r="1654" customFormat="false" ht="16.5" hidden="false" customHeight="true" outlineLevel="0" collapsed="false">
      <c r="B1654" s="37" t="str">
        <f aca="false">IF(C1654="","",ROW()-9)</f>
        <v/>
      </c>
      <c r="C1654" s="38"/>
      <c r="D1654" s="39" t="str">
        <f aca="false">IF(C1654="","",IFERROR(TEXT(C1654,"MMMM"),""))</f>
        <v/>
      </c>
      <c r="E1654" s="40"/>
      <c r="F1654" s="41" t="str">
        <f aca="false">IF(E1654="","",IFERROR(INDEX('Chart of Accounts'!$C$4:$C$200,MATCH(TEXT(E1654,"@"),TEXT('Chart of Accounts'!$B$4:$B$200,"@"),0)),"⚠ Not Found"))</f>
        <v/>
      </c>
      <c r="G1654" s="42"/>
      <c r="H1654" s="43"/>
      <c r="I1654" s="43"/>
      <c r="J1654" s="40"/>
    </row>
    <row r="1655" customFormat="false" ht="16.5" hidden="false" customHeight="true" outlineLevel="0" collapsed="false">
      <c r="B1655" s="44" t="str">
        <f aca="false">IF(C1655="","",ROW()-9)</f>
        <v/>
      </c>
      <c r="C1655" s="45"/>
      <c r="D1655" s="46" t="str">
        <f aca="false">IF(C1655="","",IFERROR(TEXT(C1655,"MMMM"),""))</f>
        <v/>
      </c>
      <c r="E1655" s="47"/>
      <c r="F1655" s="48" t="str">
        <f aca="false">IF(E1655="","",IFERROR(INDEX('Chart of Accounts'!$C$4:$C$200,MATCH(TEXT(E1655,"@"),TEXT('Chart of Accounts'!$B$4:$B$200,"@"),0)),"⚠ Not Found"))</f>
        <v/>
      </c>
      <c r="G1655" s="49"/>
      <c r="H1655" s="50"/>
      <c r="I1655" s="50"/>
      <c r="J1655" s="47"/>
    </row>
    <row r="1656" customFormat="false" ht="16.5" hidden="false" customHeight="true" outlineLevel="0" collapsed="false">
      <c r="B1656" s="37" t="str">
        <f aca="false">IF(C1656="","",ROW()-9)</f>
        <v/>
      </c>
      <c r="C1656" s="38"/>
      <c r="D1656" s="39" t="str">
        <f aca="false">IF(C1656="","",IFERROR(TEXT(C1656,"MMMM"),""))</f>
        <v/>
      </c>
      <c r="E1656" s="40"/>
      <c r="F1656" s="41" t="str">
        <f aca="false">IF(E1656="","",IFERROR(INDEX('Chart of Accounts'!$C$4:$C$200,MATCH(TEXT(E1656,"@"),TEXT('Chart of Accounts'!$B$4:$B$200,"@"),0)),"⚠ Not Found"))</f>
        <v/>
      </c>
      <c r="G1656" s="42"/>
      <c r="H1656" s="43"/>
      <c r="I1656" s="43"/>
      <c r="J1656" s="40"/>
    </row>
    <row r="1657" customFormat="false" ht="16.5" hidden="false" customHeight="true" outlineLevel="0" collapsed="false">
      <c r="B1657" s="44" t="str">
        <f aca="false">IF(C1657="","",ROW()-9)</f>
        <v/>
      </c>
      <c r="C1657" s="45"/>
      <c r="D1657" s="46" t="str">
        <f aca="false">IF(C1657="","",IFERROR(TEXT(C1657,"MMMM"),""))</f>
        <v/>
      </c>
      <c r="E1657" s="47"/>
      <c r="F1657" s="48" t="str">
        <f aca="false">IF(E1657="","",IFERROR(INDEX('Chart of Accounts'!$C$4:$C$200,MATCH(TEXT(E1657,"@"),TEXT('Chart of Accounts'!$B$4:$B$200,"@"),0)),"⚠ Not Found"))</f>
        <v/>
      </c>
      <c r="G1657" s="49"/>
      <c r="H1657" s="50"/>
      <c r="I1657" s="50"/>
      <c r="J1657" s="47"/>
    </row>
    <row r="1658" customFormat="false" ht="16.5" hidden="false" customHeight="true" outlineLevel="0" collapsed="false">
      <c r="B1658" s="37" t="str">
        <f aca="false">IF(C1658="","",ROW()-9)</f>
        <v/>
      </c>
      <c r="C1658" s="38"/>
      <c r="D1658" s="39" t="str">
        <f aca="false">IF(C1658="","",IFERROR(TEXT(C1658,"MMMM"),""))</f>
        <v/>
      </c>
      <c r="E1658" s="40"/>
      <c r="F1658" s="41" t="str">
        <f aca="false">IF(E1658="","",IFERROR(INDEX('Chart of Accounts'!$C$4:$C$200,MATCH(TEXT(E1658,"@"),TEXT('Chart of Accounts'!$B$4:$B$200,"@"),0)),"⚠ Not Found"))</f>
        <v/>
      </c>
      <c r="G1658" s="42"/>
      <c r="H1658" s="43"/>
      <c r="I1658" s="43"/>
      <c r="J1658" s="40"/>
    </row>
    <row r="1659" customFormat="false" ht="16.5" hidden="false" customHeight="true" outlineLevel="0" collapsed="false">
      <c r="B1659" s="44" t="str">
        <f aca="false">IF(C1659="","",ROW()-9)</f>
        <v/>
      </c>
      <c r="C1659" s="45"/>
      <c r="D1659" s="46" t="str">
        <f aca="false">IF(C1659="","",IFERROR(TEXT(C1659,"MMMM"),""))</f>
        <v/>
      </c>
      <c r="E1659" s="47"/>
      <c r="F1659" s="48" t="str">
        <f aca="false">IF(E1659="","",IFERROR(INDEX('Chart of Accounts'!$C$4:$C$200,MATCH(TEXT(E1659,"@"),TEXT('Chart of Accounts'!$B$4:$B$200,"@"),0)),"⚠ Not Found"))</f>
        <v/>
      </c>
      <c r="G1659" s="49"/>
      <c r="H1659" s="50"/>
      <c r="I1659" s="50"/>
      <c r="J1659" s="47"/>
    </row>
    <row r="1660" customFormat="false" ht="16.5" hidden="false" customHeight="true" outlineLevel="0" collapsed="false">
      <c r="B1660" s="37" t="str">
        <f aca="false">IF(C1660="","",ROW()-9)</f>
        <v/>
      </c>
      <c r="C1660" s="38"/>
      <c r="D1660" s="39" t="str">
        <f aca="false">IF(C1660="","",IFERROR(TEXT(C1660,"MMMM"),""))</f>
        <v/>
      </c>
      <c r="E1660" s="40"/>
      <c r="F1660" s="41" t="str">
        <f aca="false">IF(E1660="","",IFERROR(INDEX('Chart of Accounts'!$C$4:$C$200,MATCH(TEXT(E1660,"@"),TEXT('Chart of Accounts'!$B$4:$B$200,"@"),0)),"⚠ Not Found"))</f>
        <v/>
      </c>
      <c r="G1660" s="42"/>
      <c r="H1660" s="43"/>
      <c r="I1660" s="43"/>
      <c r="J1660" s="40"/>
    </row>
    <row r="1661" customFormat="false" ht="16.5" hidden="false" customHeight="true" outlineLevel="0" collapsed="false">
      <c r="B1661" s="44" t="str">
        <f aca="false">IF(C1661="","",ROW()-9)</f>
        <v/>
      </c>
      <c r="C1661" s="45"/>
      <c r="D1661" s="46" t="str">
        <f aca="false">IF(C1661="","",IFERROR(TEXT(C1661,"MMMM"),""))</f>
        <v/>
      </c>
      <c r="E1661" s="47"/>
      <c r="F1661" s="48" t="str">
        <f aca="false">IF(E1661="","",IFERROR(INDEX('Chart of Accounts'!$C$4:$C$200,MATCH(TEXT(E1661,"@"),TEXT('Chart of Accounts'!$B$4:$B$200,"@"),0)),"⚠ Not Found"))</f>
        <v/>
      </c>
      <c r="G1661" s="49"/>
      <c r="H1661" s="50"/>
      <c r="I1661" s="50"/>
      <c r="J1661" s="47"/>
    </row>
    <row r="1662" customFormat="false" ht="16.5" hidden="false" customHeight="true" outlineLevel="0" collapsed="false">
      <c r="B1662" s="37" t="str">
        <f aca="false">IF(C1662="","",ROW()-9)</f>
        <v/>
      </c>
      <c r="C1662" s="38"/>
      <c r="D1662" s="39" t="str">
        <f aca="false">IF(C1662="","",IFERROR(TEXT(C1662,"MMMM"),""))</f>
        <v/>
      </c>
      <c r="E1662" s="40"/>
      <c r="F1662" s="41" t="str">
        <f aca="false">IF(E1662="","",IFERROR(INDEX('Chart of Accounts'!$C$4:$C$200,MATCH(TEXT(E1662,"@"),TEXT('Chart of Accounts'!$B$4:$B$200,"@"),0)),"⚠ Not Found"))</f>
        <v/>
      </c>
      <c r="G1662" s="42"/>
      <c r="H1662" s="43"/>
      <c r="I1662" s="43"/>
      <c r="J1662" s="40"/>
    </row>
    <row r="1663" customFormat="false" ht="16.5" hidden="false" customHeight="true" outlineLevel="0" collapsed="false">
      <c r="B1663" s="44" t="str">
        <f aca="false">IF(C1663="","",ROW()-9)</f>
        <v/>
      </c>
      <c r="C1663" s="45"/>
      <c r="D1663" s="46" t="str">
        <f aca="false">IF(C1663="","",IFERROR(TEXT(C1663,"MMMM"),""))</f>
        <v/>
      </c>
      <c r="E1663" s="47"/>
      <c r="F1663" s="48" t="str">
        <f aca="false">IF(E1663="","",IFERROR(INDEX('Chart of Accounts'!$C$4:$C$200,MATCH(TEXT(E1663,"@"),TEXT('Chart of Accounts'!$B$4:$B$200,"@"),0)),"⚠ Not Found"))</f>
        <v/>
      </c>
      <c r="G1663" s="49"/>
      <c r="H1663" s="50"/>
      <c r="I1663" s="50"/>
      <c r="J1663" s="47"/>
    </row>
    <row r="1664" customFormat="false" ht="16.5" hidden="false" customHeight="true" outlineLevel="0" collapsed="false">
      <c r="B1664" s="37" t="str">
        <f aca="false">IF(C1664="","",ROW()-9)</f>
        <v/>
      </c>
      <c r="C1664" s="38"/>
      <c r="D1664" s="39" t="str">
        <f aca="false">IF(C1664="","",IFERROR(TEXT(C1664,"MMMM"),""))</f>
        <v/>
      </c>
      <c r="E1664" s="40"/>
      <c r="F1664" s="41" t="str">
        <f aca="false">IF(E1664="","",IFERROR(INDEX('Chart of Accounts'!$C$4:$C$200,MATCH(TEXT(E1664,"@"),TEXT('Chart of Accounts'!$B$4:$B$200,"@"),0)),"⚠ Not Found"))</f>
        <v/>
      </c>
      <c r="G1664" s="42"/>
      <c r="H1664" s="43"/>
      <c r="I1664" s="43"/>
      <c r="J1664" s="40"/>
    </row>
    <row r="1665" customFormat="false" ht="16.5" hidden="false" customHeight="true" outlineLevel="0" collapsed="false">
      <c r="B1665" s="44" t="str">
        <f aca="false">IF(C1665="","",ROW()-9)</f>
        <v/>
      </c>
      <c r="C1665" s="45"/>
      <c r="D1665" s="46" t="str">
        <f aca="false">IF(C1665="","",IFERROR(TEXT(C1665,"MMMM"),""))</f>
        <v/>
      </c>
      <c r="E1665" s="47"/>
      <c r="F1665" s="48" t="str">
        <f aca="false">IF(E1665="","",IFERROR(INDEX('Chart of Accounts'!$C$4:$C$200,MATCH(TEXT(E1665,"@"),TEXT('Chart of Accounts'!$B$4:$B$200,"@"),0)),"⚠ Not Found"))</f>
        <v/>
      </c>
      <c r="G1665" s="49"/>
      <c r="H1665" s="50"/>
      <c r="I1665" s="50"/>
      <c r="J1665" s="47"/>
    </row>
    <row r="1666" customFormat="false" ht="16.5" hidden="false" customHeight="true" outlineLevel="0" collapsed="false">
      <c r="B1666" s="37" t="str">
        <f aca="false">IF(C1666="","",ROW()-9)</f>
        <v/>
      </c>
      <c r="C1666" s="38"/>
      <c r="D1666" s="39" t="str">
        <f aca="false">IF(C1666="","",IFERROR(TEXT(C1666,"MMMM"),""))</f>
        <v/>
      </c>
      <c r="E1666" s="40"/>
      <c r="F1666" s="41" t="str">
        <f aca="false">IF(E1666="","",IFERROR(INDEX('Chart of Accounts'!$C$4:$C$200,MATCH(TEXT(E1666,"@"),TEXT('Chart of Accounts'!$B$4:$B$200,"@"),0)),"⚠ Not Found"))</f>
        <v/>
      </c>
      <c r="G1666" s="42"/>
      <c r="H1666" s="43"/>
      <c r="I1666" s="43"/>
      <c r="J1666" s="40"/>
    </row>
    <row r="1667" customFormat="false" ht="16.5" hidden="false" customHeight="true" outlineLevel="0" collapsed="false">
      <c r="B1667" s="44" t="str">
        <f aca="false">IF(C1667="","",ROW()-9)</f>
        <v/>
      </c>
      <c r="C1667" s="45"/>
      <c r="D1667" s="46" t="str">
        <f aca="false">IF(C1667="","",IFERROR(TEXT(C1667,"MMMM"),""))</f>
        <v/>
      </c>
      <c r="E1667" s="47"/>
      <c r="F1667" s="48" t="str">
        <f aca="false">IF(E1667="","",IFERROR(INDEX('Chart of Accounts'!$C$4:$C$200,MATCH(TEXT(E1667,"@"),TEXT('Chart of Accounts'!$B$4:$B$200,"@"),0)),"⚠ Not Found"))</f>
        <v/>
      </c>
      <c r="G1667" s="49"/>
      <c r="H1667" s="50"/>
      <c r="I1667" s="50"/>
      <c r="J1667" s="47"/>
    </row>
    <row r="1668" customFormat="false" ht="16.5" hidden="false" customHeight="true" outlineLevel="0" collapsed="false">
      <c r="B1668" s="37" t="str">
        <f aca="false">IF(C1668="","",ROW()-9)</f>
        <v/>
      </c>
      <c r="C1668" s="38"/>
      <c r="D1668" s="39" t="str">
        <f aca="false">IF(C1668="","",IFERROR(TEXT(C1668,"MMMM"),""))</f>
        <v/>
      </c>
      <c r="E1668" s="40"/>
      <c r="F1668" s="41" t="str">
        <f aca="false">IF(E1668="","",IFERROR(INDEX('Chart of Accounts'!$C$4:$C$200,MATCH(TEXT(E1668,"@"),TEXT('Chart of Accounts'!$B$4:$B$200,"@"),0)),"⚠ Not Found"))</f>
        <v/>
      </c>
      <c r="G1668" s="42"/>
      <c r="H1668" s="43"/>
      <c r="I1668" s="43"/>
      <c r="J1668" s="40"/>
    </row>
    <row r="1669" customFormat="false" ht="16.5" hidden="false" customHeight="true" outlineLevel="0" collapsed="false">
      <c r="B1669" s="44" t="str">
        <f aca="false">IF(C1669="","",ROW()-9)</f>
        <v/>
      </c>
      <c r="C1669" s="45"/>
      <c r="D1669" s="46" t="str">
        <f aca="false">IF(C1669="","",IFERROR(TEXT(C1669,"MMMM"),""))</f>
        <v/>
      </c>
      <c r="E1669" s="47"/>
      <c r="F1669" s="48" t="str">
        <f aca="false">IF(E1669="","",IFERROR(INDEX('Chart of Accounts'!$C$4:$C$200,MATCH(TEXT(E1669,"@"),TEXT('Chart of Accounts'!$B$4:$B$200,"@"),0)),"⚠ Not Found"))</f>
        <v/>
      </c>
      <c r="G1669" s="49"/>
      <c r="H1669" s="50"/>
      <c r="I1669" s="50"/>
      <c r="J1669" s="47"/>
    </row>
    <row r="1670" customFormat="false" ht="16.5" hidden="false" customHeight="true" outlineLevel="0" collapsed="false">
      <c r="B1670" s="37" t="str">
        <f aca="false">IF(C1670="","",ROW()-9)</f>
        <v/>
      </c>
      <c r="C1670" s="38"/>
      <c r="D1670" s="39" t="str">
        <f aca="false">IF(C1670="","",IFERROR(TEXT(C1670,"MMMM"),""))</f>
        <v/>
      </c>
      <c r="E1670" s="40"/>
      <c r="F1670" s="41" t="str">
        <f aca="false">IF(E1670="","",IFERROR(INDEX('Chart of Accounts'!$C$4:$C$200,MATCH(TEXT(E1670,"@"),TEXT('Chart of Accounts'!$B$4:$B$200,"@"),0)),"⚠ Not Found"))</f>
        <v/>
      </c>
      <c r="G1670" s="42"/>
      <c r="H1670" s="43"/>
      <c r="I1670" s="43"/>
      <c r="J1670" s="40"/>
    </row>
    <row r="1671" customFormat="false" ht="16.5" hidden="false" customHeight="true" outlineLevel="0" collapsed="false">
      <c r="B1671" s="44" t="str">
        <f aca="false">IF(C1671="","",ROW()-9)</f>
        <v/>
      </c>
      <c r="C1671" s="45"/>
      <c r="D1671" s="46" t="str">
        <f aca="false">IF(C1671="","",IFERROR(TEXT(C1671,"MMMM"),""))</f>
        <v/>
      </c>
      <c r="E1671" s="47"/>
      <c r="F1671" s="48" t="str">
        <f aca="false">IF(E1671="","",IFERROR(INDEX('Chart of Accounts'!$C$4:$C$200,MATCH(TEXT(E1671,"@"),TEXT('Chart of Accounts'!$B$4:$B$200,"@"),0)),"⚠ Not Found"))</f>
        <v/>
      </c>
      <c r="G1671" s="49"/>
      <c r="H1671" s="50"/>
      <c r="I1671" s="50"/>
      <c r="J1671" s="47"/>
    </row>
    <row r="1672" customFormat="false" ht="16.5" hidden="false" customHeight="true" outlineLevel="0" collapsed="false">
      <c r="B1672" s="37" t="str">
        <f aca="false">IF(C1672="","",ROW()-9)</f>
        <v/>
      </c>
      <c r="C1672" s="38"/>
      <c r="D1672" s="39" t="str">
        <f aca="false">IF(C1672="","",IFERROR(TEXT(C1672,"MMMM"),""))</f>
        <v/>
      </c>
      <c r="E1672" s="40"/>
      <c r="F1672" s="41" t="str">
        <f aca="false">IF(E1672="","",IFERROR(INDEX('Chart of Accounts'!$C$4:$C$200,MATCH(TEXT(E1672,"@"),TEXT('Chart of Accounts'!$B$4:$B$200,"@"),0)),"⚠ Not Found"))</f>
        <v/>
      </c>
      <c r="G1672" s="42"/>
      <c r="H1672" s="43"/>
      <c r="I1672" s="43"/>
      <c r="J1672" s="40"/>
    </row>
    <row r="1673" customFormat="false" ht="16.5" hidden="false" customHeight="true" outlineLevel="0" collapsed="false">
      <c r="B1673" s="44" t="str">
        <f aca="false">IF(C1673="","",ROW()-9)</f>
        <v/>
      </c>
      <c r="C1673" s="45"/>
      <c r="D1673" s="46" t="str">
        <f aca="false">IF(C1673="","",IFERROR(TEXT(C1673,"MMMM"),""))</f>
        <v/>
      </c>
      <c r="E1673" s="47"/>
      <c r="F1673" s="48" t="str">
        <f aca="false">IF(E1673="","",IFERROR(INDEX('Chart of Accounts'!$C$4:$C$200,MATCH(TEXT(E1673,"@"),TEXT('Chart of Accounts'!$B$4:$B$200,"@"),0)),"⚠ Not Found"))</f>
        <v/>
      </c>
      <c r="G1673" s="49"/>
      <c r="H1673" s="50"/>
      <c r="I1673" s="50"/>
      <c r="J1673" s="47"/>
    </row>
    <row r="1674" customFormat="false" ht="16.5" hidden="false" customHeight="true" outlineLevel="0" collapsed="false">
      <c r="B1674" s="37" t="str">
        <f aca="false">IF(C1674="","",ROW()-9)</f>
        <v/>
      </c>
      <c r="C1674" s="38"/>
      <c r="D1674" s="39" t="str">
        <f aca="false">IF(C1674="","",IFERROR(TEXT(C1674,"MMMM"),""))</f>
        <v/>
      </c>
      <c r="E1674" s="40"/>
      <c r="F1674" s="41" t="str">
        <f aca="false">IF(E1674="","",IFERROR(INDEX('Chart of Accounts'!$C$4:$C$200,MATCH(TEXT(E1674,"@"),TEXT('Chart of Accounts'!$B$4:$B$200,"@"),0)),"⚠ Not Found"))</f>
        <v/>
      </c>
      <c r="G1674" s="42"/>
      <c r="H1674" s="43"/>
      <c r="I1674" s="43"/>
      <c r="J1674" s="40"/>
    </row>
    <row r="1675" customFormat="false" ht="16.5" hidden="false" customHeight="true" outlineLevel="0" collapsed="false">
      <c r="B1675" s="44" t="str">
        <f aca="false">IF(C1675="","",ROW()-9)</f>
        <v/>
      </c>
      <c r="C1675" s="45"/>
      <c r="D1675" s="46" t="str">
        <f aca="false">IF(C1675="","",IFERROR(TEXT(C1675,"MMMM"),""))</f>
        <v/>
      </c>
      <c r="E1675" s="47"/>
      <c r="F1675" s="48" t="str">
        <f aca="false">IF(E1675="","",IFERROR(INDEX('Chart of Accounts'!$C$4:$C$200,MATCH(TEXT(E1675,"@"),TEXT('Chart of Accounts'!$B$4:$B$200,"@"),0)),"⚠ Not Found"))</f>
        <v/>
      </c>
      <c r="G1675" s="49"/>
      <c r="H1675" s="50"/>
      <c r="I1675" s="50"/>
      <c r="J1675" s="47"/>
    </row>
    <row r="1676" customFormat="false" ht="16.5" hidden="false" customHeight="true" outlineLevel="0" collapsed="false">
      <c r="B1676" s="37" t="str">
        <f aca="false">IF(C1676="","",ROW()-9)</f>
        <v/>
      </c>
      <c r="C1676" s="38"/>
      <c r="D1676" s="39" t="str">
        <f aca="false">IF(C1676="","",IFERROR(TEXT(C1676,"MMMM"),""))</f>
        <v/>
      </c>
      <c r="E1676" s="40"/>
      <c r="F1676" s="41" t="str">
        <f aca="false">IF(E1676="","",IFERROR(INDEX('Chart of Accounts'!$C$4:$C$200,MATCH(TEXT(E1676,"@"),TEXT('Chart of Accounts'!$B$4:$B$200,"@"),0)),"⚠ Not Found"))</f>
        <v/>
      </c>
      <c r="G1676" s="42"/>
      <c r="H1676" s="43"/>
      <c r="I1676" s="43"/>
      <c r="J1676" s="40"/>
    </row>
    <row r="1677" customFormat="false" ht="16.5" hidden="false" customHeight="true" outlineLevel="0" collapsed="false">
      <c r="B1677" s="44" t="str">
        <f aca="false">IF(C1677="","",ROW()-9)</f>
        <v/>
      </c>
      <c r="C1677" s="45"/>
      <c r="D1677" s="46" t="str">
        <f aca="false">IF(C1677="","",IFERROR(TEXT(C1677,"MMMM"),""))</f>
        <v/>
      </c>
      <c r="E1677" s="47"/>
      <c r="F1677" s="48" t="str">
        <f aca="false">IF(E1677="","",IFERROR(INDEX('Chart of Accounts'!$C$4:$C$200,MATCH(TEXT(E1677,"@"),TEXT('Chart of Accounts'!$B$4:$B$200,"@"),0)),"⚠ Not Found"))</f>
        <v/>
      </c>
      <c r="G1677" s="49"/>
      <c r="H1677" s="50"/>
      <c r="I1677" s="50"/>
      <c r="J1677" s="47"/>
    </row>
    <row r="1678" customFormat="false" ht="16.5" hidden="false" customHeight="true" outlineLevel="0" collapsed="false">
      <c r="B1678" s="37" t="str">
        <f aca="false">IF(C1678="","",ROW()-9)</f>
        <v/>
      </c>
      <c r="C1678" s="38"/>
      <c r="D1678" s="39" t="str">
        <f aca="false">IF(C1678="","",IFERROR(TEXT(C1678,"MMMM"),""))</f>
        <v/>
      </c>
      <c r="E1678" s="40"/>
      <c r="F1678" s="41" t="str">
        <f aca="false">IF(E1678="","",IFERROR(INDEX('Chart of Accounts'!$C$4:$C$200,MATCH(TEXT(E1678,"@"),TEXT('Chart of Accounts'!$B$4:$B$200,"@"),0)),"⚠ Not Found"))</f>
        <v/>
      </c>
      <c r="G1678" s="42"/>
      <c r="H1678" s="43"/>
      <c r="I1678" s="43"/>
      <c r="J1678" s="40"/>
    </row>
    <row r="1679" customFormat="false" ht="16.5" hidden="false" customHeight="true" outlineLevel="0" collapsed="false">
      <c r="B1679" s="44" t="str">
        <f aca="false">IF(C1679="","",ROW()-9)</f>
        <v/>
      </c>
      <c r="C1679" s="45"/>
      <c r="D1679" s="46" t="str">
        <f aca="false">IF(C1679="","",IFERROR(TEXT(C1679,"MMMM"),""))</f>
        <v/>
      </c>
      <c r="E1679" s="47"/>
      <c r="F1679" s="48" t="str">
        <f aca="false">IF(E1679="","",IFERROR(INDEX('Chart of Accounts'!$C$4:$C$200,MATCH(TEXT(E1679,"@"),TEXT('Chart of Accounts'!$B$4:$B$200,"@"),0)),"⚠ Not Found"))</f>
        <v/>
      </c>
      <c r="G1679" s="49"/>
      <c r="H1679" s="50"/>
      <c r="I1679" s="50"/>
      <c r="J1679" s="47"/>
    </row>
    <row r="1680" customFormat="false" ht="16.5" hidden="false" customHeight="true" outlineLevel="0" collapsed="false">
      <c r="B1680" s="37" t="str">
        <f aca="false">IF(C1680="","",ROW()-9)</f>
        <v/>
      </c>
      <c r="C1680" s="38"/>
      <c r="D1680" s="39" t="str">
        <f aca="false">IF(C1680="","",IFERROR(TEXT(C1680,"MMMM"),""))</f>
        <v/>
      </c>
      <c r="E1680" s="40"/>
      <c r="F1680" s="41" t="str">
        <f aca="false">IF(E1680="","",IFERROR(INDEX('Chart of Accounts'!$C$4:$C$200,MATCH(TEXT(E1680,"@"),TEXT('Chart of Accounts'!$B$4:$B$200,"@"),0)),"⚠ Not Found"))</f>
        <v/>
      </c>
      <c r="G1680" s="42"/>
      <c r="H1680" s="43"/>
      <c r="I1680" s="43"/>
      <c r="J1680" s="40"/>
    </row>
    <row r="1681" customFormat="false" ht="16.5" hidden="false" customHeight="true" outlineLevel="0" collapsed="false">
      <c r="B1681" s="44" t="str">
        <f aca="false">IF(C1681="","",ROW()-9)</f>
        <v/>
      </c>
      <c r="C1681" s="45"/>
      <c r="D1681" s="46" t="str">
        <f aca="false">IF(C1681="","",IFERROR(TEXT(C1681,"MMMM"),""))</f>
        <v/>
      </c>
      <c r="E1681" s="47"/>
      <c r="F1681" s="48" t="str">
        <f aca="false">IF(E1681="","",IFERROR(INDEX('Chart of Accounts'!$C$4:$C$200,MATCH(TEXT(E1681,"@"),TEXT('Chart of Accounts'!$B$4:$B$200,"@"),0)),"⚠ Not Found"))</f>
        <v/>
      </c>
      <c r="G1681" s="49"/>
      <c r="H1681" s="50"/>
      <c r="I1681" s="50"/>
      <c r="J1681" s="47"/>
    </row>
    <row r="1682" customFormat="false" ht="16.5" hidden="false" customHeight="true" outlineLevel="0" collapsed="false">
      <c r="B1682" s="37" t="str">
        <f aca="false">IF(C1682="","",ROW()-9)</f>
        <v/>
      </c>
      <c r="C1682" s="38"/>
      <c r="D1682" s="39" t="str">
        <f aca="false">IF(C1682="","",IFERROR(TEXT(C1682,"MMMM"),""))</f>
        <v/>
      </c>
      <c r="E1682" s="40"/>
      <c r="F1682" s="41" t="str">
        <f aca="false">IF(E1682="","",IFERROR(INDEX('Chart of Accounts'!$C$4:$C$200,MATCH(TEXT(E1682,"@"),TEXT('Chart of Accounts'!$B$4:$B$200,"@"),0)),"⚠ Not Found"))</f>
        <v/>
      </c>
      <c r="G1682" s="42"/>
      <c r="H1682" s="43"/>
      <c r="I1682" s="43"/>
      <c r="J1682" s="40"/>
    </row>
    <row r="1683" customFormat="false" ht="16.5" hidden="false" customHeight="true" outlineLevel="0" collapsed="false">
      <c r="B1683" s="44" t="str">
        <f aca="false">IF(C1683="","",ROW()-9)</f>
        <v/>
      </c>
      <c r="C1683" s="45"/>
      <c r="D1683" s="46" t="str">
        <f aca="false">IF(C1683="","",IFERROR(TEXT(C1683,"MMMM"),""))</f>
        <v/>
      </c>
      <c r="E1683" s="47"/>
      <c r="F1683" s="48" t="str">
        <f aca="false">IF(E1683="","",IFERROR(INDEX('Chart of Accounts'!$C$4:$C$200,MATCH(TEXT(E1683,"@"),TEXT('Chart of Accounts'!$B$4:$B$200,"@"),0)),"⚠ Not Found"))</f>
        <v/>
      </c>
      <c r="G1683" s="49"/>
      <c r="H1683" s="50"/>
      <c r="I1683" s="50"/>
      <c r="J1683" s="47"/>
    </row>
    <row r="1684" customFormat="false" ht="16.5" hidden="false" customHeight="true" outlineLevel="0" collapsed="false">
      <c r="B1684" s="37" t="str">
        <f aca="false">IF(C1684="","",ROW()-9)</f>
        <v/>
      </c>
      <c r="C1684" s="38"/>
      <c r="D1684" s="39" t="str">
        <f aca="false">IF(C1684="","",IFERROR(TEXT(C1684,"MMMM"),""))</f>
        <v/>
      </c>
      <c r="E1684" s="40"/>
      <c r="F1684" s="41" t="str">
        <f aca="false">IF(E1684="","",IFERROR(INDEX('Chart of Accounts'!$C$4:$C$200,MATCH(TEXT(E1684,"@"),TEXT('Chart of Accounts'!$B$4:$B$200,"@"),0)),"⚠ Not Found"))</f>
        <v/>
      </c>
      <c r="G1684" s="42"/>
      <c r="H1684" s="43"/>
      <c r="I1684" s="43"/>
      <c r="J1684" s="40"/>
    </row>
    <row r="1685" customFormat="false" ht="16.5" hidden="false" customHeight="true" outlineLevel="0" collapsed="false">
      <c r="B1685" s="44" t="str">
        <f aca="false">IF(C1685="","",ROW()-9)</f>
        <v/>
      </c>
      <c r="C1685" s="45"/>
      <c r="D1685" s="46" t="str">
        <f aca="false">IF(C1685="","",IFERROR(TEXT(C1685,"MMMM"),""))</f>
        <v/>
      </c>
      <c r="E1685" s="47"/>
      <c r="F1685" s="48" t="str">
        <f aca="false">IF(E1685="","",IFERROR(INDEX('Chart of Accounts'!$C$4:$C$200,MATCH(TEXT(E1685,"@"),TEXT('Chart of Accounts'!$B$4:$B$200,"@"),0)),"⚠ Not Found"))</f>
        <v/>
      </c>
      <c r="G1685" s="49"/>
      <c r="H1685" s="50"/>
      <c r="I1685" s="50"/>
      <c r="J1685" s="47"/>
    </row>
    <row r="1686" customFormat="false" ht="16.5" hidden="false" customHeight="true" outlineLevel="0" collapsed="false">
      <c r="B1686" s="37" t="str">
        <f aca="false">IF(C1686="","",ROW()-9)</f>
        <v/>
      </c>
      <c r="C1686" s="38"/>
      <c r="D1686" s="39" t="str">
        <f aca="false">IF(C1686="","",IFERROR(TEXT(C1686,"MMMM"),""))</f>
        <v/>
      </c>
      <c r="E1686" s="40"/>
      <c r="F1686" s="41" t="str">
        <f aca="false">IF(E1686="","",IFERROR(INDEX('Chart of Accounts'!$C$4:$C$200,MATCH(TEXT(E1686,"@"),TEXT('Chart of Accounts'!$B$4:$B$200,"@"),0)),"⚠ Not Found"))</f>
        <v/>
      </c>
      <c r="G1686" s="42"/>
      <c r="H1686" s="43"/>
      <c r="I1686" s="43"/>
      <c r="J1686" s="40"/>
    </row>
    <row r="1687" customFormat="false" ht="16.5" hidden="false" customHeight="true" outlineLevel="0" collapsed="false">
      <c r="B1687" s="44" t="str">
        <f aca="false">IF(C1687="","",ROW()-9)</f>
        <v/>
      </c>
      <c r="C1687" s="45"/>
      <c r="D1687" s="46" t="str">
        <f aca="false">IF(C1687="","",IFERROR(TEXT(C1687,"MMMM"),""))</f>
        <v/>
      </c>
      <c r="E1687" s="47"/>
      <c r="F1687" s="48" t="str">
        <f aca="false">IF(E1687="","",IFERROR(INDEX('Chart of Accounts'!$C$4:$C$200,MATCH(TEXT(E1687,"@"),TEXT('Chart of Accounts'!$B$4:$B$200,"@"),0)),"⚠ Not Found"))</f>
        <v/>
      </c>
      <c r="G1687" s="49"/>
      <c r="H1687" s="50"/>
      <c r="I1687" s="50"/>
      <c r="J1687" s="47"/>
    </row>
    <row r="1688" customFormat="false" ht="16.5" hidden="false" customHeight="true" outlineLevel="0" collapsed="false">
      <c r="B1688" s="37" t="str">
        <f aca="false">IF(C1688="","",ROW()-9)</f>
        <v/>
      </c>
      <c r="C1688" s="38"/>
      <c r="D1688" s="39" t="str">
        <f aca="false">IF(C1688="","",IFERROR(TEXT(C1688,"MMMM"),""))</f>
        <v/>
      </c>
      <c r="E1688" s="40"/>
      <c r="F1688" s="41" t="str">
        <f aca="false">IF(E1688="","",IFERROR(INDEX('Chart of Accounts'!$C$4:$C$200,MATCH(TEXT(E1688,"@"),TEXT('Chart of Accounts'!$B$4:$B$200,"@"),0)),"⚠ Not Found"))</f>
        <v/>
      </c>
      <c r="G1688" s="42"/>
      <c r="H1688" s="43"/>
      <c r="I1688" s="43"/>
      <c r="J1688" s="40"/>
    </row>
    <row r="1689" customFormat="false" ht="16.5" hidden="false" customHeight="true" outlineLevel="0" collapsed="false">
      <c r="B1689" s="44" t="str">
        <f aca="false">IF(C1689="","",ROW()-9)</f>
        <v/>
      </c>
      <c r="C1689" s="45"/>
      <c r="D1689" s="46" t="str">
        <f aca="false">IF(C1689="","",IFERROR(TEXT(C1689,"MMMM"),""))</f>
        <v/>
      </c>
      <c r="E1689" s="47"/>
      <c r="F1689" s="48" t="str">
        <f aca="false">IF(E1689="","",IFERROR(INDEX('Chart of Accounts'!$C$4:$C$200,MATCH(TEXT(E1689,"@"),TEXT('Chart of Accounts'!$B$4:$B$200,"@"),0)),"⚠ Not Found"))</f>
        <v/>
      </c>
      <c r="G1689" s="49"/>
      <c r="H1689" s="50"/>
      <c r="I1689" s="50"/>
      <c r="J1689" s="47"/>
    </row>
    <row r="1690" customFormat="false" ht="16.5" hidden="false" customHeight="true" outlineLevel="0" collapsed="false">
      <c r="B1690" s="37" t="str">
        <f aca="false">IF(C1690="","",ROW()-9)</f>
        <v/>
      </c>
      <c r="C1690" s="38"/>
      <c r="D1690" s="39" t="str">
        <f aca="false">IF(C1690="","",IFERROR(TEXT(C1690,"MMMM"),""))</f>
        <v/>
      </c>
      <c r="E1690" s="40"/>
      <c r="F1690" s="41" t="str">
        <f aca="false">IF(E1690="","",IFERROR(INDEX('Chart of Accounts'!$C$4:$C$200,MATCH(TEXT(E1690,"@"),TEXT('Chart of Accounts'!$B$4:$B$200,"@"),0)),"⚠ Not Found"))</f>
        <v/>
      </c>
      <c r="G1690" s="42"/>
      <c r="H1690" s="43"/>
      <c r="I1690" s="43"/>
      <c r="J1690" s="40"/>
    </row>
    <row r="1691" customFormat="false" ht="16.5" hidden="false" customHeight="true" outlineLevel="0" collapsed="false">
      <c r="B1691" s="44" t="str">
        <f aca="false">IF(C1691="","",ROW()-9)</f>
        <v/>
      </c>
      <c r="C1691" s="45"/>
      <c r="D1691" s="46" t="str">
        <f aca="false">IF(C1691="","",IFERROR(TEXT(C1691,"MMMM"),""))</f>
        <v/>
      </c>
      <c r="E1691" s="47"/>
      <c r="F1691" s="48" t="str">
        <f aca="false">IF(E1691="","",IFERROR(INDEX('Chart of Accounts'!$C$4:$C$200,MATCH(TEXT(E1691,"@"),TEXT('Chart of Accounts'!$B$4:$B$200,"@"),0)),"⚠ Not Found"))</f>
        <v/>
      </c>
      <c r="G1691" s="49"/>
      <c r="H1691" s="50"/>
      <c r="I1691" s="50"/>
      <c r="J1691" s="47"/>
    </row>
    <row r="1692" customFormat="false" ht="16.5" hidden="false" customHeight="true" outlineLevel="0" collapsed="false">
      <c r="B1692" s="37" t="str">
        <f aca="false">IF(C1692="","",ROW()-9)</f>
        <v/>
      </c>
      <c r="C1692" s="38"/>
      <c r="D1692" s="39" t="str">
        <f aca="false">IF(C1692="","",IFERROR(TEXT(C1692,"MMMM"),""))</f>
        <v/>
      </c>
      <c r="E1692" s="40"/>
      <c r="F1692" s="41" t="str">
        <f aca="false">IF(E1692="","",IFERROR(INDEX('Chart of Accounts'!$C$4:$C$200,MATCH(TEXT(E1692,"@"),TEXT('Chart of Accounts'!$B$4:$B$200,"@"),0)),"⚠ Not Found"))</f>
        <v/>
      </c>
      <c r="G1692" s="42"/>
      <c r="H1692" s="43"/>
      <c r="I1692" s="43"/>
      <c r="J1692" s="40"/>
    </row>
    <row r="1693" customFormat="false" ht="16.5" hidden="false" customHeight="true" outlineLevel="0" collapsed="false">
      <c r="B1693" s="44" t="str">
        <f aca="false">IF(C1693="","",ROW()-9)</f>
        <v/>
      </c>
      <c r="C1693" s="45"/>
      <c r="D1693" s="46" t="str">
        <f aca="false">IF(C1693="","",IFERROR(TEXT(C1693,"MMMM"),""))</f>
        <v/>
      </c>
      <c r="E1693" s="47"/>
      <c r="F1693" s="48" t="str">
        <f aca="false">IF(E1693="","",IFERROR(INDEX('Chart of Accounts'!$C$4:$C$200,MATCH(TEXT(E1693,"@"),TEXT('Chart of Accounts'!$B$4:$B$200,"@"),0)),"⚠ Not Found"))</f>
        <v/>
      </c>
      <c r="G1693" s="49"/>
      <c r="H1693" s="50"/>
      <c r="I1693" s="50"/>
      <c r="J1693" s="47"/>
    </row>
    <row r="1694" customFormat="false" ht="16.5" hidden="false" customHeight="true" outlineLevel="0" collapsed="false">
      <c r="B1694" s="37" t="str">
        <f aca="false">IF(C1694="","",ROW()-9)</f>
        <v/>
      </c>
      <c r="C1694" s="38"/>
      <c r="D1694" s="39" t="str">
        <f aca="false">IF(C1694="","",IFERROR(TEXT(C1694,"MMMM"),""))</f>
        <v/>
      </c>
      <c r="E1694" s="40"/>
      <c r="F1694" s="41" t="str">
        <f aca="false">IF(E1694="","",IFERROR(INDEX('Chart of Accounts'!$C$4:$C$200,MATCH(TEXT(E1694,"@"),TEXT('Chart of Accounts'!$B$4:$B$200,"@"),0)),"⚠ Not Found"))</f>
        <v/>
      </c>
      <c r="G1694" s="42"/>
      <c r="H1694" s="43"/>
      <c r="I1694" s="43"/>
      <c r="J1694" s="40"/>
    </row>
    <row r="1695" customFormat="false" ht="16.5" hidden="false" customHeight="true" outlineLevel="0" collapsed="false">
      <c r="B1695" s="44" t="str">
        <f aca="false">IF(C1695="","",ROW()-9)</f>
        <v/>
      </c>
      <c r="C1695" s="45"/>
      <c r="D1695" s="46" t="str">
        <f aca="false">IF(C1695="","",IFERROR(TEXT(C1695,"MMMM"),""))</f>
        <v/>
      </c>
      <c r="E1695" s="47"/>
      <c r="F1695" s="48" t="str">
        <f aca="false">IF(E1695="","",IFERROR(INDEX('Chart of Accounts'!$C$4:$C$200,MATCH(TEXT(E1695,"@"),TEXT('Chart of Accounts'!$B$4:$B$200,"@"),0)),"⚠ Not Found"))</f>
        <v/>
      </c>
      <c r="G1695" s="49"/>
      <c r="H1695" s="50"/>
      <c r="I1695" s="50"/>
      <c r="J1695" s="47"/>
    </row>
    <row r="1696" customFormat="false" ht="16.5" hidden="false" customHeight="true" outlineLevel="0" collapsed="false">
      <c r="B1696" s="37" t="str">
        <f aca="false">IF(C1696="","",ROW()-9)</f>
        <v/>
      </c>
      <c r="C1696" s="38"/>
      <c r="D1696" s="39" t="str">
        <f aca="false">IF(C1696="","",IFERROR(TEXT(C1696,"MMMM"),""))</f>
        <v/>
      </c>
      <c r="E1696" s="40"/>
      <c r="F1696" s="41" t="str">
        <f aca="false">IF(E1696="","",IFERROR(INDEX('Chart of Accounts'!$C$4:$C$200,MATCH(TEXT(E1696,"@"),TEXT('Chart of Accounts'!$B$4:$B$200,"@"),0)),"⚠ Not Found"))</f>
        <v/>
      </c>
      <c r="G1696" s="42"/>
      <c r="H1696" s="43"/>
      <c r="I1696" s="43"/>
      <c r="J1696" s="40"/>
    </row>
    <row r="1697" customFormat="false" ht="16.5" hidden="false" customHeight="true" outlineLevel="0" collapsed="false">
      <c r="B1697" s="44" t="str">
        <f aca="false">IF(C1697="","",ROW()-9)</f>
        <v/>
      </c>
      <c r="C1697" s="45"/>
      <c r="D1697" s="46" t="str">
        <f aca="false">IF(C1697="","",IFERROR(TEXT(C1697,"MMMM"),""))</f>
        <v/>
      </c>
      <c r="E1697" s="47"/>
      <c r="F1697" s="48" t="str">
        <f aca="false">IF(E1697="","",IFERROR(INDEX('Chart of Accounts'!$C$4:$C$200,MATCH(TEXT(E1697,"@"),TEXT('Chart of Accounts'!$B$4:$B$200,"@"),0)),"⚠ Not Found"))</f>
        <v/>
      </c>
      <c r="G1697" s="49"/>
      <c r="H1697" s="50"/>
      <c r="I1697" s="50"/>
      <c r="J1697" s="47"/>
    </row>
    <row r="1698" customFormat="false" ht="16.5" hidden="false" customHeight="true" outlineLevel="0" collapsed="false">
      <c r="B1698" s="37" t="str">
        <f aca="false">IF(C1698="","",ROW()-9)</f>
        <v/>
      </c>
      <c r="C1698" s="38"/>
      <c r="D1698" s="39" t="str">
        <f aca="false">IF(C1698="","",IFERROR(TEXT(C1698,"MMMM"),""))</f>
        <v/>
      </c>
      <c r="E1698" s="40"/>
      <c r="F1698" s="41" t="str">
        <f aca="false">IF(E1698="","",IFERROR(INDEX('Chart of Accounts'!$C$4:$C$200,MATCH(TEXT(E1698,"@"),TEXT('Chart of Accounts'!$B$4:$B$200,"@"),0)),"⚠ Not Found"))</f>
        <v/>
      </c>
      <c r="G1698" s="42"/>
      <c r="H1698" s="43"/>
      <c r="I1698" s="43"/>
      <c r="J1698" s="40"/>
    </row>
    <row r="1699" customFormat="false" ht="16.5" hidden="false" customHeight="true" outlineLevel="0" collapsed="false">
      <c r="B1699" s="44" t="str">
        <f aca="false">IF(C1699="","",ROW()-9)</f>
        <v/>
      </c>
      <c r="C1699" s="45"/>
      <c r="D1699" s="46" t="str">
        <f aca="false">IF(C1699="","",IFERROR(TEXT(C1699,"MMMM"),""))</f>
        <v/>
      </c>
      <c r="E1699" s="47"/>
      <c r="F1699" s="48" t="str">
        <f aca="false">IF(E1699="","",IFERROR(INDEX('Chart of Accounts'!$C$4:$C$200,MATCH(TEXT(E1699,"@"),TEXT('Chart of Accounts'!$B$4:$B$200,"@"),0)),"⚠ Not Found"))</f>
        <v/>
      </c>
      <c r="G1699" s="49"/>
      <c r="H1699" s="50"/>
      <c r="I1699" s="50"/>
      <c r="J1699" s="47"/>
    </row>
    <row r="1700" customFormat="false" ht="16.5" hidden="false" customHeight="true" outlineLevel="0" collapsed="false">
      <c r="B1700" s="37" t="str">
        <f aca="false">IF(C1700="","",ROW()-9)</f>
        <v/>
      </c>
      <c r="C1700" s="38"/>
      <c r="D1700" s="39" t="str">
        <f aca="false">IF(C1700="","",IFERROR(TEXT(C1700,"MMMM"),""))</f>
        <v/>
      </c>
      <c r="E1700" s="40"/>
      <c r="F1700" s="41" t="str">
        <f aca="false">IF(E1700="","",IFERROR(INDEX('Chart of Accounts'!$C$4:$C$200,MATCH(TEXT(E1700,"@"),TEXT('Chart of Accounts'!$B$4:$B$200,"@"),0)),"⚠ Not Found"))</f>
        <v/>
      </c>
      <c r="G1700" s="42"/>
      <c r="H1700" s="43"/>
      <c r="I1700" s="43"/>
      <c r="J1700" s="40"/>
    </row>
    <row r="1701" customFormat="false" ht="16.5" hidden="false" customHeight="true" outlineLevel="0" collapsed="false">
      <c r="B1701" s="44" t="str">
        <f aca="false">IF(C1701="","",ROW()-9)</f>
        <v/>
      </c>
      <c r="C1701" s="45"/>
      <c r="D1701" s="46" t="str">
        <f aca="false">IF(C1701="","",IFERROR(TEXT(C1701,"MMMM"),""))</f>
        <v/>
      </c>
      <c r="E1701" s="47"/>
      <c r="F1701" s="48" t="str">
        <f aca="false">IF(E1701="","",IFERROR(INDEX('Chart of Accounts'!$C$4:$C$200,MATCH(TEXT(E1701,"@"),TEXT('Chart of Accounts'!$B$4:$B$200,"@"),0)),"⚠ Not Found"))</f>
        <v/>
      </c>
      <c r="G1701" s="49"/>
      <c r="H1701" s="50"/>
      <c r="I1701" s="50"/>
      <c r="J1701" s="47"/>
    </row>
    <row r="1702" customFormat="false" ht="16.5" hidden="false" customHeight="true" outlineLevel="0" collapsed="false">
      <c r="B1702" s="37" t="str">
        <f aca="false">IF(C1702="","",ROW()-9)</f>
        <v/>
      </c>
      <c r="C1702" s="38"/>
      <c r="D1702" s="39" t="str">
        <f aca="false">IF(C1702="","",IFERROR(TEXT(C1702,"MMMM"),""))</f>
        <v/>
      </c>
      <c r="E1702" s="40"/>
      <c r="F1702" s="41" t="str">
        <f aca="false">IF(E1702="","",IFERROR(INDEX('Chart of Accounts'!$C$4:$C$200,MATCH(TEXT(E1702,"@"),TEXT('Chart of Accounts'!$B$4:$B$200,"@"),0)),"⚠ Not Found"))</f>
        <v/>
      </c>
      <c r="G1702" s="42"/>
      <c r="H1702" s="43"/>
      <c r="I1702" s="43"/>
      <c r="J1702" s="40"/>
    </row>
    <row r="1703" customFormat="false" ht="16.5" hidden="false" customHeight="true" outlineLevel="0" collapsed="false">
      <c r="B1703" s="44" t="str">
        <f aca="false">IF(C1703="","",ROW()-9)</f>
        <v/>
      </c>
      <c r="C1703" s="45"/>
      <c r="D1703" s="46" t="str">
        <f aca="false">IF(C1703="","",IFERROR(TEXT(C1703,"MMMM"),""))</f>
        <v/>
      </c>
      <c r="E1703" s="47"/>
      <c r="F1703" s="48" t="str">
        <f aca="false">IF(E1703="","",IFERROR(INDEX('Chart of Accounts'!$C$4:$C$200,MATCH(TEXT(E1703,"@"),TEXT('Chart of Accounts'!$B$4:$B$200,"@"),0)),"⚠ Not Found"))</f>
        <v/>
      </c>
      <c r="G1703" s="49"/>
      <c r="H1703" s="50"/>
      <c r="I1703" s="50"/>
      <c r="J1703" s="47"/>
    </row>
    <row r="1704" customFormat="false" ht="16.5" hidden="false" customHeight="true" outlineLevel="0" collapsed="false">
      <c r="B1704" s="37" t="str">
        <f aca="false">IF(C1704="","",ROW()-9)</f>
        <v/>
      </c>
      <c r="C1704" s="38"/>
      <c r="D1704" s="39" t="str">
        <f aca="false">IF(C1704="","",IFERROR(TEXT(C1704,"MMMM"),""))</f>
        <v/>
      </c>
      <c r="E1704" s="40"/>
      <c r="F1704" s="41" t="str">
        <f aca="false">IF(E1704="","",IFERROR(INDEX('Chart of Accounts'!$C$4:$C$200,MATCH(TEXT(E1704,"@"),TEXT('Chart of Accounts'!$B$4:$B$200,"@"),0)),"⚠ Not Found"))</f>
        <v/>
      </c>
      <c r="G1704" s="42"/>
      <c r="H1704" s="43"/>
      <c r="I1704" s="43"/>
      <c r="J1704" s="40"/>
    </row>
    <row r="1705" customFormat="false" ht="16.5" hidden="false" customHeight="true" outlineLevel="0" collapsed="false">
      <c r="B1705" s="44" t="str">
        <f aca="false">IF(C1705="","",ROW()-9)</f>
        <v/>
      </c>
      <c r="C1705" s="45"/>
      <c r="D1705" s="46" t="str">
        <f aca="false">IF(C1705="","",IFERROR(TEXT(C1705,"MMMM"),""))</f>
        <v/>
      </c>
      <c r="E1705" s="47"/>
      <c r="F1705" s="48" t="str">
        <f aca="false">IF(E1705="","",IFERROR(INDEX('Chart of Accounts'!$C$4:$C$200,MATCH(TEXT(E1705,"@"),TEXT('Chart of Accounts'!$B$4:$B$200,"@"),0)),"⚠ Not Found"))</f>
        <v/>
      </c>
      <c r="G1705" s="49"/>
      <c r="H1705" s="50"/>
      <c r="I1705" s="50"/>
      <c r="J1705" s="47"/>
    </row>
    <row r="1706" customFormat="false" ht="16.5" hidden="false" customHeight="true" outlineLevel="0" collapsed="false">
      <c r="B1706" s="37" t="str">
        <f aca="false">IF(C1706="","",ROW()-9)</f>
        <v/>
      </c>
      <c r="C1706" s="38"/>
      <c r="D1706" s="39" t="str">
        <f aca="false">IF(C1706="","",IFERROR(TEXT(C1706,"MMMM"),""))</f>
        <v/>
      </c>
      <c r="E1706" s="40"/>
      <c r="F1706" s="41" t="str">
        <f aca="false">IF(E1706="","",IFERROR(INDEX('Chart of Accounts'!$C$4:$C$200,MATCH(TEXT(E1706,"@"),TEXT('Chart of Accounts'!$B$4:$B$200,"@"),0)),"⚠ Not Found"))</f>
        <v/>
      </c>
      <c r="G1706" s="42"/>
      <c r="H1706" s="43"/>
      <c r="I1706" s="43"/>
      <c r="J1706" s="40"/>
    </row>
    <row r="1707" customFormat="false" ht="16.5" hidden="false" customHeight="true" outlineLevel="0" collapsed="false">
      <c r="B1707" s="44" t="str">
        <f aca="false">IF(C1707="","",ROW()-9)</f>
        <v/>
      </c>
      <c r="C1707" s="45"/>
      <c r="D1707" s="46" t="str">
        <f aca="false">IF(C1707="","",IFERROR(TEXT(C1707,"MMMM"),""))</f>
        <v/>
      </c>
      <c r="E1707" s="47"/>
      <c r="F1707" s="48" t="str">
        <f aca="false">IF(E1707="","",IFERROR(INDEX('Chart of Accounts'!$C$4:$C$200,MATCH(TEXT(E1707,"@"),TEXT('Chart of Accounts'!$B$4:$B$200,"@"),0)),"⚠ Not Found"))</f>
        <v/>
      </c>
      <c r="G1707" s="49"/>
      <c r="H1707" s="50"/>
      <c r="I1707" s="50"/>
      <c r="J1707" s="47"/>
    </row>
    <row r="1708" customFormat="false" ht="16.5" hidden="false" customHeight="true" outlineLevel="0" collapsed="false">
      <c r="B1708" s="37" t="str">
        <f aca="false">IF(C1708="","",ROW()-9)</f>
        <v/>
      </c>
      <c r="C1708" s="38"/>
      <c r="D1708" s="39" t="str">
        <f aca="false">IF(C1708="","",IFERROR(TEXT(C1708,"MMMM"),""))</f>
        <v/>
      </c>
      <c r="E1708" s="40"/>
      <c r="F1708" s="41" t="str">
        <f aca="false">IF(E1708="","",IFERROR(INDEX('Chart of Accounts'!$C$4:$C$200,MATCH(TEXT(E1708,"@"),TEXT('Chart of Accounts'!$B$4:$B$200,"@"),0)),"⚠ Not Found"))</f>
        <v/>
      </c>
      <c r="G1708" s="42"/>
      <c r="H1708" s="43"/>
      <c r="I1708" s="43"/>
      <c r="J1708" s="40"/>
    </row>
    <row r="1709" customFormat="false" ht="16.5" hidden="false" customHeight="true" outlineLevel="0" collapsed="false">
      <c r="B1709" s="44" t="str">
        <f aca="false">IF(C1709="","",ROW()-9)</f>
        <v/>
      </c>
      <c r="C1709" s="45"/>
      <c r="D1709" s="46" t="str">
        <f aca="false">IF(C1709="","",IFERROR(TEXT(C1709,"MMMM"),""))</f>
        <v/>
      </c>
      <c r="E1709" s="47"/>
      <c r="F1709" s="48" t="str">
        <f aca="false">IF(E1709="","",IFERROR(INDEX('Chart of Accounts'!$C$4:$C$200,MATCH(TEXT(E1709,"@"),TEXT('Chart of Accounts'!$B$4:$B$200,"@"),0)),"⚠ Not Found"))</f>
        <v/>
      </c>
      <c r="G1709" s="49"/>
      <c r="H1709" s="50"/>
      <c r="I1709" s="50"/>
      <c r="J1709" s="47"/>
    </row>
    <row r="1710" customFormat="false" ht="16.5" hidden="false" customHeight="true" outlineLevel="0" collapsed="false">
      <c r="B1710" s="37" t="str">
        <f aca="false">IF(C1710="","",ROW()-9)</f>
        <v/>
      </c>
      <c r="C1710" s="38"/>
      <c r="D1710" s="39" t="str">
        <f aca="false">IF(C1710="","",IFERROR(TEXT(C1710,"MMMM"),""))</f>
        <v/>
      </c>
      <c r="E1710" s="40"/>
      <c r="F1710" s="41" t="str">
        <f aca="false">IF(E1710="","",IFERROR(INDEX('Chart of Accounts'!$C$4:$C$200,MATCH(TEXT(E1710,"@"),TEXT('Chart of Accounts'!$B$4:$B$200,"@"),0)),"⚠ Not Found"))</f>
        <v/>
      </c>
      <c r="G1710" s="42"/>
      <c r="H1710" s="43"/>
      <c r="I1710" s="43"/>
      <c r="J1710" s="40"/>
    </row>
    <row r="1711" customFormat="false" ht="16.5" hidden="false" customHeight="true" outlineLevel="0" collapsed="false">
      <c r="B1711" s="44" t="str">
        <f aca="false">IF(C1711="","",ROW()-9)</f>
        <v/>
      </c>
      <c r="C1711" s="45"/>
      <c r="D1711" s="46" t="str">
        <f aca="false">IF(C1711="","",IFERROR(TEXT(C1711,"MMMM"),""))</f>
        <v/>
      </c>
      <c r="E1711" s="47"/>
      <c r="F1711" s="48" t="str">
        <f aca="false">IF(E1711="","",IFERROR(INDEX('Chart of Accounts'!$C$4:$C$200,MATCH(TEXT(E1711,"@"),TEXT('Chart of Accounts'!$B$4:$B$200,"@"),0)),"⚠ Not Found"))</f>
        <v/>
      </c>
      <c r="G1711" s="49"/>
      <c r="H1711" s="50"/>
      <c r="I1711" s="50"/>
      <c r="J1711" s="47"/>
    </row>
    <row r="1712" customFormat="false" ht="16.5" hidden="false" customHeight="true" outlineLevel="0" collapsed="false">
      <c r="B1712" s="37" t="str">
        <f aca="false">IF(C1712="","",ROW()-9)</f>
        <v/>
      </c>
      <c r="C1712" s="38"/>
      <c r="D1712" s="39" t="str">
        <f aca="false">IF(C1712="","",IFERROR(TEXT(C1712,"MMMM"),""))</f>
        <v/>
      </c>
      <c r="E1712" s="40"/>
      <c r="F1712" s="41" t="str">
        <f aca="false">IF(E1712="","",IFERROR(INDEX('Chart of Accounts'!$C$4:$C$200,MATCH(TEXT(E1712,"@"),TEXT('Chart of Accounts'!$B$4:$B$200,"@"),0)),"⚠ Not Found"))</f>
        <v/>
      </c>
      <c r="G1712" s="42"/>
      <c r="H1712" s="43"/>
      <c r="I1712" s="43"/>
      <c r="J1712" s="40"/>
    </row>
    <row r="1713" customFormat="false" ht="16.5" hidden="false" customHeight="true" outlineLevel="0" collapsed="false">
      <c r="B1713" s="44" t="str">
        <f aca="false">IF(C1713="","",ROW()-9)</f>
        <v/>
      </c>
      <c r="C1713" s="45"/>
      <c r="D1713" s="46" t="str">
        <f aca="false">IF(C1713="","",IFERROR(TEXT(C1713,"MMMM"),""))</f>
        <v/>
      </c>
      <c r="E1713" s="47"/>
      <c r="F1713" s="48" t="str">
        <f aca="false">IF(E1713="","",IFERROR(INDEX('Chart of Accounts'!$C$4:$C$200,MATCH(TEXT(E1713,"@"),TEXT('Chart of Accounts'!$B$4:$B$200,"@"),0)),"⚠ Not Found"))</f>
        <v/>
      </c>
      <c r="G1713" s="49"/>
      <c r="H1713" s="50"/>
      <c r="I1713" s="50"/>
      <c r="J1713" s="47"/>
    </row>
    <row r="1714" customFormat="false" ht="16.5" hidden="false" customHeight="true" outlineLevel="0" collapsed="false">
      <c r="B1714" s="37" t="str">
        <f aca="false">IF(C1714="","",ROW()-9)</f>
        <v/>
      </c>
      <c r="C1714" s="38"/>
      <c r="D1714" s="39" t="str">
        <f aca="false">IF(C1714="","",IFERROR(TEXT(C1714,"MMMM"),""))</f>
        <v/>
      </c>
      <c r="E1714" s="40"/>
      <c r="F1714" s="41" t="str">
        <f aca="false">IF(E1714="","",IFERROR(INDEX('Chart of Accounts'!$C$4:$C$200,MATCH(TEXT(E1714,"@"),TEXT('Chart of Accounts'!$B$4:$B$200,"@"),0)),"⚠ Not Found"))</f>
        <v/>
      </c>
      <c r="G1714" s="42"/>
      <c r="H1714" s="43"/>
      <c r="I1714" s="43"/>
      <c r="J1714" s="40"/>
    </row>
    <row r="1715" customFormat="false" ht="16.5" hidden="false" customHeight="true" outlineLevel="0" collapsed="false">
      <c r="B1715" s="44" t="str">
        <f aca="false">IF(C1715="","",ROW()-9)</f>
        <v/>
      </c>
      <c r="C1715" s="45"/>
      <c r="D1715" s="46" t="str">
        <f aca="false">IF(C1715="","",IFERROR(TEXT(C1715,"MMMM"),""))</f>
        <v/>
      </c>
      <c r="E1715" s="47"/>
      <c r="F1715" s="48" t="str">
        <f aca="false">IF(E1715="","",IFERROR(INDEX('Chart of Accounts'!$C$4:$C$200,MATCH(TEXT(E1715,"@"),TEXT('Chart of Accounts'!$B$4:$B$200,"@"),0)),"⚠ Not Found"))</f>
        <v/>
      </c>
      <c r="G1715" s="49"/>
      <c r="H1715" s="50"/>
      <c r="I1715" s="50"/>
      <c r="J1715" s="47"/>
    </row>
    <row r="1716" customFormat="false" ht="16.5" hidden="false" customHeight="true" outlineLevel="0" collapsed="false">
      <c r="B1716" s="37" t="str">
        <f aca="false">IF(C1716="","",ROW()-9)</f>
        <v/>
      </c>
      <c r="C1716" s="38"/>
      <c r="D1716" s="39" t="str">
        <f aca="false">IF(C1716="","",IFERROR(TEXT(C1716,"MMMM"),""))</f>
        <v/>
      </c>
      <c r="E1716" s="40"/>
      <c r="F1716" s="41" t="str">
        <f aca="false">IF(E1716="","",IFERROR(INDEX('Chart of Accounts'!$C$4:$C$200,MATCH(TEXT(E1716,"@"),TEXT('Chart of Accounts'!$B$4:$B$200,"@"),0)),"⚠ Not Found"))</f>
        <v/>
      </c>
      <c r="G1716" s="42"/>
      <c r="H1716" s="43"/>
      <c r="I1716" s="43"/>
      <c r="J1716" s="40"/>
    </row>
    <row r="1717" customFormat="false" ht="16.5" hidden="false" customHeight="true" outlineLevel="0" collapsed="false">
      <c r="B1717" s="44" t="str">
        <f aca="false">IF(C1717="","",ROW()-9)</f>
        <v/>
      </c>
      <c r="C1717" s="45"/>
      <c r="D1717" s="46" t="str">
        <f aca="false">IF(C1717="","",IFERROR(TEXT(C1717,"MMMM"),""))</f>
        <v/>
      </c>
      <c r="E1717" s="47"/>
      <c r="F1717" s="48" t="str">
        <f aca="false">IF(E1717="","",IFERROR(INDEX('Chart of Accounts'!$C$4:$C$200,MATCH(TEXT(E1717,"@"),TEXT('Chart of Accounts'!$B$4:$B$200,"@"),0)),"⚠ Not Found"))</f>
        <v/>
      </c>
      <c r="G1717" s="49"/>
      <c r="H1717" s="50"/>
      <c r="I1717" s="50"/>
      <c r="J1717" s="47"/>
    </row>
    <row r="1718" customFormat="false" ht="16.5" hidden="false" customHeight="true" outlineLevel="0" collapsed="false">
      <c r="B1718" s="37" t="str">
        <f aca="false">IF(C1718="","",ROW()-9)</f>
        <v/>
      </c>
      <c r="C1718" s="38"/>
      <c r="D1718" s="39" t="str">
        <f aca="false">IF(C1718="","",IFERROR(TEXT(C1718,"MMMM"),""))</f>
        <v/>
      </c>
      <c r="E1718" s="40"/>
      <c r="F1718" s="41" t="str">
        <f aca="false">IF(E1718="","",IFERROR(INDEX('Chart of Accounts'!$C$4:$C$200,MATCH(TEXT(E1718,"@"),TEXT('Chart of Accounts'!$B$4:$B$200,"@"),0)),"⚠ Not Found"))</f>
        <v/>
      </c>
      <c r="G1718" s="42"/>
      <c r="H1718" s="43"/>
      <c r="I1718" s="43"/>
      <c r="J1718" s="40"/>
    </row>
    <row r="1719" customFormat="false" ht="16.5" hidden="false" customHeight="true" outlineLevel="0" collapsed="false">
      <c r="B1719" s="44" t="str">
        <f aca="false">IF(C1719="","",ROW()-9)</f>
        <v/>
      </c>
      <c r="C1719" s="45"/>
      <c r="D1719" s="46" t="str">
        <f aca="false">IF(C1719="","",IFERROR(TEXT(C1719,"MMMM"),""))</f>
        <v/>
      </c>
      <c r="E1719" s="47"/>
      <c r="F1719" s="48" t="str">
        <f aca="false">IF(E1719="","",IFERROR(INDEX('Chart of Accounts'!$C$4:$C$200,MATCH(TEXT(E1719,"@"),TEXT('Chart of Accounts'!$B$4:$B$200,"@"),0)),"⚠ Not Found"))</f>
        <v/>
      </c>
      <c r="G1719" s="49"/>
      <c r="H1719" s="50"/>
      <c r="I1719" s="50"/>
      <c r="J1719" s="47"/>
    </row>
    <row r="1720" customFormat="false" ht="16.5" hidden="false" customHeight="true" outlineLevel="0" collapsed="false">
      <c r="B1720" s="37" t="str">
        <f aca="false">IF(C1720="","",ROW()-9)</f>
        <v/>
      </c>
      <c r="C1720" s="38"/>
      <c r="D1720" s="39" t="str">
        <f aca="false">IF(C1720="","",IFERROR(TEXT(C1720,"MMMM"),""))</f>
        <v/>
      </c>
      <c r="E1720" s="40"/>
      <c r="F1720" s="41" t="str">
        <f aca="false">IF(E1720="","",IFERROR(INDEX('Chart of Accounts'!$C$4:$C$200,MATCH(TEXT(E1720,"@"),TEXT('Chart of Accounts'!$B$4:$B$200,"@"),0)),"⚠ Not Found"))</f>
        <v/>
      </c>
      <c r="G1720" s="42"/>
      <c r="H1720" s="43"/>
      <c r="I1720" s="43"/>
      <c r="J1720" s="40"/>
    </row>
    <row r="1721" customFormat="false" ht="16.5" hidden="false" customHeight="true" outlineLevel="0" collapsed="false">
      <c r="B1721" s="44" t="str">
        <f aca="false">IF(C1721="","",ROW()-9)</f>
        <v/>
      </c>
      <c r="C1721" s="45"/>
      <c r="D1721" s="46" t="str">
        <f aca="false">IF(C1721="","",IFERROR(TEXT(C1721,"MMMM"),""))</f>
        <v/>
      </c>
      <c r="E1721" s="47"/>
      <c r="F1721" s="48" t="str">
        <f aca="false">IF(E1721="","",IFERROR(INDEX('Chart of Accounts'!$C$4:$C$200,MATCH(TEXT(E1721,"@"),TEXT('Chart of Accounts'!$B$4:$B$200,"@"),0)),"⚠ Not Found"))</f>
        <v/>
      </c>
      <c r="G1721" s="49"/>
      <c r="H1721" s="50"/>
      <c r="I1721" s="50"/>
      <c r="J1721" s="47"/>
    </row>
    <row r="1722" customFormat="false" ht="16.5" hidden="false" customHeight="true" outlineLevel="0" collapsed="false">
      <c r="B1722" s="37" t="str">
        <f aca="false">IF(C1722="","",ROW()-9)</f>
        <v/>
      </c>
      <c r="C1722" s="38"/>
      <c r="D1722" s="39" t="str">
        <f aca="false">IF(C1722="","",IFERROR(TEXT(C1722,"MMMM"),""))</f>
        <v/>
      </c>
      <c r="E1722" s="40"/>
      <c r="F1722" s="41" t="str">
        <f aca="false">IF(E1722="","",IFERROR(INDEX('Chart of Accounts'!$C$4:$C$200,MATCH(TEXT(E1722,"@"),TEXT('Chart of Accounts'!$B$4:$B$200,"@"),0)),"⚠ Not Found"))</f>
        <v/>
      </c>
      <c r="G1722" s="42"/>
      <c r="H1722" s="43"/>
      <c r="I1722" s="43"/>
      <c r="J1722" s="40"/>
    </row>
    <row r="1723" customFormat="false" ht="16.5" hidden="false" customHeight="true" outlineLevel="0" collapsed="false">
      <c r="B1723" s="44" t="str">
        <f aca="false">IF(C1723="","",ROW()-9)</f>
        <v/>
      </c>
      <c r="C1723" s="45"/>
      <c r="D1723" s="46" t="str">
        <f aca="false">IF(C1723="","",IFERROR(TEXT(C1723,"MMMM"),""))</f>
        <v/>
      </c>
      <c r="E1723" s="47"/>
      <c r="F1723" s="48" t="str">
        <f aca="false">IF(E1723="","",IFERROR(INDEX('Chart of Accounts'!$C$4:$C$200,MATCH(TEXT(E1723,"@"),TEXT('Chart of Accounts'!$B$4:$B$200,"@"),0)),"⚠ Not Found"))</f>
        <v/>
      </c>
      <c r="G1723" s="49"/>
      <c r="H1723" s="50"/>
      <c r="I1723" s="50"/>
      <c r="J1723" s="47"/>
    </row>
    <row r="1724" customFormat="false" ht="16.5" hidden="false" customHeight="true" outlineLevel="0" collapsed="false">
      <c r="B1724" s="37" t="str">
        <f aca="false">IF(C1724="","",ROW()-9)</f>
        <v/>
      </c>
      <c r="C1724" s="38"/>
      <c r="D1724" s="39" t="str">
        <f aca="false">IF(C1724="","",IFERROR(TEXT(C1724,"MMMM"),""))</f>
        <v/>
      </c>
      <c r="E1724" s="40"/>
      <c r="F1724" s="41" t="str">
        <f aca="false">IF(E1724="","",IFERROR(INDEX('Chart of Accounts'!$C$4:$C$200,MATCH(TEXT(E1724,"@"),TEXT('Chart of Accounts'!$B$4:$B$200,"@"),0)),"⚠ Not Found"))</f>
        <v/>
      </c>
      <c r="G1724" s="42"/>
      <c r="H1724" s="43"/>
      <c r="I1724" s="43"/>
      <c r="J1724" s="40"/>
    </row>
    <row r="1725" customFormat="false" ht="16.5" hidden="false" customHeight="true" outlineLevel="0" collapsed="false">
      <c r="B1725" s="44" t="str">
        <f aca="false">IF(C1725="","",ROW()-9)</f>
        <v/>
      </c>
      <c r="C1725" s="45"/>
      <c r="D1725" s="46" t="str">
        <f aca="false">IF(C1725="","",IFERROR(TEXT(C1725,"MMMM"),""))</f>
        <v/>
      </c>
      <c r="E1725" s="47"/>
      <c r="F1725" s="48" t="str">
        <f aca="false">IF(E1725="","",IFERROR(INDEX('Chart of Accounts'!$C$4:$C$200,MATCH(TEXT(E1725,"@"),TEXT('Chart of Accounts'!$B$4:$B$200,"@"),0)),"⚠ Not Found"))</f>
        <v/>
      </c>
      <c r="G1725" s="49"/>
      <c r="H1725" s="50"/>
      <c r="I1725" s="50"/>
      <c r="J1725" s="47"/>
    </row>
    <row r="1726" customFormat="false" ht="16.5" hidden="false" customHeight="true" outlineLevel="0" collapsed="false">
      <c r="B1726" s="37" t="str">
        <f aca="false">IF(C1726="","",ROW()-9)</f>
        <v/>
      </c>
      <c r="C1726" s="38"/>
      <c r="D1726" s="39" t="str">
        <f aca="false">IF(C1726="","",IFERROR(TEXT(C1726,"MMMM"),""))</f>
        <v/>
      </c>
      <c r="E1726" s="40"/>
      <c r="F1726" s="41" t="str">
        <f aca="false">IF(E1726="","",IFERROR(INDEX('Chart of Accounts'!$C$4:$C$200,MATCH(TEXT(E1726,"@"),TEXT('Chart of Accounts'!$B$4:$B$200,"@"),0)),"⚠ Not Found"))</f>
        <v/>
      </c>
      <c r="G1726" s="42"/>
      <c r="H1726" s="43"/>
      <c r="I1726" s="43"/>
      <c r="J1726" s="40"/>
    </row>
    <row r="1727" customFormat="false" ht="16.5" hidden="false" customHeight="true" outlineLevel="0" collapsed="false">
      <c r="B1727" s="44" t="str">
        <f aca="false">IF(C1727="","",ROW()-9)</f>
        <v/>
      </c>
      <c r="C1727" s="45"/>
      <c r="D1727" s="46" t="str">
        <f aca="false">IF(C1727="","",IFERROR(TEXT(C1727,"MMMM"),""))</f>
        <v/>
      </c>
      <c r="E1727" s="47"/>
      <c r="F1727" s="48" t="str">
        <f aca="false">IF(E1727="","",IFERROR(INDEX('Chart of Accounts'!$C$4:$C$200,MATCH(TEXT(E1727,"@"),TEXT('Chart of Accounts'!$B$4:$B$200,"@"),0)),"⚠ Not Found"))</f>
        <v/>
      </c>
      <c r="G1727" s="49"/>
      <c r="H1727" s="50"/>
      <c r="I1727" s="50"/>
      <c r="J1727" s="47"/>
    </row>
    <row r="1728" customFormat="false" ht="16.5" hidden="false" customHeight="true" outlineLevel="0" collapsed="false">
      <c r="B1728" s="37" t="str">
        <f aca="false">IF(C1728="","",ROW()-9)</f>
        <v/>
      </c>
      <c r="C1728" s="38"/>
      <c r="D1728" s="39" t="str">
        <f aca="false">IF(C1728="","",IFERROR(TEXT(C1728,"MMMM"),""))</f>
        <v/>
      </c>
      <c r="E1728" s="40"/>
      <c r="F1728" s="41" t="str">
        <f aca="false">IF(E1728="","",IFERROR(INDEX('Chart of Accounts'!$C$4:$C$200,MATCH(TEXT(E1728,"@"),TEXT('Chart of Accounts'!$B$4:$B$200,"@"),0)),"⚠ Not Found"))</f>
        <v/>
      </c>
      <c r="G1728" s="42"/>
      <c r="H1728" s="43"/>
      <c r="I1728" s="43"/>
      <c r="J1728" s="40"/>
    </row>
    <row r="1729" customFormat="false" ht="16.5" hidden="false" customHeight="true" outlineLevel="0" collapsed="false">
      <c r="B1729" s="44" t="str">
        <f aca="false">IF(C1729="","",ROW()-9)</f>
        <v/>
      </c>
      <c r="C1729" s="45"/>
      <c r="D1729" s="46" t="str">
        <f aca="false">IF(C1729="","",IFERROR(TEXT(C1729,"MMMM"),""))</f>
        <v/>
      </c>
      <c r="E1729" s="47"/>
      <c r="F1729" s="48" t="str">
        <f aca="false">IF(E1729="","",IFERROR(INDEX('Chart of Accounts'!$C$4:$C$200,MATCH(TEXT(E1729,"@"),TEXT('Chart of Accounts'!$B$4:$B$200,"@"),0)),"⚠ Not Found"))</f>
        <v/>
      </c>
      <c r="G1729" s="49"/>
      <c r="H1729" s="50"/>
      <c r="I1729" s="50"/>
      <c r="J1729" s="47"/>
    </row>
    <row r="1730" customFormat="false" ht="16.5" hidden="false" customHeight="true" outlineLevel="0" collapsed="false">
      <c r="B1730" s="37" t="str">
        <f aca="false">IF(C1730="","",ROW()-9)</f>
        <v/>
      </c>
      <c r="C1730" s="38"/>
      <c r="D1730" s="39" t="str">
        <f aca="false">IF(C1730="","",IFERROR(TEXT(C1730,"MMMM"),""))</f>
        <v/>
      </c>
      <c r="E1730" s="40"/>
      <c r="F1730" s="41" t="str">
        <f aca="false">IF(E1730="","",IFERROR(INDEX('Chart of Accounts'!$C$4:$C$200,MATCH(TEXT(E1730,"@"),TEXT('Chart of Accounts'!$B$4:$B$200,"@"),0)),"⚠ Not Found"))</f>
        <v/>
      </c>
      <c r="G1730" s="42"/>
      <c r="H1730" s="43"/>
      <c r="I1730" s="43"/>
      <c r="J1730" s="40"/>
    </row>
    <row r="1731" customFormat="false" ht="16.5" hidden="false" customHeight="true" outlineLevel="0" collapsed="false">
      <c r="B1731" s="44" t="str">
        <f aca="false">IF(C1731="","",ROW()-9)</f>
        <v/>
      </c>
      <c r="C1731" s="45"/>
      <c r="D1731" s="46" t="str">
        <f aca="false">IF(C1731="","",IFERROR(TEXT(C1731,"MMMM"),""))</f>
        <v/>
      </c>
      <c r="E1731" s="47"/>
      <c r="F1731" s="48" t="str">
        <f aca="false">IF(E1731="","",IFERROR(INDEX('Chart of Accounts'!$C$4:$C$200,MATCH(TEXT(E1731,"@"),TEXT('Chart of Accounts'!$B$4:$B$200,"@"),0)),"⚠ Not Found"))</f>
        <v/>
      </c>
      <c r="G1731" s="49"/>
      <c r="H1731" s="50"/>
      <c r="I1731" s="50"/>
      <c r="J1731" s="47"/>
    </row>
    <row r="1732" customFormat="false" ht="16.5" hidden="false" customHeight="true" outlineLevel="0" collapsed="false">
      <c r="B1732" s="37" t="str">
        <f aca="false">IF(C1732="","",ROW()-9)</f>
        <v/>
      </c>
      <c r="C1732" s="38"/>
      <c r="D1732" s="39" t="str">
        <f aca="false">IF(C1732="","",IFERROR(TEXT(C1732,"MMMM"),""))</f>
        <v/>
      </c>
      <c r="E1732" s="40"/>
      <c r="F1732" s="41" t="str">
        <f aca="false">IF(E1732="","",IFERROR(INDEX('Chart of Accounts'!$C$4:$C$200,MATCH(TEXT(E1732,"@"),TEXT('Chart of Accounts'!$B$4:$B$200,"@"),0)),"⚠ Not Found"))</f>
        <v/>
      </c>
      <c r="G1732" s="42"/>
      <c r="H1732" s="43"/>
      <c r="I1732" s="43"/>
      <c r="J1732" s="40"/>
    </row>
    <row r="1733" customFormat="false" ht="16.5" hidden="false" customHeight="true" outlineLevel="0" collapsed="false">
      <c r="B1733" s="44" t="str">
        <f aca="false">IF(C1733="","",ROW()-9)</f>
        <v/>
      </c>
      <c r="C1733" s="45"/>
      <c r="D1733" s="46" t="str">
        <f aca="false">IF(C1733="","",IFERROR(TEXT(C1733,"MMMM"),""))</f>
        <v/>
      </c>
      <c r="E1733" s="47"/>
      <c r="F1733" s="48" t="str">
        <f aca="false">IF(E1733="","",IFERROR(INDEX('Chart of Accounts'!$C$4:$C$200,MATCH(TEXT(E1733,"@"),TEXT('Chart of Accounts'!$B$4:$B$200,"@"),0)),"⚠ Not Found"))</f>
        <v/>
      </c>
      <c r="G1733" s="49"/>
      <c r="H1733" s="50"/>
      <c r="I1733" s="50"/>
      <c r="J1733" s="47"/>
    </row>
    <row r="1734" customFormat="false" ht="16.5" hidden="false" customHeight="true" outlineLevel="0" collapsed="false">
      <c r="B1734" s="37" t="str">
        <f aca="false">IF(C1734="","",ROW()-9)</f>
        <v/>
      </c>
      <c r="C1734" s="38"/>
      <c r="D1734" s="39" t="str">
        <f aca="false">IF(C1734="","",IFERROR(TEXT(C1734,"MMMM"),""))</f>
        <v/>
      </c>
      <c r="E1734" s="40"/>
      <c r="F1734" s="41" t="str">
        <f aca="false">IF(E1734="","",IFERROR(INDEX('Chart of Accounts'!$C$4:$C$200,MATCH(TEXT(E1734,"@"),TEXT('Chart of Accounts'!$B$4:$B$200,"@"),0)),"⚠ Not Found"))</f>
        <v/>
      </c>
      <c r="G1734" s="42"/>
      <c r="H1734" s="43"/>
      <c r="I1734" s="43"/>
      <c r="J1734" s="40"/>
    </row>
    <row r="1735" customFormat="false" ht="16.5" hidden="false" customHeight="true" outlineLevel="0" collapsed="false">
      <c r="B1735" s="44" t="str">
        <f aca="false">IF(C1735="","",ROW()-9)</f>
        <v/>
      </c>
      <c r="C1735" s="45"/>
      <c r="D1735" s="46" t="str">
        <f aca="false">IF(C1735="","",IFERROR(TEXT(C1735,"MMMM"),""))</f>
        <v/>
      </c>
      <c r="E1735" s="47"/>
      <c r="F1735" s="48" t="str">
        <f aca="false">IF(E1735="","",IFERROR(INDEX('Chart of Accounts'!$C$4:$C$200,MATCH(TEXT(E1735,"@"),TEXT('Chart of Accounts'!$B$4:$B$200,"@"),0)),"⚠ Not Found"))</f>
        <v/>
      </c>
      <c r="G1735" s="49"/>
      <c r="H1735" s="50"/>
      <c r="I1735" s="50"/>
      <c r="J1735" s="47"/>
    </row>
    <row r="1736" customFormat="false" ht="16.5" hidden="false" customHeight="true" outlineLevel="0" collapsed="false">
      <c r="B1736" s="37" t="str">
        <f aca="false">IF(C1736="","",ROW()-9)</f>
        <v/>
      </c>
      <c r="C1736" s="38"/>
      <c r="D1736" s="39" t="str">
        <f aca="false">IF(C1736="","",IFERROR(TEXT(C1736,"MMMM"),""))</f>
        <v/>
      </c>
      <c r="E1736" s="40"/>
      <c r="F1736" s="41" t="str">
        <f aca="false">IF(E1736="","",IFERROR(INDEX('Chart of Accounts'!$C$4:$C$200,MATCH(TEXT(E1736,"@"),TEXT('Chart of Accounts'!$B$4:$B$200,"@"),0)),"⚠ Not Found"))</f>
        <v/>
      </c>
      <c r="G1736" s="42"/>
      <c r="H1736" s="43"/>
      <c r="I1736" s="43"/>
      <c r="J1736" s="40"/>
    </row>
    <row r="1737" customFormat="false" ht="16.5" hidden="false" customHeight="true" outlineLevel="0" collapsed="false">
      <c r="B1737" s="44" t="str">
        <f aca="false">IF(C1737="","",ROW()-9)</f>
        <v/>
      </c>
      <c r="C1737" s="45"/>
      <c r="D1737" s="46" t="str">
        <f aca="false">IF(C1737="","",IFERROR(TEXT(C1737,"MMMM"),""))</f>
        <v/>
      </c>
      <c r="E1737" s="47"/>
      <c r="F1737" s="48" t="str">
        <f aca="false">IF(E1737="","",IFERROR(INDEX('Chart of Accounts'!$C$4:$C$200,MATCH(TEXT(E1737,"@"),TEXT('Chart of Accounts'!$B$4:$B$200,"@"),0)),"⚠ Not Found"))</f>
        <v/>
      </c>
      <c r="G1737" s="49"/>
      <c r="H1737" s="50"/>
      <c r="I1737" s="50"/>
      <c r="J1737" s="47"/>
    </row>
    <row r="1738" customFormat="false" ht="16.5" hidden="false" customHeight="true" outlineLevel="0" collapsed="false">
      <c r="B1738" s="37" t="str">
        <f aca="false">IF(C1738="","",ROW()-9)</f>
        <v/>
      </c>
      <c r="C1738" s="38"/>
      <c r="D1738" s="39" t="str">
        <f aca="false">IF(C1738="","",IFERROR(TEXT(C1738,"MMMM"),""))</f>
        <v/>
      </c>
      <c r="E1738" s="40"/>
      <c r="F1738" s="41" t="str">
        <f aca="false">IF(E1738="","",IFERROR(INDEX('Chart of Accounts'!$C$4:$C$200,MATCH(TEXT(E1738,"@"),TEXT('Chart of Accounts'!$B$4:$B$200,"@"),0)),"⚠ Not Found"))</f>
        <v/>
      </c>
      <c r="G1738" s="42"/>
      <c r="H1738" s="43"/>
      <c r="I1738" s="43"/>
      <c r="J1738" s="40"/>
    </row>
    <row r="1739" customFormat="false" ht="16.5" hidden="false" customHeight="true" outlineLevel="0" collapsed="false">
      <c r="B1739" s="44" t="str">
        <f aca="false">IF(C1739="","",ROW()-9)</f>
        <v/>
      </c>
      <c r="C1739" s="45"/>
      <c r="D1739" s="46" t="str">
        <f aca="false">IF(C1739="","",IFERROR(TEXT(C1739,"MMMM"),""))</f>
        <v/>
      </c>
      <c r="E1739" s="47"/>
      <c r="F1739" s="48" t="str">
        <f aca="false">IF(E1739="","",IFERROR(INDEX('Chart of Accounts'!$C$4:$C$200,MATCH(TEXT(E1739,"@"),TEXT('Chart of Accounts'!$B$4:$B$200,"@"),0)),"⚠ Not Found"))</f>
        <v/>
      </c>
      <c r="G1739" s="49"/>
      <c r="H1739" s="50"/>
      <c r="I1739" s="50"/>
      <c r="J1739" s="47"/>
    </row>
    <row r="1740" customFormat="false" ht="16.5" hidden="false" customHeight="true" outlineLevel="0" collapsed="false">
      <c r="B1740" s="37" t="str">
        <f aca="false">IF(C1740="","",ROW()-9)</f>
        <v/>
      </c>
      <c r="C1740" s="38"/>
      <c r="D1740" s="39" t="str">
        <f aca="false">IF(C1740="","",IFERROR(TEXT(C1740,"MMMM"),""))</f>
        <v/>
      </c>
      <c r="E1740" s="40"/>
      <c r="F1740" s="41" t="str">
        <f aca="false">IF(E1740="","",IFERROR(INDEX('Chart of Accounts'!$C$4:$C$200,MATCH(TEXT(E1740,"@"),TEXT('Chart of Accounts'!$B$4:$B$200,"@"),0)),"⚠ Not Found"))</f>
        <v/>
      </c>
      <c r="G1740" s="42"/>
      <c r="H1740" s="43"/>
      <c r="I1740" s="43"/>
      <c r="J1740" s="40"/>
    </row>
    <row r="1741" customFormat="false" ht="16.5" hidden="false" customHeight="true" outlineLevel="0" collapsed="false">
      <c r="B1741" s="44" t="str">
        <f aca="false">IF(C1741="","",ROW()-9)</f>
        <v/>
      </c>
      <c r="C1741" s="45"/>
      <c r="D1741" s="46" t="str">
        <f aca="false">IF(C1741="","",IFERROR(TEXT(C1741,"MMMM"),""))</f>
        <v/>
      </c>
      <c r="E1741" s="47"/>
      <c r="F1741" s="48" t="str">
        <f aca="false">IF(E1741="","",IFERROR(INDEX('Chart of Accounts'!$C$4:$C$200,MATCH(TEXT(E1741,"@"),TEXT('Chart of Accounts'!$B$4:$B$200,"@"),0)),"⚠ Not Found"))</f>
        <v/>
      </c>
      <c r="G1741" s="49"/>
      <c r="H1741" s="50"/>
      <c r="I1741" s="50"/>
      <c r="J1741" s="47"/>
    </row>
    <row r="1742" customFormat="false" ht="16.5" hidden="false" customHeight="true" outlineLevel="0" collapsed="false">
      <c r="B1742" s="37" t="str">
        <f aca="false">IF(C1742="","",ROW()-9)</f>
        <v/>
      </c>
      <c r="C1742" s="38"/>
      <c r="D1742" s="39" t="str">
        <f aca="false">IF(C1742="","",IFERROR(TEXT(C1742,"MMMM"),""))</f>
        <v/>
      </c>
      <c r="E1742" s="40"/>
      <c r="F1742" s="41" t="str">
        <f aca="false">IF(E1742="","",IFERROR(INDEX('Chart of Accounts'!$C$4:$C$200,MATCH(TEXT(E1742,"@"),TEXT('Chart of Accounts'!$B$4:$B$200,"@"),0)),"⚠ Not Found"))</f>
        <v/>
      </c>
      <c r="G1742" s="42"/>
      <c r="H1742" s="43"/>
      <c r="I1742" s="43"/>
      <c r="J1742" s="40"/>
    </row>
    <row r="1743" customFormat="false" ht="16.5" hidden="false" customHeight="true" outlineLevel="0" collapsed="false">
      <c r="B1743" s="44" t="str">
        <f aca="false">IF(C1743="","",ROW()-9)</f>
        <v/>
      </c>
      <c r="C1743" s="45"/>
      <c r="D1743" s="46" t="str">
        <f aca="false">IF(C1743="","",IFERROR(TEXT(C1743,"MMMM"),""))</f>
        <v/>
      </c>
      <c r="E1743" s="47"/>
      <c r="F1743" s="48" t="str">
        <f aca="false">IF(E1743="","",IFERROR(INDEX('Chart of Accounts'!$C$4:$C$200,MATCH(TEXT(E1743,"@"),TEXT('Chart of Accounts'!$B$4:$B$200,"@"),0)),"⚠ Not Found"))</f>
        <v/>
      </c>
      <c r="G1743" s="49"/>
      <c r="H1743" s="50"/>
      <c r="I1743" s="50"/>
      <c r="J1743" s="47"/>
    </row>
    <row r="1744" customFormat="false" ht="16.5" hidden="false" customHeight="true" outlineLevel="0" collapsed="false">
      <c r="B1744" s="37" t="str">
        <f aca="false">IF(C1744="","",ROW()-9)</f>
        <v/>
      </c>
      <c r="C1744" s="38"/>
      <c r="D1744" s="39" t="str">
        <f aca="false">IF(C1744="","",IFERROR(TEXT(C1744,"MMMM"),""))</f>
        <v/>
      </c>
      <c r="E1744" s="40"/>
      <c r="F1744" s="41" t="str">
        <f aca="false">IF(E1744="","",IFERROR(INDEX('Chart of Accounts'!$C$4:$C$200,MATCH(TEXT(E1744,"@"),TEXT('Chart of Accounts'!$B$4:$B$200,"@"),0)),"⚠ Not Found"))</f>
        <v/>
      </c>
      <c r="G1744" s="42"/>
      <c r="H1744" s="43"/>
      <c r="I1744" s="43"/>
      <c r="J1744" s="40"/>
    </row>
    <row r="1745" customFormat="false" ht="16.5" hidden="false" customHeight="true" outlineLevel="0" collapsed="false">
      <c r="B1745" s="44" t="str">
        <f aca="false">IF(C1745="","",ROW()-9)</f>
        <v/>
      </c>
      <c r="C1745" s="45"/>
      <c r="D1745" s="46" t="str">
        <f aca="false">IF(C1745="","",IFERROR(TEXT(C1745,"MMMM"),""))</f>
        <v/>
      </c>
      <c r="E1745" s="47"/>
      <c r="F1745" s="48" t="str">
        <f aca="false">IF(E1745="","",IFERROR(INDEX('Chart of Accounts'!$C$4:$C$200,MATCH(TEXT(E1745,"@"),TEXT('Chart of Accounts'!$B$4:$B$200,"@"),0)),"⚠ Not Found"))</f>
        <v/>
      </c>
      <c r="G1745" s="49"/>
      <c r="H1745" s="50"/>
      <c r="I1745" s="50"/>
      <c r="J1745" s="47"/>
    </row>
    <row r="1746" customFormat="false" ht="16.5" hidden="false" customHeight="true" outlineLevel="0" collapsed="false">
      <c r="B1746" s="37" t="str">
        <f aca="false">IF(C1746="","",ROW()-9)</f>
        <v/>
      </c>
      <c r="C1746" s="38"/>
      <c r="D1746" s="39" t="str">
        <f aca="false">IF(C1746="","",IFERROR(TEXT(C1746,"MMMM"),""))</f>
        <v/>
      </c>
      <c r="E1746" s="40"/>
      <c r="F1746" s="41" t="str">
        <f aca="false">IF(E1746="","",IFERROR(INDEX('Chart of Accounts'!$C$4:$C$200,MATCH(TEXT(E1746,"@"),TEXT('Chart of Accounts'!$B$4:$B$200,"@"),0)),"⚠ Not Found"))</f>
        <v/>
      </c>
      <c r="G1746" s="42"/>
      <c r="H1746" s="43"/>
      <c r="I1746" s="43"/>
      <c r="J1746" s="40"/>
    </row>
    <row r="1747" customFormat="false" ht="16.5" hidden="false" customHeight="true" outlineLevel="0" collapsed="false">
      <c r="B1747" s="44" t="str">
        <f aca="false">IF(C1747="","",ROW()-9)</f>
        <v/>
      </c>
      <c r="C1747" s="45"/>
      <c r="D1747" s="46" t="str">
        <f aca="false">IF(C1747="","",IFERROR(TEXT(C1747,"MMMM"),""))</f>
        <v/>
      </c>
      <c r="E1747" s="47"/>
      <c r="F1747" s="48" t="str">
        <f aca="false">IF(E1747="","",IFERROR(INDEX('Chart of Accounts'!$C$4:$C$200,MATCH(TEXT(E1747,"@"),TEXT('Chart of Accounts'!$B$4:$B$200,"@"),0)),"⚠ Not Found"))</f>
        <v/>
      </c>
      <c r="G1747" s="49"/>
      <c r="H1747" s="50"/>
      <c r="I1747" s="50"/>
      <c r="J1747" s="47"/>
    </row>
    <row r="1748" customFormat="false" ht="16.5" hidden="false" customHeight="true" outlineLevel="0" collapsed="false">
      <c r="B1748" s="37" t="str">
        <f aca="false">IF(C1748="","",ROW()-9)</f>
        <v/>
      </c>
      <c r="C1748" s="38"/>
      <c r="D1748" s="39" t="str">
        <f aca="false">IF(C1748="","",IFERROR(TEXT(C1748,"MMMM"),""))</f>
        <v/>
      </c>
      <c r="E1748" s="40"/>
      <c r="F1748" s="41" t="str">
        <f aca="false">IF(E1748="","",IFERROR(INDEX('Chart of Accounts'!$C$4:$C$200,MATCH(TEXT(E1748,"@"),TEXT('Chart of Accounts'!$B$4:$B$200,"@"),0)),"⚠ Not Found"))</f>
        <v/>
      </c>
      <c r="G1748" s="42"/>
      <c r="H1748" s="43"/>
      <c r="I1748" s="43"/>
      <c r="J1748" s="40"/>
    </row>
    <row r="1749" customFormat="false" ht="16.5" hidden="false" customHeight="true" outlineLevel="0" collapsed="false">
      <c r="B1749" s="44" t="str">
        <f aca="false">IF(C1749="","",ROW()-9)</f>
        <v/>
      </c>
      <c r="C1749" s="45"/>
      <c r="D1749" s="46" t="str">
        <f aca="false">IF(C1749="","",IFERROR(TEXT(C1749,"MMMM"),""))</f>
        <v/>
      </c>
      <c r="E1749" s="47"/>
      <c r="F1749" s="48" t="str">
        <f aca="false">IF(E1749="","",IFERROR(INDEX('Chart of Accounts'!$C$4:$C$200,MATCH(TEXT(E1749,"@"),TEXT('Chart of Accounts'!$B$4:$B$200,"@"),0)),"⚠ Not Found"))</f>
        <v/>
      </c>
      <c r="G1749" s="49"/>
      <c r="H1749" s="50"/>
      <c r="I1749" s="50"/>
      <c r="J1749" s="47"/>
    </row>
    <row r="1750" customFormat="false" ht="16.5" hidden="false" customHeight="true" outlineLevel="0" collapsed="false">
      <c r="B1750" s="37" t="str">
        <f aca="false">IF(C1750="","",ROW()-9)</f>
        <v/>
      </c>
      <c r="C1750" s="38"/>
      <c r="D1750" s="39" t="str">
        <f aca="false">IF(C1750="","",IFERROR(TEXT(C1750,"MMMM"),""))</f>
        <v/>
      </c>
      <c r="E1750" s="40"/>
      <c r="F1750" s="41" t="str">
        <f aca="false">IF(E1750="","",IFERROR(INDEX('Chart of Accounts'!$C$4:$C$200,MATCH(TEXT(E1750,"@"),TEXT('Chart of Accounts'!$B$4:$B$200,"@"),0)),"⚠ Not Found"))</f>
        <v/>
      </c>
      <c r="G1750" s="42"/>
      <c r="H1750" s="43"/>
      <c r="I1750" s="43"/>
      <c r="J1750" s="40"/>
    </row>
    <row r="1751" customFormat="false" ht="16.5" hidden="false" customHeight="true" outlineLevel="0" collapsed="false">
      <c r="B1751" s="44" t="str">
        <f aca="false">IF(C1751="","",ROW()-9)</f>
        <v/>
      </c>
      <c r="C1751" s="45"/>
      <c r="D1751" s="46" t="str">
        <f aca="false">IF(C1751="","",IFERROR(TEXT(C1751,"MMMM"),""))</f>
        <v/>
      </c>
      <c r="E1751" s="47"/>
      <c r="F1751" s="48" t="str">
        <f aca="false">IF(E1751="","",IFERROR(INDEX('Chart of Accounts'!$C$4:$C$200,MATCH(TEXT(E1751,"@"),TEXT('Chart of Accounts'!$B$4:$B$200,"@"),0)),"⚠ Not Found"))</f>
        <v/>
      </c>
      <c r="G1751" s="49"/>
      <c r="H1751" s="50"/>
      <c r="I1751" s="50"/>
      <c r="J1751" s="47"/>
    </row>
    <row r="1752" customFormat="false" ht="16.5" hidden="false" customHeight="true" outlineLevel="0" collapsed="false">
      <c r="B1752" s="37" t="str">
        <f aca="false">IF(C1752="","",ROW()-9)</f>
        <v/>
      </c>
      <c r="C1752" s="38"/>
      <c r="D1752" s="39" t="str">
        <f aca="false">IF(C1752="","",IFERROR(TEXT(C1752,"MMMM"),""))</f>
        <v/>
      </c>
      <c r="E1752" s="40"/>
      <c r="F1752" s="41" t="str">
        <f aca="false">IF(E1752="","",IFERROR(INDEX('Chart of Accounts'!$C$4:$C$200,MATCH(TEXT(E1752,"@"),TEXT('Chart of Accounts'!$B$4:$B$200,"@"),0)),"⚠ Not Found"))</f>
        <v/>
      </c>
      <c r="G1752" s="42"/>
      <c r="H1752" s="43"/>
      <c r="I1752" s="43"/>
      <c r="J1752" s="40"/>
    </row>
    <row r="1753" customFormat="false" ht="16.5" hidden="false" customHeight="true" outlineLevel="0" collapsed="false">
      <c r="B1753" s="44" t="str">
        <f aca="false">IF(C1753="","",ROW()-9)</f>
        <v/>
      </c>
      <c r="C1753" s="45"/>
      <c r="D1753" s="46" t="str">
        <f aca="false">IF(C1753="","",IFERROR(TEXT(C1753,"MMMM"),""))</f>
        <v/>
      </c>
      <c r="E1753" s="47"/>
      <c r="F1753" s="48" t="str">
        <f aca="false">IF(E1753="","",IFERROR(INDEX('Chart of Accounts'!$C$4:$C$200,MATCH(TEXT(E1753,"@"),TEXT('Chart of Accounts'!$B$4:$B$200,"@"),0)),"⚠ Not Found"))</f>
        <v/>
      </c>
      <c r="G1753" s="49"/>
      <c r="H1753" s="50"/>
      <c r="I1753" s="50"/>
      <c r="J1753" s="47"/>
    </row>
    <row r="1754" customFormat="false" ht="16.5" hidden="false" customHeight="true" outlineLevel="0" collapsed="false">
      <c r="B1754" s="37" t="str">
        <f aca="false">IF(C1754="","",ROW()-9)</f>
        <v/>
      </c>
      <c r="C1754" s="38"/>
      <c r="D1754" s="39" t="str">
        <f aca="false">IF(C1754="","",IFERROR(TEXT(C1754,"MMMM"),""))</f>
        <v/>
      </c>
      <c r="E1754" s="40"/>
      <c r="F1754" s="41" t="str">
        <f aca="false">IF(E1754="","",IFERROR(INDEX('Chart of Accounts'!$C$4:$C$200,MATCH(TEXT(E1754,"@"),TEXT('Chart of Accounts'!$B$4:$B$200,"@"),0)),"⚠ Not Found"))</f>
        <v/>
      </c>
      <c r="G1754" s="42"/>
      <c r="H1754" s="43"/>
      <c r="I1754" s="43"/>
      <c r="J1754" s="40"/>
    </row>
    <row r="1755" customFormat="false" ht="16.5" hidden="false" customHeight="true" outlineLevel="0" collapsed="false">
      <c r="B1755" s="44" t="str">
        <f aca="false">IF(C1755="","",ROW()-9)</f>
        <v/>
      </c>
      <c r="C1755" s="45"/>
      <c r="D1755" s="46" t="str">
        <f aca="false">IF(C1755="","",IFERROR(TEXT(C1755,"MMMM"),""))</f>
        <v/>
      </c>
      <c r="E1755" s="47"/>
      <c r="F1755" s="48" t="str">
        <f aca="false">IF(E1755="","",IFERROR(INDEX('Chart of Accounts'!$C$4:$C$200,MATCH(TEXT(E1755,"@"),TEXT('Chart of Accounts'!$B$4:$B$200,"@"),0)),"⚠ Not Found"))</f>
        <v/>
      </c>
      <c r="G1755" s="49"/>
      <c r="H1755" s="50"/>
      <c r="I1755" s="50"/>
      <c r="J1755" s="47"/>
    </row>
    <row r="1756" customFormat="false" ht="16.5" hidden="false" customHeight="true" outlineLevel="0" collapsed="false">
      <c r="B1756" s="37" t="str">
        <f aca="false">IF(C1756="","",ROW()-9)</f>
        <v/>
      </c>
      <c r="C1756" s="38"/>
      <c r="D1756" s="39" t="str">
        <f aca="false">IF(C1756="","",IFERROR(TEXT(C1756,"MMMM"),""))</f>
        <v/>
      </c>
      <c r="E1756" s="40"/>
      <c r="F1756" s="41" t="str">
        <f aca="false">IF(E1756="","",IFERROR(INDEX('Chart of Accounts'!$C$4:$C$200,MATCH(TEXT(E1756,"@"),TEXT('Chart of Accounts'!$B$4:$B$200,"@"),0)),"⚠ Not Found"))</f>
        <v/>
      </c>
      <c r="G1756" s="42"/>
      <c r="H1756" s="43"/>
      <c r="I1756" s="43"/>
      <c r="J1756" s="40"/>
    </row>
    <row r="1757" customFormat="false" ht="16.5" hidden="false" customHeight="true" outlineLevel="0" collapsed="false">
      <c r="B1757" s="44" t="str">
        <f aca="false">IF(C1757="","",ROW()-9)</f>
        <v/>
      </c>
      <c r="C1757" s="45"/>
      <c r="D1757" s="46" t="str">
        <f aca="false">IF(C1757="","",IFERROR(TEXT(C1757,"MMMM"),""))</f>
        <v/>
      </c>
      <c r="E1757" s="47"/>
      <c r="F1757" s="48" t="str">
        <f aca="false">IF(E1757="","",IFERROR(INDEX('Chart of Accounts'!$C$4:$C$200,MATCH(TEXT(E1757,"@"),TEXT('Chart of Accounts'!$B$4:$B$200,"@"),0)),"⚠ Not Found"))</f>
        <v/>
      </c>
      <c r="G1757" s="49"/>
      <c r="H1757" s="50"/>
      <c r="I1757" s="50"/>
      <c r="J1757" s="47"/>
    </row>
    <row r="1758" customFormat="false" ht="16.5" hidden="false" customHeight="true" outlineLevel="0" collapsed="false">
      <c r="B1758" s="37" t="str">
        <f aca="false">IF(C1758="","",ROW()-9)</f>
        <v/>
      </c>
      <c r="C1758" s="38"/>
      <c r="D1758" s="39" t="str">
        <f aca="false">IF(C1758="","",IFERROR(TEXT(C1758,"MMMM"),""))</f>
        <v/>
      </c>
      <c r="E1758" s="40"/>
      <c r="F1758" s="41" t="str">
        <f aca="false">IF(E1758="","",IFERROR(INDEX('Chart of Accounts'!$C$4:$C$200,MATCH(TEXT(E1758,"@"),TEXT('Chart of Accounts'!$B$4:$B$200,"@"),0)),"⚠ Not Found"))</f>
        <v/>
      </c>
      <c r="G1758" s="42"/>
      <c r="H1758" s="43"/>
      <c r="I1758" s="43"/>
      <c r="J1758" s="40"/>
    </row>
    <row r="1759" customFormat="false" ht="16.5" hidden="false" customHeight="true" outlineLevel="0" collapsed="false">
      <c r="B1759" s="44" t="str">
        <f aca="false">IF(C1759="","",ROW()-9)</f>
        <v/>
      </c>
      <c r="C1759" s="45"/>
      <c r="D1759" s="46" t="str">
        <f aca="false">IF(C1759="","",IFERROR(TEXT(C1759,"MMMM"),""))</f>
        <v/>
      </c>
      <c r="E1759" s="47"/>
      <c r="F1759" s="48" t="str">
        <f aca="false">IF(E1759="","",IFERROR(INDEX('Chart of Accounts'!$C$4:$C$200,MATCH(TEXT(E1759,"@"),TEXT('Chart of Accounts'!$B$4:$B$200,"@"),0)),"⚠ Not Found"))</f>
        <v/>
      </c>
      <c r="G1759" s="49"/>
      <c r="H1759" s="50"/>
      <c r="I1759" s="50"/>
      <c r="J1759" s="47"/>
    </row>
    <row r="1760" customFormat="false" ht="16.5" hidden="false" customHeight="true" outlineLevel="0" collapsed="false">
      <c r="B1760" s="37" t="str">
        <f aca="false">IF(C1760="","",ROW()-9)</f>
        <v/>
      </c>
      <c r="C1760" s="38"/>
      <c r="D1760" s="39" t="str">
        <f aca="false">IF(C1760="","",IFERROR(TEXT(C1760,"MMMM"),""))</f>
        <v/>
      </c>
      <c r="E1760" s="40"/>
      <c r="F1760" s="41" t="str">
        <f aca="false">IF(E1760="","",IFERROR(INDEX('Chart of Accounts'!$C$4:$C$200,MATCH(TEXT(E1760,"@"),TEXT('Chart of Accounts'!$B$4:$B$200,"@"),0)),"⚠ Not Found"))</f>
        <v/>
      </c>
      <c r="G1760" s="42"/>
      <c r="H1760" s="43"/>
      <c r="I1760" s="43"/>
      <c r="J1760" s="40"/>
    </row>
    <row r="1761" customFormat="false" ht="16.5" hidden="false" customHeight="true" outlineLevel="0" collapsed="false">
      <c r="B1761" s="44" t="str">
        <f aca="false">IF(C1761="","",ROW()-9)</f>
        <v/>
      </c>
      <c r="C1761" s="45"/>
      <c r="D1761" s="46" t="str">
        <f aca="false">IF(C1761="","",IFERROR(TEXT(C1761,"MMMM"),""))</f>
        <v/>
      </c>
      <c r="E1761" s="47"/>
      <c r="F1761" s="48" t="str">
        <f aca="false">IF(E1761="","",IFERROR(INDEX('Chart of Accounts'!$C$4:$C$200,MATCH(TEXT(E1761,"@"),TEXT('Chart of Accounts'!$B$4:$B$200,"@"),0)),"⚠ Not Found"))</f>
        <v/>
      </c>
      <c r="G1761" s="49"/>
      <c r="H1761" s="50"/>
      <c r="I1761" s="50"/>
      <c r="J1761" s="47"/>
    </row>
    <row r="1762" customFormat="false" ht="16.5" hidden="false" customHeight="true" outlineLevel="0" collapsed="false">
      <c r="B1762" s="37" t="str">
        <f aca="false">IF(C1762="","",ROW()-9)</f>
        <v/>
      </c>
      <c r="C1762" s="38"/>
      <c r="D1762" s="39" t="str">
        <f aca="false">IF(C1762="","",IFERROR(TEXT(C1762,"MMMM"),""))</f>
        <v/>
      </c>
      <c r="E1762" s="40"/>
      <c r="F1762" s="41" t="str">
        <f aca="false">IF(E1762="","",IFERROR(INDEX('Chart of Accounts'!$C$4:$C$200,MATCH(TEXT(E1762,"@"),TEXT('Chart of Accounts'!$B$4:$B$200,"@"),0)),"⚠ Not Found"))</f>
        <v/>
      </c>
      <c r="G1762" s="42"/>
      <c r="H1762" s="43"/>
      <c r="I1762" s="43"/>
      <c r="J1762" s="40"/>
    </row>
    <row r="1763" customFormat="false" ht="16.5" hidden="false" customHeight="true" outlineLevel="0" collapsed="false">
      <c r="B1763" s="44" t="str">
        <f aca="false">IF(C1763="","",ROW()-9)</f>
        <v/>
      </c>
      <c r="C1763" s="45"/>
      <c r="D1763" s="46" t="str">
        <f aca="false">IF(C1763="","",IFERROR(TEXT(C1763,"MMMM"),""))</f>
        <v/>
      </c>
      <c r="E1763" s="47"/>
      <c r="F1763" s="48" t="str">
        <f aca="false">IF(E1763="","",IFERROR(INDEX('Chart of Accounts'!$C$4:$C$200,MATCH(TEXT(E1763,"@"),TEXT('Chart of Accounts'!$B$4:$B$200,"@"),0)),"⚠ Not Found"))</f>
        <v/>
      </c>
      <c r="G1763" s="49"/>
      <c r="H1763" s="50"/>
      <c r="I1763" s="50"/>
      <c r="J1763" s="47"/>
    </row>
    <row r="1764" customFormat="false" ht="16.5" hidden="false" customHeight="true" outlineLevel="0" collapsed="false">
      <c r="B1764" s="37" t="str">
        <f aca="false">IF(C1764="","",ROW()-9)</f>
        <v/>
      </c>
      <c r="C1764" s="38"/>
      <c r="D1764" s="39" t="str">
        <f aca="false">IF(C1764="","",IFERROR(TEXT(C1764,"MMMM"),""))</f>
        <v/>
      </c>
      <c r="E1764" s="40"/>
      <c r="F1764" s="41" t="str">
        <f aca="false">IF(E1764="","",IFERROR(INDEX('Chart of Accounts'!$C$4:$C$200,MATCH(TEXT(E1764,"@"),TEXT('Chart of Accounts'!$B$4:$B$200,"@"),0)),"⚠ Not Found"))</f>
        <v/>
      </c>
      <c r="G1764" s="42"/>
      <c r="H1764" s="43"/>
      <c r="I1764" s="43"/>
      <c r="J1764" s="40"/>
    </row>
    <row r="1765" customFormat="false" ht="16.5" hidden="false" customHeight="true" outlineLevel="0" collapsed="false">
      <c r="B1765" s="44" t="str">
        <f aca="false">IF(C1765="","",ROW()-9)</f>
        <v/>
      </c>
      <c r="C1765" s="45"/>
      <c r="D1765" s="46" t="str">
        <f aca="false">IF(C1765="","",IFERROR(TEXT(C1765,"MMMM"),""))</f>
        <v/>
      </c>
      <c r="E1765" s="47"/>
      <c r="F1765" s="48" t="str">
        <f aca="false">IF(E1765="","",IFERROR(INDEX('Chart of Accounts'!$C$4:$C$200,MATCH(TEXT(E1765,"@"),TEXT('Chart of Accounts'!$B$4:$B$200,"@"),0)),"⚠ Not Found"))</f>
        <v/>
      </c>
      <c r="G1765" s="49"/>
      <c r="H1765" s="50"/>
      <c r="I1765" s="50"/>
      <c r="J1765" s="47"/>
    </row>
    <row r="1766" customFormat="false" ht="16.5" hidden="false" customHeight="true" outlineLevel="0" collapsed="false">
      <c r="B1766" s="37" t="str">
        <f aca="false">IF(C1766="","",ROW()-9)</f>
        <v/>
      </c>
      <c r="C1766" s="38"/>
      <c r="D1766" s="39" t="str">
        <f aca="false">IF(C1766="","",IFERROR(TEXT(C1766,"MMMM"),""))</f>
        <v/>
      </c>
      <c r="E1766" s="40"/>
      <c r="F1766" s="41" t="str">
        <f aca="false">IF(E1766="","",IFERROR(INDEX('Chart of Accounts'!$C$4:$C$200,MATCH(TEXT(E1766,"@"),TEXT('Chart of Accounts'!$B$4:$B$200,"@"),0)),"⚠ Not Found"))</f>
        <v/>
      </c>
      <c r="G1766" s="42"/>
      <c r="H1766" s="43"/>
      <c r="I1766" s="43"/>
      <c r="J1766" s="40"/>
    </row>
    <row r="1767" customFormat="false" ht="16.5" hidden="false" customHeight="true" outlineLevel="0" collapsed="false">
      <c r="B1767" s="44" t="str">
        <f aca="false">IF(C1767="","",ROW()-9)</f>
        <v/>
      </c>
      <c r="C1767" s="45"/>
      <c r="D1767" s="46" t="str">
        <f aca="false">IF(C1767="","",IFERROR(TEXT(C1767,"MMMM"),""))</f>
        <v/>
      </c>
      <c r="E1767" s="47"/>
      <c r="F1767" s="48" t="str">
        <f aca="false">IF(E1767="","",IFERROR(INDEX('Chart of Accounts'!$C$4:$C$200,MATCH(TEXT(E1767,"@"),TEXT('Chart of Accounts'!$B$4:$B$200,"@"),0)),"⚠ Not Found"))</f>
        <v/>
      </c>
      <c r="G1767" s="49"/>
      <c r="H1767" s="50"/>
      <c r="I1767" s="50"/>
      <c r="J1767" s="47"/>
    </row>
    <row r="1768" customFormat="false" ht="16.5" hidden="false" customHeight="true" outlineLevel="0" collapsed="false">
      <c r="B1768" s="37" t="str">
        <f aca="false">IF(C1768="","",ROW()-9)</f>
        <v/>
      </c>
      <c r="C1768" s="38"/>
      <c r="D1768" s="39" t="str">
        <f aca="false">IF(C1768="","",IFERROR(TEXT(C1768,"MMMM"),""))</f>
        <v/>
      </c>
      <c r="E1768" s="40"/>
      <c r="F1768" s="41" t="str">
        <f aca="false">IF(E1768="","",IFERROR(INDEX('Chart of Accounts'!$C$4:$C$200,MATCH(TEXT(E1768,"@"),TEXT('Chart of Accounts'!$B$4:$B$200,"@"),0)),"⚠ Not Found"))</f>
        <v/>
      </c>
      <c r="G1768" s="42"/>
      <c r="H1768" s="43"/>
      <c r="I1768" s="43"/>
      <c r="J1768" s="40"/>
    </row>
    <row r="1769" customFormat="false" ht="16.5" hidden="false" customHeight="true" outlineLevel="0" collapsed="false">
      <c r="B1769" s="44" t="str">
        <f aca="false">IF(C1769="","",ROW()-9)</f>
        <v/>
      </c>
      <c r="C1769" s="45"/>
      <c r="D1769" s="46" t="str">
        <f aca="false">IF(C1769="","",IFERROR(TEXT(C1769,"MMMM"),""))</f>
        <v/>
      </c>
      <c r="E1769" s="47"/>
      <c r="F1769" s="48" t="str">
        <f aca="false">IF(E1769="","",IFERROR(INDEX('Chart of Accounts'!$C$4:$C$200,MATCH(TEXT(E1769,"@"),TEXT('Chart of Accounts'!$B$4:$B$200,"@"),0)),"⚠ Not Found"))</f>
        <v/>
      </c>
      <c r="G1769" s="49"/>
      <c r="H1769" s="50"/>
      <c r="I1769" s="50"/>
      <c r="J1769" s="47"/>
    </row>
    <row r="1770" customFormat="false" ht="16.5" hidden="false" customHeight="true" outlineLevel="0" collapsed="false">
      <c r="B1770" s="37" t="str">
        <f aca="false">IF(C1770="","",ROW()-9)</f>
        <v/>
      </c>
      <c r="C1770" s="38"/>
      <c r="D1770" s="39" t="str">
        <f aca="false">IF(C1770="","",IFERROR(TEXT(C1770,"MMMM"),""))</f>
        <v/>
      </c>
      <c r="E1770" s="40"/>
      <c r="F1770" s="41" t="str">
        <f aca="false">IF(E1770="","",IFERROR(INDEX('Chart of Accounts'!$C$4:$C$200,MATCH(TEXT(E1770,"@"),TEXT('Chart of Accounts'!$B$4:$B$200,"@"),0)),"⚠ Not Found"))</f>
        <v/>
      </c>
      <c r="G1770" s="42"/>
      <c r="H1770" s="43"/>
      <c r="I1770" s="43"/>
      <c r="J1770" s="40"/>
    </row>
    <row r="1771" customFormat="false" ht="16.5" hidden="false" customHeight="true" outlineLevel="0" collapsed="false">
      <c r="B1771" s="44" t="str">
        <f aca="false">IF(C1771="","",ROW()-9)</f>
        <v/>
      </c>
      <c r="C1771" s="45"/>
      <c r="D1771" s="46" t="str">
        <f aca="false">IF(C1771="","",IFERROR(TEXT(C1771,"MMMM"),""))</f>
        <v/>
      </c>
      <c r="E1771" s="47"/>
      <c r="F1771" s="48" t="str">
        <f aca="false">IF(E1771="","",IFERROR(INDEX('Chart of Accounts'!$C$4:$C$200,MATCH(TEXT(E1771,"@"),TEXT('Chart of Accounts'!$B$4:$B$200,"@"),0)),"⚠ Not Found"))</f>
        <v/>
      </c>
      <c r="G1771" s="49"/>
      <c r="H1771" s="50"/>
      <c r="I1771" s="50"/>
      <c r="J1771" s="47"/>
    </row>
    <row r="1772" customFormat="false" ht="16.5" hidden="false" customHeight="true" outlineLevel="0" collapsed="false">
      <c r="B1772" s="37" t="str">
        <f aca="false">IF(C1772="","",ROW()-9)</f>
        <v/>
      </c>
      <c r="C1772" s="38"/>
      <c r="D1772" s="39" t="str">
        <f aca="false">IF(C1772="","",IFERROR(TEXT(C1772,"MMMM"),""))</f>
        <v/>
      </c>
      <c r="E1772" s="40"/>
      <c r="F1772" s="41" t="str">
        <f aca="false">IF(E1772="","",IFERROR(INDEX('Chart of Accounts'!$C$4:$C$200,MATCH(TEXT(E1772,"@"),TEXT('Chart of Accounts'!$B$4:$B$200,"@"),0)),"⚠ Not Found"))</f>
        <v/>
      </c>
      <c r="G1772" s="42"/>
      <c r="H1772" s="43"/>
      <c r="I1772" s="43"/>
      <c r="J1772" s="40"/>
    </row>
    <row r="1773" customFormat="false" ht="16.5" hidden="false" customHeight="true" outlineLevel="0" collapsed="false">
      <c r="B1773" s="44" t="str">
        <f aca="false">IF(C1773="","",ROW()-9)</f>
        <v/>
      </c>
      <c r="C1773" s="45"/>
      <c r="D1773" s="46" t="str">
        <f aca="false">IF(C1773="","",IFERROR(TEXT(C1773,"MMMM"),""))</f>
        <v/>
      </c>
      <c r="E1773" s="47"/>
      <c r="F1773" s="48" t="str">
        <f aca="false">IF(E1773="","",IFERROR(INDEX('Chart of Accounts'!$C$4:$C$200,MATCH(TEXT(E1773,"@"),TEXT('Chart of Accounts'!$B$4:$B$200,"@"),0)),"⚠ Not Found"))</f>
        <v/>
      </c>
      <c r="G1773" s="49"/>
      <c r="H1773" s="50"/>
      <c r="I1773" s="50"/>
      <c r="J1773" s="47"/>
    </row>
    <row r="1774" customFormat="false" ht="16.5" hidden="false" customHeight="true" outlineLevel="0" collapsed="false">
      <c r="B1774" s="37" t="str">
        <f aca="false">IF(C1774="","",ROW()-9)</f>
        <v/>
      </c>
      <c r="C1774" s="38"/>
      <c r="D1774" s="39" t="str">
        <f aca="false">IF(C1774="","",IFERROR(TEXT(C1774,"MMMM"),""))</f>
        <v/>
      </c>
      <c r="E1774" s="40"/>
      <c r="F1774" s="41" t="str">
        <f aca="false">IF(E1774="","",IFERROR(INDEX('Chart of Accounts'!$C$4:$C$200,MATCH(TEXT(E1774,"@"),TEXT('Chart of Accounts'!$B$4:$B$200,"@"),0)),"⚠ Not Found"))</f>
        <v/>
      </c>
      <c r="G1774" s="42"/>
      <c r="H1774" s="43"/>
      <c r="I1774" s="43"/>
      <c r="J1774" s="40"/>
    </row>
    <row r="1775" customFormat="false" ht="16.5" hidden="false" customHeight="true" outlineLevel="0" collapsed="false">
      <c r="B1775" s="44" t="str">
        <f aca="false">IF(C1775="","",ROW()-9)</f>
        <v/>
      </c>
      <c r="C1775" s="45"/>
      <c r="D1775" s="46" t="str">
        <f aca="false">IF(C1775="","",IFERROR(TEXT(C1775,"MMMM"),""))</f>
        <v/>
      </c>
      <c r="E1775" s="47"/>
      <c r="F1775" s="48" t="str">
        <f aca="false">IF(E1775="","",IFERROR(INDEX('Chart of Accounts'!$C$4:$C$200,MATCH(TEXT(E1775,"@"),TEXT('Chart of Accounts'!$B$4:$B$200,"@"),0)),"⚠ Not Found"))</f>
        <v/>
      </c>
      <c r="G1775" s="49"/>
      <c r="H1775" s="50"/>
      <c r="I1775" s="50"/>
      <c r="J1775" s="47"/>
    </row>
    <row r="1776" customFormat="false" ht="16.5" hidden="false" customHeight="true" outlineLevel="0" collapsed="false">
      <c r="B1776" s="37" t="str">
        <f aca="false">IF(C1776="","",ROW()-9)</f>
        <v/>
      </c>
      <c r="C1776" s="38"/>
      <c r="D1776" s="39" t="str">
        <f aca="false">IF(C1776="","",IFERROR(TEXT(C1776,"MMMM"),""))</f>
        <v/>
      </c>
      <c r="E1776" s="40"/>
      <c r="F1776" s="41" t="str">
        <f aca="false">IF(E1776="","",IFERROR(INDEX('Chart of Accounts'!$C$4:$C$200,MATCH(TEXT(E1776,"@"),TEXT('Chart of Accounts'!$B$4:$B$200,"@"),0)),"⚠ Not Found"))</f>
        <v/>
      </c>
      <c r="G1776" s="42"/>
      <c r="H1776" s="43"/>
      <c r="I1776" s="43"/>
      <c r="J1776" s="40"/>
    </row>
    <row r="1777" customFormat="false" ht="16.5" hidden="false" customHeight="true" outlineLevel="0" collapsed="false">
      <c r="B1777" s="44" t="str">
        <f aca="false">IF(C1777="","",ROW()-9)</f>
        <v/>
      </c>
      <c r="C1777" s="45"/>
      <c r="D1777" s="46" t="str">
        <f aca="false">IF(C1777="","",IFERROR(TEXT(C1777,"MMMM"),""))</f>
        <v/>
      </c>
      <c r="E1777" s="47"/>
      <c r="F1777" s="48" t="str">
        <f aca="false">IF(E1777="","",IFERROR(INDEX('Chart of Accounts'!$C$4:$C$200,MATCH(TEXT(E1777,"@"),TEXT('Chart of Accounts'!$B$4:$B$200,"@"),0)),"⚠ Not Found"))</f>
        <v/>
      </c>
      <c r="G1777" s="49"/>
      <c r="H1777" s="50"/>
      <c r="I1777" s="50"/>
      <c r="J1777" s="47"/>
    </row>
    <row r="1778" customFormat="false" ht="16.5" hidden="false" customHeight="true" outlineLevel="0" collapsed="false">
      <c r="B1778" s="37" t="str">
        <f aca="false">IF(C1778="","",ROW()-9)</f>
        <v/>
      </c>
      <c r="C1778" s="38"/>
      <c r="D1778" s="39" t="str">
        <f aca="false">IF(C1778="","",IFERROR(TEXT(C1778,"MMMM"),""))</f>
        <v/>
      </c>
      <c r="E1778" s="40"/>
      <c r="F1778" s="41" t="str">
        <f aca="false">IF(E1778="","",IFERROR(INDEX('Chart of Accounts'!$C$4:$C$200,MATCH(TEXT(E1778,"@"),TEXT('Chart of Accounts'!$B$4:$B$200,"@"),0)),"⚠ Not Found"))</f>
        <v/>
      </c>
      <c r="G1778" s="42"/>
      <c r="H1778" s="43"/>
      <c r="I1778" s="43"/>
      <c r="J1778" s="40"/>
    </row>
    <row r="1779" customFormat="false" ht="16.5" hidden="false" customHeight="true" outlineLevel="0" collapsed="false">
      <c r="B1779" s="44" t="str">
        <f aca="false">IF(C1779="","",ROW()-9)</f>
        <v/>
      </c>
      <c r="C1779" s="45"/>
      <c r="D1779" s="46" t="str">
        <f aca="false">IF(C1779="","",IFERROR(TEXT(C1779,"MMMM"),""))</f>
        <v/>
      </c>
      <c r="E1779" s="47"/>
      <c r="F1779" s="48" t="str">
        <f aca="false">IF(E1779="","",IFERROR(INDEX('Chart of Accounts'!$C$4:$C$200,MATCH(TEXT(E1779,"@"),TEXT('Chart of Accounts'!$B$4:$B$200,"@"),0)),"⚠ Not Found"))</f>
        <v/>
      </c>
      <c r="G1779" s="49"/>
      <c r="H1779" s="50"/>
      <c r="I1779" s="50"/>
      <c r="J1779" s="47"/>
    </row>
    <row r="1780" customFormat="false" ht="16.5" hidden="false" customHeight="true" outlineLevel="0" collapsed="false">
      <c r="B1780" s="37" t="str">
        <f aca="false">IF(C1780="","",ROW()-9)</f>
        <v/>
      </c>
      <c r="C1780" s="38"/>
      <c r="D1780" s="39" t="str">
        <f aca="false">IF(C1780="","",IFERROR(TEXT(C1780,"MMMM"),""))</f>
        <v/>
      </c>
      <c r="E1780" s="40"/>
      <c r="F1780" s="41" t="str">
        <f aca="false">IF(E1780="","",IFERROR(INDEX('Chart of Accounts'!$C$4:$C$200,MATCH(TEXT(E1780,"@"),TEXT('Chart of Accounts'!$B$4:$B$200,"@"),0)),"⚠ Not Found"))</f>
        <v/>
      </c>
      <c r="G1780" s="42"/>
      <c r="H1780" s="43"/>
      <c r="I1780" s="43"/>
      <c r="J1780" s="40"/>
    </row>
    <row r="1781" customFormat="false" ht="16.5" hidden="false" customHeight="true" outlineLevel="0" collapsed="false">
      <c r="B1781" s="44" t="str">
        <f aca="false">IF(C1781="","",ROW()-9)</f>
        <v/>
      </c>
      <c r="C1781" s="45"/>
      <c r="D1781" s="46" t="str">
        <f aca="false">IF(C1781="","",IFERROR(TEXT(C1781,"MMMM"),""))</f>
        <v/>
      </c>
      <c r="E1781" s="47"/>
      <c r="F1781" s="48" t="str">
        <f aca="false">IF(E1781="","",IFERROR(INDEX('Chart of Accounts'!$C$4:$C$200,MATCH(TEXT(E1781,"@"),TEXT('Chart of Accounts'!$B$4:$B$200,"@"),0)),"⚠ Not Found"))</f>
        <v/>
      </c>
      <c r="G1781" s="49"/>
      <c r="H1781" s="50"/>
      <c r="I1781" s="50"/>
      <c r="J1781" s="47"/>
    </row>
    <row r="1782" customFormat="false" ht="16.5" hidden="false" customHeight="true" outlineLevel="0" collapsed="false">
      <c r="B1782" s="37" t="str">
        <f aca="false">IF(C1782="","",ROW()-9)</f>
        <v/>
      </c>
      <c r="C1782" s="38"/>
      <c r="D1782" s="39" t="str">
        <f aca="false">IF(C1782="","",IFERROR(TEXT(C1782,"MMMM"),""))</f>
        <v/>
      </c>
      <c r="E1782" s="40"/>
      <c r="F1782" s="41" t="str">
        <f aca="false">IF(E1782="","",IFERROR(INDEX('Chart of Accounts'!$C$4:$C$200,MATCH(TEXT(E1782,"@"),TEXT('Chart of Accounts'!$B$4:$B$200,"@"),0)),"⚠ Not Found"))</f>
        <v/>
      </c>
      <c r="G1782" s="42"/>
      <c r="H1782" s="43"/>
      <c r="I1782" s="43"/>
      <c r="J1782" s="40"/>
    </row>
    <row r="1783" customFormat="false" ht="16.5" hidden="false" customHeight="true" outlineLevel="0" collapsed="false">
      <c r="B1783" s="44" t="str">
        <f aca="false">IF(C1783="","",ROW()-9)</f>
        <v/>
      </c>
      <c r="C1783" s="45"/>
      <c r="D1783" s="46" t="str">
        <f aca="false">IF(C1783="","",IFERROR(TEXT(C1783,"MMMM"),""))</f>
        <v/>
      </c>
      <c r="E1783" s="47"/>
      <c r="F1783" s="48" t="str">
        <f aca="false">IF(E1783="","",IFERROR(INDEX('Chart of Accounts'!$C$4:$C$200,MATCH(TEXT(E1783,"@"),TEXT('Chart of Accounts'!$B$4:$B$200,"@"),0)),"⚠ Not Found"))</f>
        <v/>
      </c>
      <c r="G1783" s="49"/>
      <c r="H1783" s="50"/>
      <c r="I1783" s="50"/>
      <c r="J1783" s="47"/>
    </row>
    <row r="1784" customFormat="false" ht="16.5" hidden="false" customHeight="true" outlineLevel="0" collapsed="false">
      <c r="B1784" s="37" t="str">
        <f aca="false">IF(C1784="","",ROW()-9)</f>
        <v/>
      </c>
      <c r="C1784" s="38"/>
      <c r="D1784" s="39" t="str">
        <f aca="false">IF(C1784="","",IFERROR(TEXT(C1784,"MMMM"),""))</f>
        <v/>
      </c>
      <c r="E1784" s="40"/>
      <c r="F1784" s="41" t="str">
        <f aca="false">IF(E1784="","",IFERROR(INDEX('Chart of Accounts'!$C$4:$C$200,MATCH(TEXT(E1784,"@"),TEXT('Chart of Accounts'!$B$4:$B$200,"@"),0)),"⚠ Not Found"))</f>
        <v/>
      </c>
      <c r="G1784" s="42"/>
      <c r="H1784" s="43"/>
      <c r="I1784" s="43"/>
      <c r="J1784" s="40"/>
    </row>
    <row r="1785" customFormat="false" ht="16.5" hidden="false" customHeight="true" outlineLevel="0" collapsed="false">
      <c r="B1785" s="44" t="str">
        <f aca="false">IF(C1785="","",ROW()-9)</f>
        <v/>
      </c>
      <c r="C1785" s="45"/>
      <c r="D1785" s="46" t="str">
        <f aca="false">IF(C1785="","",IFERROR(TEXT(C1785,"MMMM"),""))</f>
        <v/>
      </c>
      <c r="E1785" s="47"/>
      <c r="F1785" s="48" t="str">
        <f aca="false">IF(E1785="","",IFERROR(INDEX('Chart of Accounts'!$C$4:$C$200,MATCH(TEXT(E1785,"@"),TEXT('Chart of Accounts'!$B$4:$B$200,"@"),0)),"⚠ Not Found"))</f>
        <v/>
      </c>
      <c r="G1785" s="49"/>
      <c r="H1785" s="50"/>
      <c r="I1785" s="50"/>
      <c r="J1785" s="47"/>
    </row>
    <row r="1786" customFormat="false" ht="16.5" hidden="false" customHeight="true" outlineLevel="0" collapsed="false">
      <c r="B1786" s="37" t="str">
        <f aca="false">IF(C1786="","",ROW()-9)</f>
        <v/>
      </c>
      <c r="C1786" s="38"/>
      <c r="D1786" s="39" t="str">
        <f aca="false">IF(C1786="","",IFERROR(TEXT(C1786,"MMMM"),""))</f>
        <v/>
      </c>
      <c r="E1786" s="40"/>
      <c r="F1786" s="41" t="str">
        <f aca="false">IF(E1786="","",IFERROR(INDEX('Chart of Accounts'!$C$4:$C$200,MATCH(TEXT(E1786,"@"),TEXT('Chart of Accounts'!$B$4:$B$200,"@"),0)),"⚠ Not Found"))</f>
        <v/>
      </c>
      <c r="G1786" s="42"/>
      <c r="H1786" s="43"/>
      <c r="I1786" s="43"/>
      <c r="J1786" s="40"/>
    </row>
    <row r="1787" customFormat="false" ht="16.5" hidden="false" customHeight="true" outlineLevel="0" collapsed="false">
      <c r="B1787" s="44" t="str">
        <f aca="false">IF(C1787="","",ROW()-9)</f>
        <v/>
      </c>
      <c r="C1787" s="45"/>
      <c r="D1787" s="46" t="str">
        <f aca="false">IF(C1787="","",IFERROR(TEXT(C1787,"MMMM"),""))</f>
        <v/>
      </c>
      <c r="E1787" s="47"/>
      <c r="F1787" s="48" t="str">
        <f aca="false">IF(E1787="","",IFERROR(INDEX('Chart of Accounts'!$C$4:$C$200,MATCH(TEXT(E1787,"@"),TEXT('Chart of Accounts'!$B$4:$B$200,"@"),0)),"⚠ Not Found"))</f>
        <v/>
      </c>
      <c r="G1787" s="49"/>
      <c r="H1787" s="50"/>
      <c r="I1787" s="50"/>
      <c r="J1787" s="47"/>
    </row>
    <row r="1788" customFormat="false" ht="16.5" hidden="false" customHeight="true" outlineLevel="0" collapsed="false">
      <c r="B1788" s="37" t="str">
        <f aca="false">IF(C1788="","",ROW()-9)</f>
        <v/>
      </c>
      <c r="C1788" s="38"/>
      <c r="D1788" s="39" t="str">
        <f aca="false">IF(C1788="","",IFERROR(TEXT(C1788,"MMMM"),""))</f>
        <v/>
      </c>
      <c r="E1788" s="40"/>
      <c r="F1788" s="41" t="str">
        <f aca="false">IF(E1788="","",IFERROR(INDEX('Chart of Accounts'!$C$4:$C$200,MATCH(TEXT(E1788,"@"),TEXT('Chart of Accounts'!$B$4:$B$200,"@"),0)),"⚠ Not Found"))</f>
        <v/>
      </c>
      <c r="G1788" s="42"/>
      <c r="H1788" s="43"/>
      <c r="I1788" s="43"/>
      <c r="J1788" s="40"/>
    </row>
    <row r="1789" customFormat="false" ht="16.5" hidden="false" customHeight="true" outlineLevel="0" collapsed="false">
      <c r="B1789" s="44" t="str">
        <f aca="false">IF(C1789="","",ROW()-9)</f>
        <v/>
      </c>
      <c r="C1789" s="45"/>
      <c r="D1789" s="46" t="str">
        <f aca="false">IF(C1789="","",IFERROR(TEXT(C1789,"MMMM"),""))</f>
        <v/>
      </c>
      <c r="E1789" s="47"/>
      <c r="F1789" s="48" t="str">
        <f aca="false">IF(E1789="","",IFERROR(INDEX('Chart of Accounts'!$C$4:$C$200,MATCH(TEXT(E1789,"@"),TEXT('Chart of Accounts'!$B$4:$B$200,"@"),0)),"⚠ Not Found"))</f>
        <v/>
      </c>
      <c r="G1789" s="49"/>
      <c r="H1789" s="50"/>
      <c r="I1789" s="50"/>
      <c r="J1789" s="47"/>
    </row>
    <row r="1790" customFormat="false" ht="16.5" hidden="false" customHeight="true" outlineLevel="0" collapsed="false">
      <c r="B1790" s="37" t="str">
        <f aca="false">IF(C1790="","",ROW()-9)</f>
        <v/>
      </c>
      <c r="C1790" s="38"/>
      <c r="D1790" s="39" t="str">
        <f aca="false">IF(C1790="","",IFERROR(TEXT(C1790,"MMMM"),""))</f>
        <v/>
      </c>
      <c r="E1790" s="40"/>
      <c r="F1790" s="41" t="str">
        <f aca="false">IF(E1790="","",IFERROR(INDEX('Chart of Accounts'!$C$4:$C$200,MATCH(TEXT(E1790,"@"),TEXT('Chart of Accounts'!$B$4:$B$200,"@"),0)),"⚠ Not Found"))</f>
        <v/>
      </c>
      <c r="G1790" s="42"/>
      <c r="H1790" s="43"/>
      <c r="I1790" s="43"/>
      <c r="J1790" s="40"/>
    </row>
    <row r="1791" customFormat="false" ht="16.5" hidden="false" customHeight="true" outlineLevel="0" collapsed="false">
      <c r="B1791" s="44" t="str">
        <f aca="false">IF(C1791="","",ROW()-9)</f>
        <v/>
      </c>
      <c r="C1791" s="45"/>
      <c r="D1791" s="46" t="str">
        <f aca="false">IF(C1791="","",IFERROR(TEXT(C1791,"MMMM"),""))</f>
        <v/>
      </c>
      <c r="E1791" s="47"/>
      <c r="F1791" s="48" t="str">
        <f aca="false">IF(E1791="","",IFERROR(INDEX('Chart of Accounts'!$C$4:$C$200,MATCH(TEXT(E1791,"@"),TEXT('Chart of Accounts'!$B$4:$B$200,"@"),0)),"⚠ Not Found"))</f>
        <v/>
      </c>
      <c r="G1791" s="49"/>
      <c r="H1791" s="50"/>
      <c r="I1791" s="50"/>
      <c r="J1791" s="47"/>
    </row>
    <row r="1792" customFormat="false" ht="16.5" hidden="false" customHeight="true" outlineLevel="0" collapsed="false">
      <c r="B1792" s="37" t="str">
        <f aca="false">IF(C1792="","",ROW()-9)</f>
        <v/>
      </c>
      <c r="C1792" s="38"/>
      <c r="D1792" s="39" t="str">
        <f aca="false">IF(C1792="","",IFERROR(TEXT(C1792,"MMMM"),""))</f>
        <v/>
      </c>
      <c r="E1792" s="40"/>
      <c r="F1792" s="41" t="str">
        <f aca="false">IF(E1792="","",IFERROR(INDEX('Chart of Accounts'!$C$4:$C$200,MATCH(TEXT(E1792,"@"),TEXT('Chart of Accounts'!$B$4:$B$200,"@"),0)),"⚠ Not Found"))</f>
        <v/>
      </c>
      <c r="G1792" s="42"/>
      <c r="H1792" s="43"/>
      <c r="I1792" s="43"/>
      <c r="J1792" s="40"/>
    </row>
    <row r="1793" customFormat="false" ht="16.5" hidden="false" customHeight="true" outlineLevel="0" collapsed="false">
      <c r="B1793" s="44" t="str">
        <f aca="false">IF(C1793="","",ROW()-9)</f>
        <v/>
      </c>
      <c r="C1793" s="45"/>
      <c r="D1793" s="46" t="str">
        <f aca="false">IF(C1793="","",IFERROR(TEXT(C1793,"MMMM"),""))</f>
        <v/>
      </c>
      <c r="E1793" s="47"/>
      <c r="F1793" s="48" t="str">
        <f aca="false">IF(E1793="","",IFERROR(INDEX('Chart of Accounts'!$C$4:$C$200,MATCH(TEXT(E1793,"@"),TEXT('Chart of Accounts'!$B$4:$B$200,"@"),0)),"⚠ Not Found"))</f>
        <v/>
      </c>
      <c r="G1793" s="49"/>
      <c r="H1793" s="50"/>
      <c r="I1793" s="50"/>
      <c r="J1793" s="47"/>
    </row>
    <row r="1794" customFormat="false" ht="16.5" hidden="false" customHeight="true" outlineLevel="0" collapsed="false">
      <c r="B1794" s="37" t="str">
        <f aca="false">IF(C1794="","",ROW()-9)</f>
        <v/>
      </c>
      <c r="C1794" s="38"/>
      <c r="D1794" s="39" t="str">
        <f aca="false">IF(C1794="","",IFERROR(TEXT(C1794,"MMMM"),""))</f>
        <v/>
      </c>
      <c r="E1794" s="40"/>
      <c r="F1794" s="41" t="str">
        <f aca="false">IF(E1794="","",IFERROR(INDEX('Chart of Accounts'!$C$4:$C$200,MATCH(TEXT(E1794,"@"),TEXT('Chart of Accounts'!$B$4:$B$200,"@"),0)),"⚠ Not Found"))</f>
        <v/>
      </c>
      <c r="G1794" s="42"/>
      <c r="H1794" s="43"/>
      <c r="I1794" s="43"/>
      <c r="J1794" s="40"/>
    </row>
    <row r="1795" customFormat="false" ht="16.5" hidden="false" customHeight="true" outlineLevel="0" collapsed="false">
      <c r="B1795" s="44" t="str">
        <f aca="false">IF(C1795="","",ROW()-9)</f>
        <v/>
      </c>
      <c r="C1795" s="45"/>
      <c r="D1795" s="46" t="str">
        <f aca="false">IF(C1795="","",IFERROR(TEXT(C1795,"MMMM"),""))</f>
        <v/>
      </c>
      <c r="E1795" s="47"/>
      <c r="F1795" s="48" t="str">
        <f aca="false">IF(E1795="","",IFERROR(INDEX('Chart of Accounts'!$C$4:$C$200,MATCH(TEXT(E1795,"@"),TEXT('Chart of Accounts'!$B$4:$B$200,"@"),0)),"⚠ Not Found"))</f>
        <v/>
      </c>
      <c r="G1795" s="49"/>
      <c r="H1795" s="50"/>
      <c r="I1795" s="50"/>
      <c r="J1795" s="47"/>
    </row>
    <row r="1796" customFormat="false" ht="16.5" hidden="false" customHeight="true" outlineLevel="0" collapsed="false">
      <c r="B1796" s="37" t="str">
        <f aca="false">IF(C1796="","",ROW()-9)</f>
        <v/>
      </c>
      <c r="C1796" s="38"/>
      <c r="D1796" s="39" t="str">
        <f aca="false">IF(C1796="","",IFERROR(TEXT(C1796,"MMMM"),""))</f>
        <v/>
      </c>
      <c r="E1796" s="40"/>
      <c r="F1796" s="41" t="str">
        <f aca="false">IF(E1796="","",IFERROR(INDEX('Chart of Accounts'!$C$4:$C$200,MATCH(TEXT(E1796,"@"),TEXT('Chart of Accounts'!$B$4:$B$200,"@"),0)),"⚠ Not Found"))</f>
        <v/>
      </c>
      <c r="G1796" s="42"/>
      <c r="H1796" s="43"/>
      <c r="I1796" s="43"/>
      <c r="J1796" s="40"/>
    </row>
    <row r="1797" customFormat="false" ht="16.5" hidden="false" customHeight="true" outlineLevel="0" collapsed="false">
      <c r="B1797" s="44" t="str">
        <f aca="false">IF(C1797="","",ROW()-9)</f>
        <v/>
      </c>
      <c r="C1797" s="45"/>
      <c r="D1797" s="46" t="str">
        <f aca="false">IF(C1797="","",IFERROR(TEXT(C1797,"MMMM"),""))</f>
        <v/>
      </c>
      <c r="E1797" s="47"/>
      <c r="F1797" s="48" t="str">
        <f aca="false">IF(E1797="","",IFERROR(INDEX('Chart of Accounts'!$C$4:$C$200,MATCH(TEXT(E1797,"@"),TEXT('Chart of Accounts'!$B$4:$B$200,"@"),0)),"⚠ Not Found"))</f>
        <v/>
      </c>
      <c r="G1797" s="49"/>
      <c r="H1797" s="50"/>
      <c r="I1797" s="50"/>
      <c r="J1797" s="47"/>
    </row>
    <row r="1798" customFormat="false" ht="16.5" hidden="false" customHeight="true" outlineLevel="0" collapsed="false">
      <c r="B1798" s="37" t="str">
        <f aca="false">IF(C1798="","",ROW()-9)</f>
        <v/>
      </c>
      <c r="C1798" s="38"/>
      <c r="D1798" s="39" t="str">
        <f aca="false">IF(C1798="","",IFERROR(TEXT(C1798,"MMMM"),""))</f>
        <v/>
      </c>
      <c r="E1798" s="40"/>
      <c r="F1798" s="41" t="str">
        <f aca="false">IF(E1798="","",IFERROR(INDEX('Chart of Accounts'!$C$4:$C$200,MATCH(TEXT(E1798,"@"),TEXT('Chart of Accounts'!$B$4:$B$200,"@"),0)),"⚠ Not Found"))</f>
        <v/>
      </c>
      <c r="G1798" s="42"/>
      <c r="H1798" s="43"/>
      <c r="I1798" s="43"/>
      <c r="J1798" s="40"/>
    </row>
    <row r="1799" customFormat="false" ht="16.5" hidden="false" customHeight="true" outlineLevel="0" collapsed="false">
      <c r="B1799" s="44" t="str">
        <f aca="false">IF(C1799="","",ROW()-9)</f>
        <v/>
      </c>
      <c r="C1799" s="45"/>
      <c r="D1799" s="46" t="str">
        <f aca="false">IF(C1799="","",IFERROR(TEXT(C1799,"MMMM"),""))</f>
        <v/>
      </c>
      <c r="E1799" s="47"/>
      <c r="F1799" s="48" t="str">
        <f aca="false">IF(E1799="","",IFERROR(INDEX('Chart of Accounts'!$C$4:$C$200,MATCH(TEXT(E1799,"@"),TEXT('Chart of Accounts'!$B$4:$B$200,"@"),0)),"⚠ Not Found"))</f>
        <v/>
      </c>
      <c r="G1799" s="49"/>
      <c r="H1799" s="50"/>
      <c r="I1799" s="50"/>
      <c r="J1799" s="47"/>
    </row>
    <row r="1800" customFormat="false" ht="16.5" hidden="false" customHeight="true" outlineLevel="0" collapsed="false">
      <c r="B1800" s="37" t="str">
        <f aca="false">IF(C1800="","",ROW()-9)</f>
        <v/>
      </c>
      <c r="C1800" s="38"/>
      <c r="D1800" s="39" t="str">
        <f aca="false">IF(C1800="","",IFERROR(TEXT(C1800,"MMMM"),""))</f>
        <v/>
      </c>
      <c r="E1800" s="40"/>
      <c r="F1800" s="41" t="str">
        <f aca="false">IF(E1800="","",IFERROR(INDEX('Chart of Accounts'!$C$4:$C$200,MATCH(TEXT(E1800,"@"),TEXT('Chart of Accounts'!$B$4:$B$200,"@"),0)),"⚠ Not Found"))</f>
        <v/>
      </c>
      <c r="G1800" s="42"/>
      <c r="H1800" s="43"/>
      <c r="I1800" s="43"/>
      <c r="J1800" s="40"/>
    </row>
    <row r="1801" customFormat="false" ht="16.5" hidden="false" customHeight="true" outlineLevel="0" collapsed="false">
      <c r="B1801" s="44" t="str">
        <f aca="false">IF(C1801="","",ROW()-9)</f>
        <v/>
      </c>
      <c r="C1801" s="45"/>
      <c r="D1801" s="46" t="str">
        <f aca="false">IF(C1801="","",IFERROR(TEXT(C1801,"MMMM"),""))</f>
        <v/>
      </c>
      <c r="E1801" s="47"/>
      <c r="F1801" s="48" t="str">
        <f aca="false">IF(E1801="","",IFERROR(INDEX('Chart of Accounts'!$C$4:$C$200,MATCH(TEXT(E1801,"@"),TEXT('Chart of Accounts'!$B$4:$B$200,"@"),0)),"⚠ Not Found"))</f>
        <v/>
      </c>
      <c r="G1801" s="49"/>
      <c r="H1801" s="50"/>
      <c r="I1801" s="50"/>
      <c r="J1801" s="47"/>
    </row>
    <row r="1802" customFormat="false" ht="16.5" hidden="false" customHeight="true" outlineLevel="0" collapsed="false">
      <c r="B1802" s="37" t="str">
        <f aca="false">IF(C1802="","",ROW()-9)</f>
        <v/>
      </c>
      <c r="C1802" s="38"/>
      <c r="D1802" s="39" t="str">
        <f aca="false">IF(C1802="","",IFERROR(TEXT(C1802,"MMMM"),""))</f>
        <v/>
      </c>
      <c r="E1802" s="40"/>
      <c r="F1802" s="41" t="str">
        <f aca="false">IF(E1802="","",IFERROR(INDEX('Chart of Accounts'!$C$4:$C$200,MATCH(TEXT(E1802,"@"),TEXT('Chart of Accounts'!$B$4:$B$200,"@"),0)),"⚠ Not Found"))</f>
        <v/>
      </c>
      <c r="G1802" s="42"/>
      <c r="H1802" s="43"/>
      <c r="I1802" s="43"/>
      <c r="J1802" s="40"/>
    </row>
    <row r="1803" customFormat="false" ht="16.5" hidden="false" customHeight="true" outlineLevel="0" collapsed="false">
      <c r="B1803" s="44" t="str">
        <f aca="false">IF(C1803="","",ROW()-9)</f>
        <v/>
      </c>
      <c r="C1803" s="45"/>
      <c r="D1803" s="46" t="str">
        <f aca="false">IF(C1803="","",IFERROR(TEXT(C1803,"MMMM"),""))</f>
        <v/>
      </c>
      <c r="E1803" s="47"/>
      <c r="F1803" s="48" t="str">
        <f aca="false">IF(E1803="","",IFERROR(INDEX('Chart of Accounts'!$C$4:$C$200,MATCH(TEXT(E1803,"@"),TEXT('Chart of Accounts'!$B$4:$B$200,"@"),0)),"⚠ Not Found"))</f>
        <v/>
      </c>
      <c r="G1803" s="49"/>
      <c r="H1803" s="50"/>
      <c r="I1803" s="50"/>
      <c r="J1803" s="47"/>
    </row>
    <row r="1804" customFormat="false" ht="16.5" hidden="false" customHeight="true" outlineLevel="0" collapsed="false">
      <c r="B1804" s="37" t="str">
        <f aca="false">IF(C1804="","",ROW()-9)</f>
        <v/>
      </c>
      <c r="C1804" s="38"/>
      <c r="D1804" s="39" t="str">
        <f aca="false">IF(C1804="","",IFERROR(TEXT(C1804,"MMMM"),""))</f>
        <v/>
      </c>
      <c r="E1804" s="40"/>
      <c r="F1804" s="41" t="str">
        <f aca="false">IF(E1804="","",IFERROR(INDEX('Chart of Accounts'!$C$4:$C$200,MATCH(TEXT(E1804,"@"),TEXT('Chart of Accounts'!$B$4:$B$200,"@"),0)),"⚠ Not Found"))</f>
        <v/>
      </c>
      <c r="G1804" s="42"/>
      <c r="H1804" s="43"/>
      <c r="I1804" s="43"/>
      <c r="J1804" s="40"/>
    </row>
    <row r="1805" customFormat="false" ht="16.5" hidden="false" customHeight="true" outlineLevel="0" collapsed="false">
      <c r="B1805" s="44" t="str">
        <f aca="false">IF(C1805="","",ROW()-9)</f>
        <v/>
      </c>
      <c r="C1805" s="45"/>
      <c r="D1805" s="46" t="str">
        <f aca="false">IF(C1805="","",IFERROR(TEXT(C1805,"MMMM"),""))</f>
        <v/>
      </c>
      <c r="E1805" s="47"/>
      <c r="F1805" s="48" t="str">
        <f aca="false">IF(E1805="","",IFERROR(INDEX('Chart of Accounts'!$C$4:$C$200,MATCH(TEXT(E1805,"@"),TEXT('Chart of Accounts'!$B$4:$B$200,"@"),0)),"⚠ Not Found"))</f>
        <v/>
      </c>
      <c r="G1805" s="49"/>
      <c r="H1805" s="50"/>
      <c r="I1805" s="50"/>
      <c r="J1805" s="47"/>
    </row>
    <row r="1806" customFormat="false" ht="16.5" hidden="false" customHeight="true" outlineLevel="0" collapsed="false">
      <c r="B1806" s="37" t="str">
        <f aca="false">IF(C1806="","",ROW()-9)</f>
        <v/>
      </c>
      <c r="C1806" s="38"/>
      <c r="D1806" s="39" t="str">
        <f aca="false">IF(C1806="","",IFERROR(TEXT(C1806,"MMMM"),""))</f>
        <v/>
      </c>
      <c r="E1806" s="40"/>
      <c r="F1806" s="41" t="str">
        <f aca="false">IF(E1806="","",IFERROR(INDEX('Chart of Accounts'!$C$4:$C$200,MATCH(TEXT(E1806,"@"),TEXT('Chart of Accounts'!$B$4:$B$200,"@"),0)),"⚠ Not Found"))</f>
        <v/>
      </c>
      <c r="G1806" s="42"/>
      <c r="H1806" s="43"/>
      <c r="I1806" s="43"/>
      <c r="J1806" s="40"/>
    </row>
    <row r="1807" customFormat="false" ht="16.5" hidden="false" customHeight="true" outlineLevel="0" collapsed="false">
      <c r="B1807" s="44" t="str">
        <f aca="false">IF(C1807="","",ROW()-9)</f>
        <v/>
      </c>
      <c r="C1807" s="45"/>
      <c r="D1807" s="46" t="str">
        <f aca="false">IF(C1807="","",IFERROR(TEXT(C1807,"MMMM"),""))</f>
        <v/>
      </c>
      <c r="E1807" s="47"/>
      <c r="F1807" s="48" t="str">
        <f aca="false">IF(E1807="","",IFERROR(INDEX('Chart of Accounts'!$C$4:$C$200,MATCH(TEXT(E1807,"@"),TEXT('Chart of Accounts'!$B$4:$B$200,"@"),0)),"⚠ Not Found"))</f>
        <v/>
      </c>
      <c r="G1807" s="49"/>
      <c r="H1807" s="50"/>
      <c r="I1807" s="50"/>
      <c r="J1807" s="47"/>
    </row>
    <row r="1808" customFormat="false" ht="16.5" hidden="false" customHeight="true" outlineLevel="0" collapsed="false">
      <c r="B1808" s="37" t="str">
        <f aca="false">IF(C1808="","",ROW()-9)</f>
        <v/>
      </c>
      <c r="C1808" s="38"/>
      <c r="D1808" s="39" t="str">
        <f aca="false">IF(C1808="","",IFERROR(TEXT(C1808,"MMMM"),""))</f>
        <v/>
      </c>
      <c r="E1808" s="40"/>
      <c r="F1808" s="41" t="str">
        <f aca="false">IF(E1808="","",IFERROR(INDEX('Chart of Accounts'!$C$4:$C$200,MATCH(TEXT(E1808,"@"),TEXT('Chart of Accounts'!$B$4:$B$200,"@"),0)),"⚠ Not Found"))</f>
        <v/>
      </c>
      <c r="G1808" s="42"/>
      <c r="H1808" s="43"/>
      <c r="I1808" s="43"/>
      <c r="J1808" s="40"/>
    </row>
    <row r="1809" customFormat="false" ht="16.5" hidden="false" customHeight="true" outlineLevel="0" collapsed="false">
      <c r="B1809" s="44" t="str">
        <f aca="false">IF(C1809="","",ROW()-9)</f>
        <v/>
      </c>
      <c r="C1809" s="45"/>
      <c r="D1809" s="46" t="str">
        <f aca="false">IF(C1809="","",IFERROR(TEXT(C1809,"MMMM"),""))</f>
        <v/>
      </c>
      <c r="E1809" s="47"/>
      <c r="F1809" s="48" t="str">
        <f aca="false">IF(E1809="","",IFERROR(INDEX('Chart of Accounts'!$C$4:$C$200,MATCH(TEXT(E1809,"@"),TEXT('Chart of Accounts'!$B$4:$B$200,"@"),0)),"⚠ Not Found"))</f>
        <v/>
      </c>
      <c r="G1809" s="49"/>
      <c r="H1809" s="50"/>
      <c r="I1809" s="50"/>
      <c r="J1809" s="47"/>
    </row>
    <row r="1810" customFormat="false" ht="16.5" hidden="false" customHeight="true" outlineLevel="0" collapsed="false"/>
    <row r="1811" customFormat="false" ht="16.5" hidden="false" customHeight="true" outlineLevel="0" collapsed="false"/>
    <row r="1812" customFormat="false" ht="16.5" hidden="false" customHeight="true" outlineLevel="0" collapsed="false"/>
    <row r="1813" customFormat="false" ht="16.5" hidden="false" customHeight="true" outlineLevel="0" collapsed="false"/>
    <row r="1814" customFormat="false" ht="16.5" hidden="false" customHeight="true" outlineLevel="0" collapsed="false"/>
  </sheetData>
  <mergeCells count="8">
    <mergeCell ref="B2:J2"/>
    <mergeCell ref="B3:C3"/>
    <mergeCell ref="D3:E3"/>
    <mergeCell ref="H3:J3"/>
    <mergeCell ref="B4:J4"/>
    <mergeCell ref="B5:J5"/>
    <mergeCell ref="B6:C6"/>
    <mergeCell ref="I6:J6"/>
  </mergeCells>
  <dataValidations count="3">
    <dataValidation allowBlank="false" errorStyle="stop" operator="between" showDropDown="false" showErrorMessage="false" showInputMessage="false" sqref="D3:E3" type="list">
      <formula1>"All Months,January,February,March,April,May,June,July,August,September,October,November,December"</formula1>
      <formula2>0</formula2>
    </dataValidation>
    <dataValidation allowBlank="true" errorStyle="stop" operator="between" showDropDown="false" showErrorMessage="false" showInputMessage="false" sqref="E10:E1809" type="list">
      <formula1>"1000,1010,1100,1110,1200,1300,1400,1500,1510,1600,1610,1700,2000,2100,2200,2300,2400,2500,2600,2700,3000,3100,3200,3300,4000,4100,4200,4300,5000,5100,5200,5300,5400,5500,5600,5700,5800,5900,6000,6100,6200,6300,6400"</formula1>
      <formula2>0</formula2>
    </dataValidation>
    <dataValidation allowBlank="true" errorStyle="stop" operator="between" showDropDown="false" showErrorMessage="false" showInputMessage="false" sqref="J10:J1809" type="list">
      <formula1>"Opening Entry,Revenue Entry,Expense Entry,Asset Purchase,Liability Entry,Equity Entry,Adjusting Entry,Closing Entry,Correcting Entry"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0000"/>
    <pageSetUpPr fitToPage="false"/>
  </sheetPr>
  <dimension ref="B1:H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3" min="3" style="1" width="34"/>
    <col collapsed="false" customWidth="true" hidden="false" outlineLevel="0" max="4" min="4" style="1" width="18"/>
    <col collapsed="false" customWidth="true" hidden="false" outlineLevel="0" max="8" min="5" style="1" width="16"/>
    <col collapsed="false" customWidth="true" hidden="false" outlineLevel="0" max="9" min="9" style="1" width="3"/>
  </cols>
  <sheetData>
    <row r="1" customFormat="false" ht="6" hidden="false" customHeight="true" outlineLevel="0" collapsed="false"/>
    <row r="2" customFormat="false" ht="33.75" hidden="false" customHeight="true" outlineLevel="0" collapsed="false">
      <c r="B2" s="23" t="str">
        <f aca="false">IFERROR("GENERAL LEDGER &amp; TRIAL BALANCE  |  Fiscal Year: "&amp;TEXT(H3,"0"),"GENERAL LEDGER &amp; TRIAL BALANCE")</f>
        <v>GENERAL LEDGER &amp; TRIAL BALANCE  |  Fiscal Year: ← Type the year here</v>
      </c>
      <c r="C2" s="23"/>
      <c r="D2" s="23"/>
      <c r="E2" s="23"/>
      <c r="F2" s="23"/>
      <c r="G2" s="23"/>
      <c r="H2" s="23"/>
    </row>
    <row r="3" customFormat="false" ht="19.5" hidden="false" customHeight="true" outlineLevel="0" collapsed="false">
      <c r="B3" s="24" t="s">
        <v>121</v>
      </c>
      <c r="C3" s="24"/>
      <c r="D3" s="51" t="s">
        <v>122</v>
      </c>
      <c r="E3" s="51"/>
      <c r="F3" s="24" t="s">
        <v>105</v>
      </c>
      <c r="G3" s="26" t="n">
        <v>2025</v>
      </c>
      <c r="H3" s="28" t="s">
        <v>123</v>
      </c>
    </row>
    <row r="4" customFormat="false" ht="19.5" hidden="false" customHeight="true" outlineLevel="0" collapsed="false">
      <c r="B4" s="24" t="s">
        <v>124</v>
      </c>
      <c r="C4" s="24"/>
      <c r="D4" s="51" t="s">
        <v>125</v>
      </c>
      <c r="E4" s="51"/>
      <c r="F4" s="51"/>
      <c r="G4" s="51"/>
      <c r="H4" s="51"/>
    </row>
    <row r="5" customFormat="false" ht="19.5" hidden="false" customHeight="true" outlineLevel="0" collapsed="false">
      <c r="B5" s="52" t="s">
        <v>126</v>
      </c>
      <c r="C5" s="52"/>
      <c r="D5" s="53" t="str">
        <f aca="false">IF(D3="Annually","Full Year "&amp;TEXT(H3,"0"),IF(D3="Cumulative As Of","As of "&amp;D4&amp;" "&amp;TEXT(H3,"0"),IF(D3="Quarterly",D4&amp;" "&amp;TEXT(H3,"0"),D4&amp;" "&amp;TEXT(H3,"0"))))</f>
        <v>January ← Type the year here</v>
      </c>
      <c r="E5" s="53"/>
      <c r="F5" s="53"/>
      <c r="G5" s="53"/>
      <c r="H5" s="53"/>
    </row>
    <row r="6" customFormat="false" ht="19.5" hidden="false" customHeight="true" outlineLevel="0" collapsed="false">
      <c r="B6" s="54" t="s">
        <v>127</v>
      </c>
      <c r="C6" s="54"/>
      <c r="D6" s="55" t="n">
        <f aca="false">IF(D3="Annually",1,IF(D3="Cumulative As Of",IFERROR(MATCH(D4,{"January","February","March","April","May","June","July","August","September","October","November","December"},0),1),IF(D3="Quarterly",IF(D4="Q1 (Jan-Mar)",1,IF(D4="Q2 (Apr-Jun)",4,IF(D4="Q3 (Jul-Sep)",7,10))),IFERROR(MATCH(D4,{"January","February","March","April","May","June","July","August","September","October","November","December"},0),1))))</f>
        <v>1</v>
      </c>
      <c r="E6" s="54" t="s">
        <v>128</v>
      </c>
      <c r="F6" s="54"/>
      <c r="G6" s="55" t="n">
        <f aca="false">IF(D3="Annually",12,IF(D3="Cumulative As Of",IFERROR(MATCH(D4,{"January","February","March","April","May","June","July","August","September","October","November","December"},0),12),IF(D3="Quarterly",IF(D4="Q1 (Jan-Mar)",3,IF(D4="Q2 (Apr-Jun)",6,IF(D4="Q3 (Jul-Sep)",9,12))),IFERROR(MATCH(D4,{"January","February","March","April","May","June","July","August","September","October","November","December"},0),1))))</f>
        <v>1</v>
      </c>
      <c r="H6" s="55" t="n">
        <f aca="false">G6</f>
        <v>1</v>
      </c>
    </row>
    <row r="7" customFormat="false" ht="7.5" hidden="false" customHeight="true" outlineLevel="0" collapsed="false"/>
    <row r="8" customFormat="false" ht="19.5" hidden="false" customHeight="true" outlineLevel="0" collapsed="false">
      <c r="B8" s="56" t="s">
        <v>129</v>
      </c>
      <c r="C8" s="56"/>
      <c r="D8" s="56"/>
      <c r="E8" s="56"/>
      <c r="F8" s="56"/>
      <c r="G8" s="56"/>
      <c r="H8" s="56"/>
    </row>
    <row r="9" customFormat="false" ht="19.5" hidden="false" customHeight="true" outlineLevel="0" collapsed="false">
      <c r="B9" s="57" t="s">
        <v>130</v>
      </c>
      <c r="C9" s="57"/>
      <c r="D9" s="57"/>
      <c r="E9" s="57"/>
      <c r="F9" s="57"/>
      <c r="G9" s="57"/>
      <c r="H9" s="57"/>
    </row>
    <row r="10" customFormat="false" ht="6" hidden="false" customHeight="true" outlineLevel="0" collapsed="false"/>
    <row r="11" customFormat="false" ht="18" hidden="false" customHeight="true" outlineLevel="0" collapsed="false">
      <c r="B11" s="36" t="s">
        <v>116</v>
      </c>
      <c r="C11" s="36" t="s">
        <v>2</v>
      </c>
      <c r="D11" s="36" t="s">
        <v>3</v>
      </c>
      <c r="E11" s="36" t="s">
        <v>4</v>
      </c>
      <c r="F11" s="36" t="s">
        <v>131</v>
      </c>
      <c r="G11" s="36" t="s">
        <v>132</v>
      </c>
      <c r="H11" s="36" t="s">
        <v>133</v>
      </c>
    </row>
    <row r="12" customFormat="false" ht="16.5" hidden="false" customHeight="true" outlineLevel="0" collapsed="false">
      <c r="B12" s="4" t="s">
        <v>6</v>
      </c>
      <c r="C12" s="5" t="s">
        <v>7</v>
      </c>
      <c r="D12" s="6" t="s">
        <v>8</v>
      </c>
      <c r="E12" s="58" t="s">
        <v>9</v>
      </c>
      <c r="F12" s="59" t="n">
        <f aca="false">IFERROR(SUMPRODUCT((TEXT('General Journal'!$E$10:$E$1809,"@")=TEXT("1000","@"))*(MONTH('General Journal'!$C$10:$C$1809)&gt;=$D$6)*(MONTH('General Journal'!$C$10:$C$1809)&lt;=$H$6)*(ISNUMBER('General Journal'!$C$10:$C$1809))*'General Journal'!$H$10:$H$1809),0)</f>
        <v>0</v>
      </c>
      <c r="G12" s="59" t="n">
        <f aca="false">IFERROR(SUMPRODUCT((TEXT('General Journal'!$E$10:$E$1809,"@")=TEXT("1000","@"))*(MONTH('General Journal'!$C$10:$C$1809)&gt;=$D$6)*(MONTH('General Journal'!$C$10:$C$1809)&lt;=$H$6)*(ISNUMBER('General Journal'!$C$10:$C$1809))*'General Journal'!$I$10:$I$1809),0)</f>
        <v>0</v>
      </c>
      <c r="H12" s="60" t="n">
        <f aca="false">F12-G12</f>
        <v>0</v>
      </c>
    </row>
    <row r="13" customFormat="false" ht="16.5" hidden="false" customHeight="true" outlineLevel="0" collapsed="false">
      <c r="B13" s="4" t="s">
        <v>11</v>
      </c>
      <c r="C13" s="5" t="s">
        <v>12</v>
      </c>
      <c r="D13" s="6" t="s">
        <v>8</v>
      </c>
      <c r="E13" s="58" t="s">
        <v>9</v>
      </c>
      <c r="F13" s="59" t="n">
        <f aca="false">IFERROR(SUMPRODUCT((TEXT('General Journal'!$E$10:$E$1809,"@")=TEXT("1010","@"))*(MONTH('General Journal'!$C$10:$C$1809)&gt;=$D$6)*(MONTH('General Journal'!$C$10:$C$1809)&lt;=$H$6)*(ISNUMBER('General Journal'!$C$10:$C$1809))*'General Journal'!$H$10:$H$1809),0)</f>
        <v>0</v>
      </c>
      <c r="G13" s="59" t="n">
        <f aca="false">IFERROR(SUMPRODUCT((TEXT('General Journal'!$E$10:$E$1809,"@")=TEXT("1010","@"))*(MONTH('General Journal'!$C$10:$C$1809)&gt;=$D$6)*(MONTH('General Journal'!$C$10:$C$1809)&lt;=$H$6)*(ISNUMBER('General Journal'!$C$10:$C$1809))*'General Journal'!$I$10:$I$1809),0)</f>
        <v>0</v>
      </c>
      <c r="H13" s="60" t="n">
        <f aca="false">F13-G13</f>
        <v>0</v>
      </c>
    </row>
    <row r="14" customFormat="false" ht="16.5" hidden="false" customHeight="true" outlineLevel="0" collapsed="false">
      <c r="B14" s="4" t="s">
        <v>13</v>
      </c>
      <c r="C14" s="5" t="s">
        <v>14</v>
      </c>
      <c r="D14" s="6" t="s">
        <v>8</v>
      </c>
      <c r="E14" s="58" t="s">
        <v>9</v>
      </c>
      <c r="F14" s="59" t="n">
        <f aca="false">IFERROR(SUMPRODUCT((TEXT('General Journal'!$E$10:$E$1809,"@")=TEXT("1100","@"))*(MONTH('General Journal'!$C$10:$C$1809)&gt;=$D$6)*(MONTH('General Journal'!$C$10:$C$1809)&lt;=$H$6)*(ISNUMBER('General Journal'!$C$10:$C$1809))*'General Journal'!$H$10:$H$1809),0)</f>
        <v>0</v>
      </c>
      <c r="G14" s="59" t="n">
        <f aca="false">IFERROR(SUMPRODUCT((TEXT('General Journal'!$E$10:$E$1809,"@")=TEXT("1100","@"))*(MONTH('General Journal'!$C$10:$C$1809)&gt;=$D$6)*(MONTH('General Journal'!$C$10:$C$1809)&lt;=$H$6)*(ISNUMBER('General Journal'!$C$10:$C$1809))*'General Journal'!$I$10:$I$1809),0)</f>
        <v>0</v>
      </c>
      <c r="H14" s="60" t="n">
        <f aca="false">F14-G14</f>
        <v>0</v>
      </c>
    </row>
    <row r="15" customFormat="false" ht="16.5" hidden="false" customHeight="true" outlineLevel="0" collapsed="false">
      <c r="B15" s="7" t="s">
        <v>15</v>
      </c>
      <c r="C15" s="8" t="s">
        <v>16</v>
      </c>
      <c r="D15" s="9" t="s">
        <v>17</v>
      </c>
      <c r="E15" s="61" t="s">
        <v>18</v>
      </c>
      <c r="F15" s="62" t="n">
        <f aca="false">IFERROR(SUMPRODUCT((TEXT('General Journal'!$E$10:$E$1809,"@")=TEXT("1110","@"))*(MONTH('General Journal'!$C$10:$C$1809)&gt;=$D$6)*(MONTH('General Journal'!$C$10:$C$1809)&lt;=$H$6)*(ISNUMBER('General Journal'!$C$10:$C$1809))*'General Journal'!$H$10:$H$1809),0)</f>
        <v>0</v>
      </c>
      <c r="G15" s="62" t="n">
        <f aca="false">IFERROR(SUMPRODUCT((TEXT('General Journal'!$E$10:$E$1809,"@")=TEXT("1110","@"))*(MONTH('General Journal'!$C$10:$C$1809)&gt;=$D$6)*(MONTH('General Journal'!$C$10:$C$1809)&lt;=$H$6)*(ISNUMBER('General Journal'!$C$10:$C$1809))*'General Journal'!$I$10:$I$1809),0)</f>
        <v>0</v>
      </c>
      <c r="H15" s="60" t="n">
        <f aca="false">G15-F15</f>
        <v>0</v>
      </c>
    </row>
    <row r="16" customFormat="false" ht="16.5" hidden="false" customHeight="true" outlineLevel="0" collapsed="false">
      <c r="B16" s="4" t="s">
        <v>19</v>
      </c>
      <c r="C16" s="5" t="s">
        <v>20</v>
      </c>
      <c r="D16" s="6" t="s">
        <v>8</v>
      </c>
      <c r="E16" s="58" t="s">
        <v>9</v>
      </c>
      <c r="F16" s="59" t="n">
        <f aca="false">IFERROR(SUMPRODUCT((TEXT('General Journal'!$E$10:$E$1809,"@")=TEXT("1200","@"))*(MONTH('General Journal'!$C$10:$C$1809)&gt;=$D$6)*(MONTH('General Journal'!$C$10:$C$1809)&lt;=$H$6)*(ISNUMBER('General Journal'!$C$10:$C$1809))*'General Journal'!$H$10:$H$1809),0)</f>
        <v>0</v>
      </c>
      <c r="G16" s="59" t="n">
        <f aca="false">IFERROR(SUMPRODUCT((TEXT('General Journal'!$E$10:$E$1809,"@")=TEXT("1200","@"))*(MONTH('General Journal'!$C$10:$C$1809)&gt;=$D$6)*(MONTH('General Journal'!$C$10:$C$1809)&lt;=$H$6)*(ISNUMBER('General Journal'!$C$10:$C$1809))*'General Journal'!$I$10:$I$1809),0)</f>
        <v>0</v>
      </c>
      <c r="H16" s="60" t="n">
        <f aca="false">F16-G16</f>
        <v>0</v>
      </c>
    </row>
    <row r="17" customFormat="false" ht="16.5" hidden="false" customHeight="true" outlineLevel="0" collapsed="false">
      <c r="B17" s="4" t="s">
        <v>21</v>
      </c>
      <c r="C17" s="5" t="s">
        <v>22</v>
      </c>
      <c r="D17" s="6" t="s">
        <v>8</v>
      </c>
      <c r="E17" s="58" t="s">
        <v>9</v>
      </c>
      <c r="F17" s="59" t="n">
        <f aca="false">IFERROR(SUMPRODUCT((TEXT('General Journal'!$E$10:$E$1809,"@")=TEXT("1300","@"))*(MONTH('General Journal'!$C$10:$C$1809)&gt;=$D$6)*(MONTH('General Journal'!$C$10:$C$1809)&lt;=$H$6)*(ISNUMBER('General Journal'!$C$10:$C$1809))*'General Journal'!$H$10:$H$1809),0)</f>
        <v>0</v>
      </c>
      <c r="G17" s="59" t="n">
        <f aca="false">IFERROR(SUMPRODUCT((TEXT('General Journal'!$E$10:$E$1809,"@")=TEXT("1300","@"))*(MONTH('General Journal'!$C$10:$C$1809)&gt;=$D$6)*(MONTH('General Journal'!$C$10:$C$1809)&lt;=$H$6)*(ISNUMBER('General Journal'!$C$10:$C$1809))*'General Journal'!$I$10:$I$1809),0)</f>
        <v>0</v>
      </c>
      <c r="H17" s="60" t="n">
        <f aca="false">F17-G17</f>
        <v>0</v>
      </c>
    </row>
    <row r="18" customFormat="false" ht="16.5" hidden="false" customHeight="true" outlineLevel="0" collapsed="false">
      <c r="B18" s="4" t="s">
        <v>23</v>
      </c>
      <c r="C18" s="5" t="s">
        <v>24</v>
      </c>
      <c r="D18" s="6" t="s">
        <v>8</v>
      </c>
      <c r="E18" s="58" t="s">
        <v>9</v>
      </c>
      <c r="F18" s="59" t="n">
        <f aca="false">IFERROR(SUMPRODUCT((TEXT('General Journal'!$E$10:$E$1809,"@")=TEXT("1400","@"))*(MONTH('General Journal'!$C$10:$C$1809)&gt;=$D$6)*(MONTH('General Journal'!$C$10:$C$1809)&lt;=$H$6)*(ISNUMBER('General Journal'!$C$10:$C$1809))*'General Journal'!$H$10:$H$1809),0)</f>
        <v>0</v>
      </c>
      <c r="G18" s="59" t="n">
        <f aca="false">IFERROR(SUMPRODUCT((TEXT('General Journal'!$E$10:$E$1809,"@")=TEXT("1400","@"))*(MONTH('General Journal'!$C$10:$C$1809)&gt;=$D$6)*(MONTH('General Journal'!$C$10:$C$1809)&lt;=$H$6)*(ISNUMBER('General Journal'!$C$10:$C$1809))*'General Journal'!$I$10:$I$1809),0)</f>
        <v>0</v>
      </c>
      <c r="H18" s="60" t="n">
        <f aca="false">F18-G18</f>
        <v>0</v>
      </c>
    </row>
    <row r="19" customFormat="false" ht="16.5" hidden="false" customHeight="true" outlineLevel="0" collapsed="false">
      <c r="B19" s="4" t="s">
        <v>25</v>
      </c>
      <c r="C19" s="5" t="s">
        <v>26</v>
      </c>
      <c r="D19" s="6" t="s">
        <v>8</v>
      </c>
      <c r="E19" s="58" t="s">
        <v>9</v>
      </c>
      <c r="F19" s="59" t="n">
        <f aca="false">IFERROR(SUMPRODUCT((TEXT('General Journal'!$E$10:$E$1809,"@")=TEXT("1500","@"))*(MONTH('General Journal'!$C$10:$C$1809)&gt;=$D$6)*(MONTH('General Journal'!$C$10:$C$1809)&lt;=$H$6)*(ISNUMBER('General Journal'!$C$10:$C$1809))*'General Journal'!$H$10:$H$1809),0)</f>
        <v>0</v>
      </c>
      <c r="G19" s="59" t="n">
        <f aca="false">IFERROR(SUMPRODUCT((TEXT('General Journal'!$E$10:$E$1809,"@")=TEXT("1500","@"))*(MONTH('General Journal'!$C$10:$C$1809)&gt;=$D$6)*(MONTH('General Journal'!$C$10:$C$1809)&lt;=$H$6)*(ISNUMBER('General Journal'!$C$10:$C$1809))*'General Journal'!$I$10:$I$1809),0)</f>
        <v>0</v>
      </c>
      <c r="H19" s="60" t="n">
        <f aca="false">F19-G19</f>
        <v>0</v>
      </c>
    </row>
    <row r="20" customFormat="false" ht="16.5" hidden="false" customHeight="true" outlineLevel="0" collapsed="false">
      <c r="B20" s="7" t="s">
        <v>27</v>
      </c>
      <c r="C20" s="8" t="s">
        <v>28</v>
      </c>
      <c r="D20" s="9" t="s">
        <v>17</v>
      </c>
      <c r="E20" s="61" t="s">
        <v>18</v>
      </c>
      <c r="F20" s="62" t="n">
        <f aca="false">IFERROR(SUMPRODUCT((TEXT('General Journal'!$E$10:$E$1809,"@")=TEXT("1510","@"))*(MONTH('General Journal'!$C$10:$C$1809)&gt;=$D$6)*(MONTH('General Journal'!$C$10:$C$1809)&lt;=$H$6)*(ISNUMBER('General Journal'!$C$10:$C$1809))*'General Journal'!$H$10:$H$1809),0)</f>
        <v>0</v>
      </c>
      <c r="G20" s="62" t="n">
        <f aca="false">IFERROR(SUMPRODUCT((TEXT('General Journal'!$E$10:$E$1809,"@")=TEXT("1510","@"))*(MONTH('General Journal'!$C$10:$C$1809)&gt;=$D$6)*(MONTH('General Journal'!$C$10:$C$1809)&lt;=$H$6)*(ISNUMBER('General Journal'!$C$10:$C$1809))*'General Journal'!$I$10:$I$1809),0)</f>
        <v>0</v>
      </c>
      <c r="H20" s="60" t="n">
        <f aca="false">G20-F20</f>
        <v>0</v>
      </c>
    </row>
    <row r="21" customFormat="false" ht="16.5" hidden="false" customHeight="true" outlineLevel="0" collapsed="false">
      <c r="B21" s="4" t="s">
        <v>29</v>
      </c>
      <c r="C21" s="5" t="s">
        <v>30</v>
      </c>
      <c r="D21" s="6" t="s">
        <v>8</v>
      </c>
      <c r="E21" s="58" t="s">
        <v>9</v>
      </c>
      <c r="F21" s="59" t="n">
        <f aca="false">IFERROR(SUMPRODUCT((TEXT('General Journal'!$E$10:$E$1809,"@")=TEXT("1600","@"))*(MONTH('General Journal'!$C$10:$C$1809)&gt;=$D$6)*(MONTH('General Journal'!$C$10:$C$1809)&lt;=$H$6)*(ISNUMBER('General Journal'!$C$10:$C$1809))*'General Journal'!$H$10:$H$1809),0)</f>
        <v>0</v>
      </c>
      <c r="G21" s="59" t="n">
        <f aca="false">IFERROR(SUMPRODUCT((TEXT('General Journal'!$E$10:$E$1809,"@")=TEXT("1600","@"))*(MONTH('General Journal'!$C$10:$C$1809)&gt;=$D$6)*(MONTH('General Journal'!$C$10:$C$1809)&lt;=$H$6)*(ISNUMBER('General Journal'!$C$10:$C$1809))*'General Journal'!$I$10:$I$1809),0)</f>
        <v>0</v>
      </c>
      <c r="H21" s="60" t="n">
        <f aca="false">F21-G21</f>
        <v>0</v>
      </c>
    </row>
    <row r="22" customFormat="false" ht="16.5" hidden="false" customHeight="true" outlineLevel="0" collapsed="false">
      <c r="B22" s="7" t="s">
        <v>31</v>
      </c>
      <c r="C22" s="8" t="s">
        <v>32</v>
      </c>
      <c r="D22" s="9" t="s">
        <v>17</v>
      </c>
      <c r="E22" s="61" t="s">
        <v>18</v>
      </c>
      <c r="F22" s="62" t="n">
        <f aca="false">IFERROR(SUMPRODUCT((TEXT('General Journal'!$E$10:$E$1809,"@")=TEXT("1610","@"))*(MONTH('General Journal'!$C$10:$C$1809)&gt;=$D$6)*(MONTH('General Journal'!$C$10:$C$1809)&lt;=$H$6)*(ISNUMBER('General Journal'!$C$10:$C$1809))*'General Journal'!$H$10:$H$1809),0)</f>
        <v>0</v>
      </c>
      <c r="G22" s="62" t="n">
        <f aca="false">IFERROR(SUMPRODUCT((TEXT('General Journal'!$E$10:$E$1809,"@")=TEXT("1610","@"))*(MONTH('General Journal'!$C$10:$C$1809)&gt;=$D$6)*(MONTH('General Journal'!$C$10:$C$1809)&lt;=$H$6)*(ISNUMBER('General Journal'!$C$10:$C$1809))*'General Journal'!$I$10:$I$1809),0)</f>
        <v>0</v>
      </c>
      <c r="H22" s="60" t="n">
        <f aca="false">G22-F22</f>
        <v>0</v>
      </c>
    </row>
    <row r="23" customFormat="false" ht="16.5" hidden="false" customHeight="true" outlineLevel="0" collapsed="false">
      <c r="B23" s="4" t="s">
        <v>33</v>
      </c>
      <c r="C23" s="5" t="s">
        <v>34</v>
      </c>
      <c r="D23" s="6" t="s">
        <v>8</v>
      </c>
      <c r="E23" s="58" t="s">
        <v>9</v>
      </c>
      <c r="F23" s="59" t="n">
        <f aca="false">IFERROR(SUMPRODUCT((TEXT('General Journal'!$E$10:$E$1809,"@")=TEXT("1700","@"))*(MONTH('General Journal'!$C$10:$C$1809)&gt;=$D$6)*(MONTH('General Journal'!$C$10:$C$1809)&lt;=$H$6)*(ISNUMBER('General Journal'!$C$10:$C$1809))*'General Journal'!$H$10:$H$1809),0)</f>
        <v>0</v>
      </c>
      <c r="G23" s="59" t="n">
        <f aca="false">IFERROR(SUMPRODUCT((TEXT('General Journal'!$E$10:$E$1809,"@")=TEXT("1700","@"))*(MONTH('General Journal'!$C$10:$C$1809)&gt;=$D$6)*(MONTH('General Journal'!$C$10:$C$1809)&lt;=$H$6)*(ISNUMBER('General Journal'!$C$10:$C$1809))*'General Journal'!$I$10:$I$1809),0)</f>
        <v>0</v>
      </c>
      <c r="H23" s="60" t="n">
        <f aca="false">F23-G23</f>
        <v>0</v>
      </c>
    </row>
    <row r="24" customFormat="false" ht="16.5" hidden="false" customHeight="true" outlineLevel="0" collapsed="false">
      <c r="B24" s="10" t="s">
        <v>35</v>
      </c>
      <c r="C24" s="11" t="s">
        <v>36</v>
      </c>
      <c r="D24" s="12" t="s">
        <v>37</v>
      </c>
      <c r="E24" s="63" t="s">
        <v>18</v>
      </c>
      <c r="F24" s="64" t="n">
        <f aca="false">IFERROR(SUMPRODUCT((TEXT('General Journal'!$E$10:$E$1809,"@")=TEXT("2000","@"))*(MONTH('General Journal'!$C$10:$C$1809)&gt;=$D$6)*(MONTH('General Journal'!$C$10:$C$1809)&lt;=$H$6)*(ISNUMBER('General Journal'!$C$10:$C$1809))*'General Journal'!$H$10:$H$1809),0)</f>
        <v>0</v>
      </c>
      <c r="G24" s="64" t="n">
        <f aca="false">IFERROR(SUMPRODUCT((TEXT('General Journal'!$E$10:$E$1809,"@")=TEXT("2000","@"))*(MONTH('General Journal'!$C$10:$C$1809)&gt;=$D$6)*(MONTH('General Journal'!$C$10:$C$1809)&lt;=$H$6)*(ISNUMBER('General Journal'!$C$10:$C$1809))*'General Journal'!$I$10:$I$1809),0)</f>
        <v>0</v>
      </c>
      <c r="H24" s="60" t="n">
        <f aca="false">G24-F24</f>
        <v>0</v>
      </c>
    </row>
    <row r="25" customFormat="false" ht="16.5" hidden="false" customHeight="true" outlineLevel="0" collapsed="false">
      <c r="B25" s="10" t="s">
        <v>38</v>
      </c>
      <c r="C25" s="11" t="s">
        <v>39</v>
      </c>
      <c r="D25" s="12" t="s">
        <v>37</v>
      </c>
      <c r="E25" s="63" t="s">
        <v>18</v>
      </c>
      <c r="F25" s="64" t="n">
        <f aca="false">IFERROR(SUMPRODUCT((TEXT('General Journal'!$E$10:$E$1809,"@")=TEXT("2100","@"))*(MONTH('General Journal'!$C$10:$C$1809)&gt;=$D$6)*(MONTH('General Journal'!$C$10:$C$1809)&lt;=$H$6)*(ISNUMBER('General Journal'!$C$10:$C$1809))*'General Journal'!$H$10:$H$1809),0)</f>
        <v>0</v>
      </c>
      <c r="G25" s="64" t="n">
        <f aca="false">IFERROR(SUMPRODUCT((TEXT('General Journal'!$E$10:$E$1809,"@")=TEXT("2100","@"))*(MONTH('General Journal'!$C$10:$C$1809)&gt;=$D$6)*(MONTH('General Journal'!$C$10:$C$1809)&lt;=$H$6)*(ISNUMBER('General Journal'!$C$10:$C$1809))*'General Journal'!$I$10:$I$1809),0)</f>
        <v>0</v>
      </c>
      <c r="H25" s="60" t="n">
        <f aca="false">G25-F25</f>
        <v>0</v>
      </c>
    </row>
    <row r="26" customFormat="false" ht="16.5" hidden="false" customHeight="true" outlineLevel="0" collapsed="false">
      <c r="B26" s="10" t="s">
        <v>40</v>
      </c>
      <c r="C26" s="11" t="s">
        <v>41</v>
      </c>
      <c r="D26" s="12" t="s">
        <v>37</v>
      </c>
      <c r="E26" s="63" t="s">
        <v>18</v>
      </c>
      <c r="F26" s="64" t="n">
        <f aca="false">IFERROR(SUMPRODUCT((TEXT('General Journal'!$E$10:$E$1809,"@")=TEXT("2200","@"))*(MONTH('General Journal'!$C$10:$C$1809)&gt;=$D$6)*(MONTH('General Journal'!$C$10:$C$1809)&lt;=$H$6)*(ISNUMBER('General Journal'!$C$10:$C$1809))*'General Journal'!$H$10:$H$1809),0)</f>
        <v>0</v>
      </c>
      <c r="G26" s="64" t="n">
        <f aca="false">IFERROR(SUMPRODUCT((TEXT('General Journal'!$E$10:$E$1809,"@")=TEXT("2200","@"))*(MONTH('General Journal'!$C$10:$C$1809)&gt;=$D$6)*(MONTH('General Journal'!$C$10:$C$1809)&lt;=$H$6)*(ISNUMBER('General Journal'!$C$10:$C$1809))*'General Journal'!$I$10:$I$1809),0)</f>
        <v>0</v>
      </c>
      <c r="H26" s="60" t="n">
        <f aca="false">G26-F26</f>
        <v>0</v>
      </c>
    </row>
    <row r="27" customFormat="false" ht="16.5" hidden="false" customHeight="true" outlineLevel="0" collapsed="false">
      <c r="B27" s="10" t="s">
        <v>42</v>
      </c>
      <c r="C27" s="11" t="s">
        <v>43</v>
      </c>
      <c r="D27" s="12" t="s">
        <v>37</v>
      </c>
      <c r="E27" s="63" t="s">
        <v>18</v>
      </c>
      <c r="F27" s="64" t="n">
        <f aca="false">IFERROR(SUMPRODUCT((TEXT('General Journal'!$E$10:$E$1809,"@")=TEXT("2300","@"))*(MONTH('General Journal'!$C$10:$C$1809)&gt;=$D$6)*(MONTH('General Journal'!$C$10:$C$1809)&lt;=$H$6)*(ISNUMBER('General Journal'!$C$10:$C$1809))*'General Journal'!$H$10:$H$1809),0)</f>
        <v>0</v>
      </c>
      <c r="G27" s="64" t="n">
        <f aca="false">IFERROR(SUMPRODUCT((TEXT('General Journal'!$E$10:$E$1809,"@")=TEXT("2300","@"))*(MONTH('General Journal'!$C$10:$C$1809)&gt;=$D$6)*(MONTH('General Journal'!$C$10:$C$1809)&lt;=$H$6)*(ISNUMBER('General Journal'!$C$10:$C$1809))*'General Journal'!$I$10:$I$1809),0)</f>
        <v>0</v>
      </c>
      <c r="H27" s="60" t="n">
        <f aca="false">G27-F27</f>
        <v>0</v>
      </c>
    </row>
    <row r="28" customFormat="false" ht="16.5" hidden="false" customHeight="true" outlineLevel="0" collapsed="false">
      <c r="B28" s="10" t="s">
        <v>44</v>
      </c>
      <c r="C28" s="11" t="s">
        <v>45</v>
      </c>
      <c r="D28" s="12" t="s">
        <v>37</v>
      </c>
      <c r="E28" s="63" t="s">
        <v>18</v>
      </c>
      <c r="F28" s="64" t="n">
        <f aca="false">IFERROR(SUMPRODUCT((TEXT('General Journal'!$E$10:$E$1809,"@")=TEXT("2400","@"))*(MONTH('General Journal'!$C$10:$C$1809)&gt;=$D$6)*(MONTH('General Journal'!$C$10:$C$1809)&lt;=$H$6)*(ISNUMBER('General Journal'!$C$10:$C$1809))*'General Journal'!$H$10:$H$1809),0)</f>
        <v>0</v>
      </c>
      <c r="G28" s="64" t="n">
        <f aca="false">IFERROR(SUMPRODUCT((TEXT('General Journal'!$E$10:$E$1809,"@")=TEXT("2400","@"))*(MONTH('General Journal'!$C$10:$C$1809)&gt;=$D$6)*(MONTH('General Journal'!$C$10:$C$1809)&lt;=$H$6)*(ISNUMBER('General Journal'!$C$10:$C$1809))*'General Journal'!$I$10:$I$1809),0)</f>
        <v>0</v>
      </c>
      <c r="H28" s="60" t="n">
        <f aca="false">G28-F28</f>
        <v>0</v>
      </c>
    </row>
    <row r="29" customFormat="false" ht="16.5" hidden="false" customHeight="true" outlineLevel="0" collapsed="false">
      <c r="B29" s="10" t="s">
        <v>46</v>
      </c>
      <c r="C29" s="11" t="s">
        <v>47</v>
      </c>
      <c r="D29" s="12" t="s">
        <v>37</v>
      </c>
      <c r="E29" s="63" t="s">
        <v>18</v>
      </c>
      <c r="F29" s="64" t="n">
        <f aca="false">IFERROR(SUMPRODUCT((TEXT('General Journal'!$E$10:$E$1809,"@")=TEXT("2500","@"))*(MONTH('General Journal'!$C$10:$C$1809)&gt;=$D$6)*(MONTH('General Journal'!$C$10:$C$1809)&lt;=$H$6)*(ISNUMBER('General Journal'!$C$10:$C$1809))*'General Journal'!$H$10:$H$1809),0)</f>
        <v>0</v>
      </c>
      <c r="G29" s="64" t="n">
        <f aca="false">IFERROR(SUMPRODUCT((TEXT('General Journal'!$E$10:$E$1809,"@")=TEXT("2500","@"))*(MONTH('General Journal'!$C$10:$C$1809)&gt;=$D$6)*(MONTH('General Journal'!$C$10:$C$1809)&lt;=$H$6)*(ISNUMBER('General Journal'!$C$10:$C$1809))*'General Journal'!$I$10:$I$1809),0)</f>
        <v>0</v>
      </c>
      <c r="H29" s="60" t="n">
        <f aca="false">G29-F29</f>
        <v>0</v>
      </c>
    </row>
    <row r="30" customFormat="false" ht="16.5" hidden="false" customHeight="true" outlineLevel="0" collapsed="false">
      <c r="B30" s="10" t="s">
        <v>48</v>
      </c>
      <c r="C30" s="11" t="s">
        <v>49</v>
      </c>
      <c r="D30" s="12" t="s">
        <v>37</v>
      </c>
      <c r="E30" s="63" t="s">
        <v>18</v>
      </c>
      <c r="F30" s="64" t="n">
        <f aca="false">IFERROR(SUMPRODUCT((TEXT('General Journal'!$E$10:$E$1809,"@")=TEXT("2600","@"))*(MONTH('General Journal'!$C$10:$C$1809)&gt;=$D$6)*(MONTH('General Journal'!$C$10:$C$1809)&lt;=$H$6)*(ISNUMBER('General Journal'!$C$10:$C$1809))*'General Journal'!$H$10:$H$1809),0)</f>
        <v>0</v>
      </c>
      <c r="G30" s="64" t="n">
        <f aca="false">IFERROR(SUMPRODUCT((TEXT('General Journal'!$E$10:$E$1809,"@")=TEXT("2600","@"))*(MONTH('General Journal'!$C$10:$C$1809)&gt;=$D$6)*(MONTH('General Journal'!$C$10:$C$1809)&lt;=$H$6)*(ISNUMBER('General Journal'!$C$10:$C$1809))*'General Journal'!$I$10:$I$1809),0)</f>
        <v>0</v>
      </c>
      <c r="H30" s="60" t="n">
        <f aca="false">G30-F30</f>
        <v>0</v>
      </c>
    </row>
    <row r="31" customFormat="false" ht="16.5" hidden="false" customHeight="true" outlineLevel="0" collapsed="false">
      <c r="B31" s="10" t="s">
        <v>50</v>
      </c>
      <c r="C31" s="11" t="s">
        <v>51</v>
      </c>
      <c r="D31" s="12" t="s">
        <v>37</v>
      </c>
      <c r="E31" s="63" t="s">
        <v>18</v>
      </c>
      <c r="F31" s="64" t="n">
        <f aca="false">IFERROR(SUMPRODUCT((TEXT('General Journal'!$E$10:$E$1809,"@")=TEXT("2700","@"))*(MONTH('General Journal'!$C$10:$C$1809)&gt;=$D$6)*(MONTH('General Journal'!$C$10:$C$1809)&lt;=$H$6)*(ISNUMBER('General Journal'!$C$10:$C$1809))*'General Journal'!$H$10:$H$1809),0)</f>
        <v>0</v>
      </c>
      <c r="G31" s="64" t="n">
        <f aca="false">IFERROR(SUMPRODUCT((TEXT('General Journal'!$E$10:$E$1809,"@")=TEXT("2700","@"))*(MONTH('General Journal'!$C$10:$C$1809)&gt;=$D$6)*(MONTH('General Journal'!$C$10:$C$1809)&lt;=$H$6)*(ISNUMBER('General Journal'!$C$10:$C$1809))*'General Journal'!$I$10:$I$1809),0)</f>
        <v>0</v>
      </c>
      <c r="H31" s="60" t="n">
        <f aca="false">G31-F31</f>
        <v>0</v>
      </c>
    </row>
    <row r="32" customFormat="false" ht="16.5" hidden="false" customHeight="true" outlineLevel="0" collapsed="false">
      <c r="B32" s="13" t="s">
        <v>52</v>
      </c>
      <c r="C32" s="14" t="s">
        <v>53</v>
      </c>
      <c r="D32" s="15" t="s">
        <v>54</v>
      </c>
      <c r="E32" s="65" t="s">
        <v>18</v>
      </c>
      <c r="F32" s="66" t="n">
        <f aca="false">IFERROR(SUMPRODUCT((TEXT('General Journal'!$E$10:$E$1809,"@")=TEXT("3000","@"))*(MONTH('General Journal'!$C$10:$C$1809)&gt;=$D$6)*(MONTH('General Journal'!$C$10:$C$1809)&lt;=$H$6)*(ISNUMBER('General Journal'!$C$10:$C$1809))*'General Journal'!$H$10:$H$1809),0)</f>
        <v>0</v>
      </c>
      <c r="G32" s="66" t="n">
        <f aca="false">IFERROR(SUMPRODUCT((TEXT('General Journal'!$E$10:$E$1809,"@")=TEXT("3000","@"))*(MONTH('General Journal'!$C$10:$C$1809)&gt;=$D$6)*(MONTH('General Journal'!$C$10:$C$1809)&lt;=$H$6)*(ISNUMBER('General Journal'!$C$10:$C$1809))*'General Journal'!$I$10:$I$1809),0)</f>
        <v>0</v>
      </c>
      <c r="H32" s="60" t="n">
        <f aca="false">G32-F32</f>
        <v>0</v>
      </c>
    </row>
    <row r="33" customFormat="false" ht="16.5" hidden="false" customHeight="true" outlineLevel="0" collapsed="false">
      <c r="B33" s="13" t="s">
        <v>55</v>
      </c>
      <c r="C33" s="14" t="s">
        <v>56</v>
      </c>
      <c r="D33" s="15" t="s">
        <v>54</v>
      </c>
      <c r="E33" s="65" t="s">
        <v>18</v>
      </c>
      <c r="F33" s="66" t="n">
        <f aca="false">IFERROR(SUMPRODUCT((TEXT('General Journal'!$E$10:$E$1809,"@")=TEXT("3100","@"))*(MONTH('General Journal'!$C$10:$C$1809)&gt;=$D$6)*(MONTH('General Journal'!$C$10:$C$1809)&lt;=$H$6)*(ISNUMBER('General Journal'!$C$10:$C$1809))*'General Journal'!$H$10:$H$1809),0)</f>
        <v>0</v>
      </c>
      <c r="G33" s="66" t="n">
        <f aca="false">IFERROR(SUMPRODUCT((TEXT('General Journal'!$E$10:$E$1809,"@")=TEXT("3100","@"))*(MONTH('General Journal'!$C$10:$C$1809)&gt;=$D$6)*(MONTH('General Journal'!$C$10:$C$1809)&lt;=$H$6)*(ISNUMBER('General Journal'!$C$10:$C$1809))*'General Journal'!$I$10:$I$1809),0)</f>
        <v>0</v>
      </c>
      <c r="H33" s="60" t="n">
        <f aca="false">G33-F33</f>
        <v>0</v>
      </c>
    </row>
    <row r="34" customFormat="false" ht="16.5" hidden="false" customHeight="true" outlineLevel="0" collapsed="false">
      <c r="B34" s="13" t="s">
        <v>57</v>
      </c>
      <c r="C34" s="14" t="s">
        <v>58</v>
      </c>
      <c r="D34" s="15" t="s">
        <v>54</v>
      </c>
      <c r="E34" s="65" t="s">
        <v>18</v>
      </c>
      <c r="F34" s="66" t="n">
        <f aca="false">IFERROR(SUMPRODUCT((TEXT('General Journal'!$E$10:$E$1809,"@")=TEXT("3200","@"))*(MONTH('General Journal'!$C$10:$C$1809)&gt;=$D$6)*(MONTH('General Journal'!$C$10:$C$1809)&lt;=$H$6)*(ISNUMBER('General Journal'!$C$10:$C$1809))*'General Journal'!$H$10:$H$1809),0)</f>
        <v>0</v>
      </c>
      <c r="G34" s="66" t="n">
        <f aca="false">IFERROR(SUMPRODUCT((TEXT('General Journal'!$E$10:$E$1809,"@")=TEXT("3200","@"))*(MONTH('General Journal'!$C$10:$C$1809)&gt;=$D$6)*(MONTH('General Journal'!$C$10:$C$1809)&lt;=$H$6)*(ISNUMBER('General Journal'!$C$10:$C$1809))*'General Journal'!$I$10:$I$1809),0)</f>
        <v>0</v>
      </c>
      <c r="H34" s="60" t="n">
        <f aca="false">G34-F34</f>
        <v>0</v>
      </c>
    </row>
    <row r="35" customFormat="false" ht="16.5" hidden="false" customHeight="true" outlineLevel="0" collapsed="false">
      <c r="B35" s="13" t="s">
        <v>59</v>
      </c>
      <c r="C35" s="14" t="s">
        <v>60</v>
      </c>
      <c r="D35" s="15" t="s">
        <v>54</v>
      </c>
      <c r="E35" s="67" t="s">
        <v>9</v>
      </c>
      <c r="F35" s="66" t="n">
        <f aca="false">IFERROR(SUMPRODUCT((TEXT('General Journal'!$E$10:$E$1809,"@")=TEXT("3300","@"))*(MONTH('General Journal'!$C$10:$C$1809)&gt;=$D$6)*(MONTH('General Journal'!$C$10:$C$1809)&lt;=$H$6)*(ISNUMBER('General Journal'!$C$10:$C$1809))*'General Journal'!$H$10:$H$1809),0)</f>
        <v>0</v>
      </c>
      <c r="G35" s="66" t="n">
        <f aca="false">IFERROR(SUMPRODUCT((TEXT('General Journal'!$E$10:$E$1809,"@")=TEXT("3300","@"))*(MONTH('General Journal'!$C$10:$C$1809)&gt;=$D$6)*(MONTH('General Journal'!$C$10:$C$1809)&lt;=$H$6)*(ISNUMBER('General Journal'!$C$10:$C$1809))*'General Journal'!$I$10:$I$1809),0)</f>
        <v>0</v>
      </c>
      <c r="H35" s="60" t="n">
        <f aca="false">F35-G35</f>
        <v>0</v>
      </c>
    </row>
    <row r="36" customFormat="false" ht="16.5" hidden="false" customHeight="true" outlineLevel="0" collapsed="false">
      <c r="B36" s="16" t="s">
        <v>61</v>
      </c>
      <c r="C36" s="17" t="s">
        <v>62</v>
      </c>
      <c r="D36" s="18" t="s">
        <v>63</v>
      </c>
      <c r="E36" s="68" t="s">
        <v>18</v>
      </c>
      <c r="F36" s="69" t="n">
        <f aca="false">IFERROR(SUMPRODUCT((TEXT('General Journal'!$E$10:$E$1809,"@")=TEXT("4000","@"))*(MONTH('General Journal'!$C$10:$C$1809)&gt;=$D$6)*(MONTH('General Journal'!$C$10:$C$1809)&lt;=$H$6)*(ISNUMBER('General Journal'!$C$10:$C$1809))*'General Journal'!$H$10:$H$1809),0)</f>
        <v>0</v>
      </c>
      <c r="G36" s="69" t="n">
        <f aca="false">IFERROR(SUMPRODUCT((TEXT('General Journal'!$E$10:$E$1809,"@")=TEXT("4000","@"))*(MONTH('General Journal'!$C$10:$C$1809)&gt;=$D$6)*(MONTH('General Journal'!$C$10:$C$1809)&lt;=$H$6)*(ISNUMBER('General Journal'!$C$10:$C$1809))*'General Journal'!$I$10:$I$1809),0)</f>
        <v>0</v>
      </c>
      <c r="H36" s="60" t="n">
        <f aca="false">G36-F36</f>
        <v>0</v>
      </c>
    </row>
    <row r="37" customFormat="false" ht="16.5" hidden="false" customHeight="true" outlineLevel="0" collapsed="false">
      <c r="B37" s="16" t="s">
        <v>65</v>
      </c>
      <c r="C37" s="17" t="s">
        <v>66</v>
      </c>
      <c r="D37" s="18" t="s">
        <v>63</v>
      </c>
      <c r="E37" s="68" t="s">
        <v>18</v>
      </c>
      <c r="F37" s="69" t="n">
        <f aca="false">IFERROR(SUMPRODUCT((TEXT('General Journal'!$E$10:$E$1809,"@")=TEXT("4100","@"))*(MONTH('General Journal'!$C$10:$C$1809)&gt;=$D$6)*(MONTH('General Journal'!$C$10:$C$1809)&lt;=$H$6)*(ISNUMBER('General Journal'!$C$10:$C$1809))*'General Journal'!$H$10:$H$1809),0)</f>
        <v>0</v>
      </c>
      <c r="G37" s="69" t="n">
        <f aca="false">IFERROR(SUMPRODUCT((TEXT('General Journal'!$E$10:$E$1809,"@")=TEXT("4100","@"))*(MONTH('General Journal'!$C$10:$C$1809)&gt;=$D$6)*(MONTH('General Journal'!$C$10:$C$1809)&lt;=$H$6)*(ISNUMBER('General Journal'!$C$10:$C$1809))*'General Journal'!$I$10:$I$1809),0)</f>
        <v>0</v>
      </c>
      <c r="H37" s="60" t="n">
        <f aca="false">G37-F37</f>
        <v>0</v>
      </c>
    </row>
    <row r="38" customFormat="false" ht="16.5" hidden="false" customHeight="true" outlineLevel="0" collapsed="false">
      <c r="B38" s="16" t="s">
        <v>67</v>
      </c>
      <c r="C38" s="17" t="s">
        <v>68</v>
      </c>
      <c r="D38" s="18" t="s">
        <v>63</v>
      </c>
      <c r="E38" s="68" t="s">
        <v>18</v>
      </c>
      <c r="F38" s="69" t="n">
        <f aca="false">IFERROR(SUMPRODUCT((TEXT('General Journal'!$E$10:$E$1809,"@")=TEXT("4200","@"))*(MONTH('General Journal'!$C$10:$C$1809)&gt;=$D$6)*(MONTH('General Journal'!$C$10:$C$1809)&lt;=$H$6)*(ISNUMBER('General Journal'!$C$10:$C$1809))*'General Journal'!$H$10:$H$1809),0)</f>
        <v>0</v>
      </c>
      <c r="G38" s="69" t="n">
        <f aca="false">IFERROR(SUMPRODUCT((TEXT('General Journal'!$E$10:$E$1809,"@")=TEXT("4200","@"))*(MONTH('General Journal'!$C$10:$C$1809)&gt;=$D$6)*(MONTH('General Journal'!$C$10:$C$1809)&lt;=$H$6)*(ISNUMBER('General Journal'!$C$10:$C$1809))*'General Journal'!$I$10:$I$1809),0)</f>
        <v>0</v>
      </c>
      <c r="H38" s="60" t="n">
        <f aca="false">G38-F38</f>
        <v>0</v>
      </c>
    </row>
    <row r="39" customFormat="false" ht="16.5" hidden="false" customHeight="true" outlineLevel="0" collapsed="false">
      <c r="B39" s="16" t="s">
        <v>69</v>
      </c>
      <c r="C39" s="17" t="s">
        <v>70</v>
      </c>
      <c r="D39" s="18" t="s">
        <v>63</v>
      </c>
      <c r="E39" s="68" t="s">
        <v>18</v>
      </c>
      <c r="F39" s="69" t="n">
        <f aca="false">IFERROR(SUMPRODUCT((TEXT('General Journal'!$E$10:$E$1809,"@")=TEXT("4300","@"))*(MONTH('General Journal'!$C$10:$C$1809)&gt;=$D$6)*(MONTH('General Journal'!$C$10:$C$1809)&lt;=$H$6)*(ISNUMBER('General Journal'!$C$10:$C$1809))*'General Journal'!$H$10:$H$1809),0)</f>
        <v>0</v>
      </c>
      <c r="G39" s="69" t="n">
        <f aca="false">IFERROR(SUMPRODUCT((TEXT('General Journal'!$E$10:$E$1809,"@")=TEXT("4300","@"))*(MONTH('General Journal'!$C$10:$C$1809)&gt;=$D$6)*(MONTH('General Journal'!$C$10:$C$1809)&lt;=$H$6)*(ISNUMBER('General Journal'!$C$10:$C$1809))*'General Journal'!$I$10:$I$1809),0)</f>
        <v>0</v>
      </c>
      <c r="H39" s="60" t="n">
        <f aca="false">G39-F39</f>
        <v>0</v>
      </c>
    </row>
    <row r="40" customFormat="false" ht="16.5" hidden="false" customHeight="true" outlineLevel="0" collapsed="false">
      <c r="B40" s="19" t="s">
        <v>71</v>
      </c>
      <c r="C40" s="20" t="s">
        <v>72</v>
      </c>
      <c r="D40" s="21" t="s">
        <v>73</v>
      </c>
      <c r="E40" s="70" t="s">
        <v>9</v>
      </c>
      <c r="F40" s="71" t="n">
        <f aca="false">IFERROR(SUMPRODUCT((TEXT('General Journal'!$E$10:$E$1809,"@")=TEXT("5000","@"))*(MONTH('General Journal'!$C$10:$C$1809)&gt;=$D$6)*(MONTH('General Journal'!$C$10:$C$1809)&lt;=$H$6)*(ISNUMBER('General Journal'!$C$10:$C$1809))*'General Journal'!$H$10:$H$1809),0)</f>
        <v>0</v>
      </c>
      <c r="G40" s="71" t="n">
        <f aca="false">IFERROR(SUMPRODUCT((TEXT('General Journal'!$E$10:$E$1809,"@")=TEXT("5000","@"))*(MONTH('General Journal'!$C$10:$C$1809)&gt;=$D$6)*(MONTH('General Journal'!$C$10:$C$1809)&lt;=$H$6)*(ISNUMBER('General Journal'!$C$10:$C$1809))*'General Journal'!$I$10:$I$1809),0)</f>
        <v>0</v>
      </c>
      <c r="H40" s="60" t="n">
        <f aca="false">F40-G40</f>
        <v>0</v>
      </c>
    </row>
    <row r="41" customFormat="false" ht="16.5" hidden="false" customHeight="true" outlineLevel="0" collapsed="false">
      <c r="B41" s="19" t="s">
        <v>74</v>
      </c>
      <c r="C41" s="20" t="s">
        <v>75</v>
      </c>
      <c r="D41" s="21" t="s">
        <v>73</v>
      </c>
      <c r="E41" s="70" t="s">
        <v>9</v>
      </c>
      <c r="F41" s="71" t="n">
        <f aca="false">IFERROR(SUMPRODUCT((TEXT('General Journal'!$E$10:$E$1809,"@")=TEXT("5100","@"))*(MONTH('General Journal'!$C$10:$C$1809)&gt;=$D$6)*(MONTH('General Journal'!$C$10:$C$1809)&lt;=$H$6)*(ISNUMBER('General Journal'!$C$10:$C$1809))*'General Journal'!$H$10:$H$1809),0)</f>
        <v>0</v>
      </c>
      <c r="G41" s="71" t="n">
        <f aca="false">IFERROR(SUMPRODUCT((TEXT('General Journal'!$E$10:$E$1809,"@")=TEXT("5100","@"))*(MONTH('General Journal'!$C$10:$C$1809)&gt;=$D$6)*(MONTH('General Journal'!$C$10:$C$1809)&lt;=$H$6)*(ISNUMBER('General Journal'!$C$10:$C$1809))*'General Journal'!$I$10:$I$1809),0)</f>
        <v>0</v>
      </c>
      <c r="H41" s="60" t="n">
        <f aca="false">F41-G41</f>
        <v>0</v>
      </c>
    </row>
    <row r="42" customFormat="false" ht="16.5" hidden="false" customHeight="true" outlineLevel="0" collapsed="false">
      <c r="B42" s="19" t="s">
        <v>76</v>
      </c>
      <c r="C42" s="20" t="s">
        <v>77</v>
      </c>
      <c r="D42" s="21" t="s">
        <v>73</v>
      </c>
      <c r="E42" s="70" t="s">
        <v>9</v>
      </c>
      <c r="F42" s="71" t="n">
        <f aca="false">IFERROR(SUMPRODUCT((TEXT('General Journal'!$E$10:$E$1809,"@")=TEXT("5200","@"))*(MONTH('General Journal'!$C$10:$C$1809)&gt;=$D$6)*(MONTH('General Journal'!$C$10:$C$1809)&lt;=$H$6)*(ISNUMBER('General Journal'!$C$10:$C$1809))*'General Journal'!$H$10:$H$1809),0)</f>
        <v>0</v>
      </c>
      <c r="G42" s="71" t="n">
        <f aca="false">IFERROR(SUMPRODUCT((TEXT('General Journal'!$E$10:$E$1809,"@")=TEXT("5200","@"))*(MONTH('General Journal'!$C$10:$C$1809)&gt;=$D$6)*(MONTH('General Journal'!$C$10:$C$1809)&lt;=$H$6)*(ISNUMBER('General Journal'!$C$10:$C$1809))*'General Journal'!$I$10:$I$1809),0)</f>
        <v>0</v>
      </c>
      <c r="H42" s="60" t="n">
        <f aca="false">F42-G42</f>
        <v>0</v>
      </c>
    </row>
    <row r="43" customFormat="false" ht="16.5" hidden="false" customHeight="true" outlineLevel="0" collapsed="false">
      <c r="B43" s="19" t="s">
        <v>78</v>
      </c>
      <c r="C43" s="20" t="s">
        <v>79</v>
      </c>
      <c r="D43" s="21" t="s">
        <v>73</v>
      </c>
      <c r="E43" s="70" t="s">
        <v>9</v>
      </c>
      <c r="F43" s="71" t="n">
        <f aca="false">IFERROR(SUMPRODUCT((TEXT('General Journal'!$E$10:$E$1809,"@")=TEXT("5300","@"))*(MONTH('General Journal'!$C$10:$C$1809)&gt;=$D$6)*(MONTH('General Journal'!$C$10:$C$1809)&lt;=$H$6)*(ISNUMBER('General Journal'!$C$10:$C$1809))*'General Journal'!$H$10:$H$1809),0)</f>
        <v>0</v>
      </c>
      <c r="G43" s="71" t="n">
        <f aca="false">IFERROR(SUMPRODUCT((TEXT('General Journal'!$E$10:$E$1809,"@")=TEXT("5300","@"))*(MONTH('General Journal'!$C$10:$C$1809)&gt;=$D$6)*(MONTH('General Journal'!$C$10:$C$1809)&lt;=$H$6)*(ISNUMBER('General Journal'!$C$10:$C$1809))*'General Journal'!$I$10:$I$1809),0)</f>
        <v>0</v>
      </c>
      <c r="H43" s="60" t="n">
        <f aca="false">F43-G43</f>
        <v>0</v>
      </c>
    </row>
    <row r="44" customFormat="false" ht="16.5" hidden="false" customHeight="true" outlineLevel="0" collapsed="false">
      <c r="B44" s="19" t="s">
        <v>80</v>
      </c>
      <c r="C44" s="20" t="s">
        <v>81</v>
      </c>
      <c r="D44" s="21" t="s">
        <v>73</v>
      </c>
      <c r="E44" s="70" t="s">
        <v>9</v>
      </c>
      <c r="F44" s="71" t="n">
        <f aca="false">IFERROR(SUMPRODUCT((TEXT('General Journal'!$E$10:$E$1809,"@")=TEXT("5400","@"))*(MONTH('General Journal'!$C$10:$C$1809)&gt;=$D$6)*(MONTH('General Journal'!$C$10:$C$1809)&lt;=$H$6)*(ISNUMBER('General Journal'!$C$10:$C$1809))*'General Journal'!$H$10:$H$1809),0)</f>
        <v>0</v>
      </c>
      <c r="G44" s="71" t="n">
        <f aca="false">IFERROR(SUMPRODUCT((TEXT('General Journal'!$E$10:$E$1809,"@")=TEXT("5400","@"))*(MONTH('General Journal'!$C$10:$C$1809)&gt;=$D$6)*(MONTH('General Journal'!$C$10:$C$1809)&lt;=$H$6)*(ISNUMBER('General Journal'!$C$10:$C$1809))*'General Journal'!$I$10:$I$1809),0)</f>
        <v>0</v>
      </c>
      <c r="H44" s="60" t="n">
        <f aca="false">F44-G44</f>
        <v>0</v>
      </c>
    </row>
    <row r="45" customFormat="false" ht="16.5" hidden="false" customHeight="true" outlineLevel="0" collapsed="false">
      <c r="B45" s="19" t="s">
        <v>82</v>
      </c>
      <c r="C45" s="20" t="s">
        <v>83</v>
      </c>
      <c r="D45" s="21" t="s">
        <v>73</v>
      </c>
      <c r="E45" s="70" t="s">
        <v>9</v>
      </c>
      <c r="F45" s="71" t="n">
        <f aca="false">IFERROR(SUMPRODUCT((TEXT('General Journal'!$E$10:$E$1809,"@")=TEXT("5500","@"))*(MONTH('General Journal'!$C$10:$C$1809)&gt;=$D$6)*(MONTH('General Journal'!$C$10:$C$1809)&lt;=$H$6)*(ISNUMBER('General Journal'!$C$10:$C$1809))*'General Journal'!$H$10:$H$1809),0)</f>
        <v>0</v>
      </c>
      <c r="G45" s="71" t="n">
        <f aca="false">IFERROR(SUMPRODUCT((TEXT('General Journal'!$E$10:$E$1809,"@")=TEXT("5500","@"))*(MONTH('General Journal'!$C$10:$C$1809)&gt;=$D$6)*(MONTH('General Journal'!$C$10:$C$1809)&lt;=$H$6)*(ISNUMBER('General Journal'!$C$10:$C$1809))*'General Journal'!$I$10:$I$1809),0)</f>
        <v>0</v>
      </c>
      <c r="H45" s="60" t="n">
        <f aca="false">F45-G45</f>
        <v>0</v>
      </c>
    </row>
    <row r="46" customFormat="false" ht="16.5" hidden="false" customHeight="true" outlineLevel="0" collapsed="false">
      <c r="B46" s="19" t="s">
        <v>84</v>
      </c>
      <c r="C46" s="20" t="s">
        <v>85</v>
      </c>
      <c r="D46" s="21" t="s">
        <v>73</v>
      </c>
      <c r="E46" s="70" t="s">
        <v>9</v>
      </c>
      <c r="F46" s="71" t="n">
        <f aca="false">IFERROR(SUMPRODUCT((TEXT('General Journal'!$E$10:$E$1809,"@")=TEXT("5600","@"))*(MONTH('General Journal'!$C$10:$C$1809)&gt;=$D$6)*(MONTH('General Journal'!$C$10:$C$1809)&lt;=$H$6)*(ISNUMBER('General Journal'!$C$10:$C$1809))*'General Journal'!$H$10:$H$1809),0)</f>
        <v>0</v>
      </c>
      <c r="G46" s="71" t="n">
        <f aca="false">IFERROR(SUMPRODUCT((TEXT('General Journal'!$E$10:$E$1809,"@")=TEXT("5600","@"))*(MONTH('General Journal'!$C$10:$C$1809)&gt;=$D$6)*(MONTH('General Journal'!$C$10:$C$1809)&lt;=$H$6)*(ISNUMBER('General Journal'!$C$10:$C$1809))*'General Journal'!$I$10:$I$1809),0)</f>
        <v>0</v>
      </c>
      <c r="H46" s="60" t="n">
        <f aca="false">F46-G46</f>
        <v>0</v>
      </c>
    </row>
    <row r="47" customFormat="false" ht="16.5" hidden="false" customHeight="true" outlineLevel="0" collapsed="false">
      <c r="B47" s="19" t="s">
        <v>86</v>
      </c>
      <c r="C47" s="20" t="s">
        <v>87</v>
      </c>
      <c r="D47" s="21" t="s">
        <v>73</v>
      </c>
      <c r="E47" s="70" t="s">
        <v>9</v>
      </c>
      <c r="F47" s="71" t="n">
        <f aca="false">IFERROR(SUMPRODUCT((TEXT('General Journal'!$E$10:$E$1809,"@")=TEXT("5700","@"))*(MONTH('General Journal'!$C$10:$C$1809)&gt;=$D$6)*(MONTH('General Journal'!$C$10:$C$1809)&lt;=$H$6)*(ISNUMBER('General Journal'!$C$10:$C$1809))*'General Journal'!$H$10:$H$1809),0)</f>
        <v>0</v>
      </c>
      <c r="G47" s="71" t="n">
        <f aca="false">IFERROR(SUMPRODUCT((TEXT('General Journal'!$E$10:$E$1809,"@")=TEXT("5700","@"))*(MONTH('General Journal'!$C$10:$C$1809)&gt;=$D$6)*(MONTH('General Journal'!$C$10:$C$1809)&lt;=$H$6)*(ISNUMBER('General Journal'!$C$10:$C$1809))*'General Journal'!$I$10:$I$1809),0)</f>
        <v>0</v>
      </c>
      <c r="H47" s="60" t="n">
        <f aca="false">F47-G47</f>
        <v>0</v>
      </c>
    </row>
    <row r="48" customFormat="false" ht="16.5" hidden="false" customHeight="true" outlineLevel="0" collapsed="false">
      <c r="B48" s="19" t="s">
        <v>88</v>
      </c>
      <c r="C48" s="20" t="s">
        <v>89</v>
      </c>
      <c r="D48" s="21" t="s">
        <v>73</v>
      </c>
      <c r="E48" s="70" t="s">
        <v>9</v>
      </c>
      <c r="F48" s="71" t="n">
        <f aca="false">IFERROR(SUMPRODUCT((TEXT('General Journal'!$E$10:$E$1809,"@")=TEXT("5800","@"))*(MONTH('General Journal'!$C$10:$C$1809)&gt;=$D$6)*(MONTH('General Journal'!$C$10:$C$1809)&lt;=$H$6)*(ISNUMBER('General Journal'!$C$10:$C$1809))*'General Journal'!$H$10:$H$1809),0)</f>
        <v>0</v>
      </c>
      <c r="G48" s="71" t="n">
        <f aca="false">IFERROR(SUMPRODUCT((TEXT('General Journal'!$E$10:$E$1809,"@")=TEXT("5800","@"))*(MONTH('General Journal'!$C$10:$C$1809)&gt;=$D$6)*(MONTH('General Journal'!$C$10:$C$1809)&lt;=$H$6)*(ISNUMBER('General Journal'!$C$10:$C$1809))*'General Journal'!$I$10:$I$1809),0)</f>
        <v>0</v>
      </c>
      <c r="H48" s="60" t="n">
        <f aca="false">F48-G48</f>
        <v>0</v>
      </c>
    </row>
    <row r="49" customFormat="false" ht="16.5" hidden="false" customHeight="true" outlineLevel="0" collapsed="false">
      <c r="B49" s="19" t="s">
        <v>90</v>
      </c>
      <c r="C49" s="20" t="s">
        <v>91</v>
      </c>
      <c r="D49" s="21" t="s">
        <v>73</v>
      </c>
      <c r="E49" s="70" t="s">
        <v>9</v>
      </c>
      <c r="F49" s="71" t="n">
        <f aca="false">IFERROR(SUMPRODUCT((TEXT('General Journal'!$E$10:$E$1809,"@")=TEXT("5900","@"))*(MONTH('General Journal'!$C$10:$C$1809)&gt;=$D$6)*(MONTH('General Journal'!$C$10:$C$1809)&lt;=$H$6)*(ISNUMBER('General Journal'!$C$10:$C$1809))*'General Journal'!$H$10:$H$1809),0)</f>
        <v>0</v>
      </c>
      <c r="G49" s="71" t="n">
        <f aca="false">IFERROR(SUMPRODUCT((TEXT('General Journal'!$E$10:$E$1809,"@")=TEXT("5900","@"))*(MONTH('General Journal'!$C$10:$C$1809)&gt;=$D$6)*(MONTH('General Journal'!$C$10:$C$1809)&lt;=$H$6)*(ISNUMBER('General Journal'!$C$10:$C$1809))*'General Journal'!$I$10:$I$1809),0)</f>
        <v>0</v>
      </c>
      <c r="H49" s="60" t="n">
        <f aca="false">F49-G49</f>
        <v>0</v>
      </c>
    </row>
    <row r="50" customFormat="false" ht="16.5" hidden="false" customHeight="true" outlineLevel="0" collapsed="false">
      <c r="B50" s="19" t="s">
        <v>92</v>
      </c>
      <c r="C50" s="20" t="s">
        <v>93</v>
      </c>
      <c r="D50" s="21" t="s">
        <v>73</v>
      </c>
      <c r="E50" s="70" t="s">
        <v>9</v>
      </c>
      <c r="F50" s="71" t="n">
        <f aca="false">IFERROR(SUMPRODUCT((TEXT('General Journal'!$E$10:$E$1809,"@")=TEXT("6000","@"))*(MONTH('General Journal'!$C$10:$C$1809)&gt;=$D$6)*(MONTH('General Journal'!$C$10:$C$1809)&lt;=$H$6)*(ISNUMBER('General Journal'!$C$10:$C$1809))*'General Journal'!$H$10:$H$1809),0)</f>
        <v>0</v>
      </c>
      <c r="G50" s="71" t="n">
        <f aca="false">IFERROR(SUMPRODUCT((TEXT('General Journal'!$E$10:$E$1809,"@")=TEXT("6000","@"))*(MONTH('General Journal'!$C$10:$C$1809)&gt;=$D$6)*(MONTH('General Journal'!$C$10:$C$1809)&lt;=$H$6)*(ISNUMBER('General Journal'!$C$10:$C$1809))*'General Journal'!$I$10:$I$1809),0)</f>
        <v>0</v>
      </c>
      <c r="H50" s="60" t="n">
        <f aca="false">F50-G50</f>
        <v>0</v>
      </c>
    </row>
    <row r="51" customFormat="false" ht="16.5" hidden="false" customHeight="true" outlineLevel="0" collapsed="false">
      <c r="B51" s="19" t="s">
        <v>94</v>
      </c>
      <c r="C51" s="20" t="s">
        <v>95</v>
      </c>
      <c r="D51" s="21" t="s">
        <v>73</v>
      </c>
      <c r="E51" s="70" t="s">
        <v>9</v>
      </c>
      <c r="F51" s="71" t="n">
        <f aca="false">IFERROR(SUMPRODUCT((TEXT('General Journal'!$E$10:$E$1809,"@")=TEXT("6100","@"))*(MONTH('General Journal'!$C$10:$C$1809)&gt;=$D$6)*(MONTH('General Journal'!$C$10:$C$1809)&lt;=$H$6)*(ISNUMBER('General Journal'!$C$10:$C$1809))*'General Journal'!$H$10:$H$1809),0)</f>
        <v>0</v>
      </c>
      <c r="G51" s="71" t="n">
        <f aca="false">IFERROR(SUMPRODUCT((TEXT('General Journal'!$E$10:$E$1809,"@")=TEXT("6100","@"))*(MONTH('General Journal'!$C$10:$C$1809)&gt;=$D$6)*(MONTH('General Journal'!$C$10:$C$1809)&lt;=$H$6)*(ISNUMBER('General Journal'!$C$10:$C$1809))*'General Journal'!$I$10:$I$1809),0)</f>
        <v>0</v>
      </c>
      <c r="H51" s="60" t="n">
        <f aca="false">F51-G51</f>
        <v>0</v>
      </c>
    </row>
    <row r="52" customFormat="false" ht="16.5" hidden="false" customHeight="true" outlineLevel="0" collapsed="false">
      <c r="B52" s="19" t="s">
        <v>96</v>
      </c>
      <c r="C52" s="20" t="s">
        <v>97</v>
      </c>
      <c r="D52" s="21" t="s">
        <v>73</v>
      </c>
      <c r="E52" s="70" t="s">
        <v>9</v>
      </c>
      <c r="F52" s="71" t="n">
        <f aca="false">IFERROR(SUMPRODUCT((TEXT('General Journal'!$E$10:$E$1809,"@")=TEXT("6200","@"))*(MONTH('General Journal'!$C$10:$C$1809)&gt;=$D$6)*(MONTH('General Journal'!$C$10:$C$1809)&lt;=$H$6)*(ISNUMBER('General Journal'!$C$10:$C$1809))*'General Journal'!$H$10:$H$1809),0)</f>
        <v>0</v>
      </c>
      <c r="G52" s="71" t="n">
        <f aca="false">IFERROR(SUMPRODUCT((TEXT('General Journal'!$E$10:$E$1809,"@")=TEXT("6200","@"))*(MONTH('General Journal'!$C$10:$C$1809)&gt;=$D$6)*(MONTH('General Journal'!$C$10:$C$1809)&lt;=$H$6)*(ISNUMBER('General Journal'!$C$10:$C$1809))*'General Journal'!$I$10:$I$1809),0)</f>
        <v>0</v>
      </c>
      <c r="H52" s="60" t="n">
        <f aca="false">F52-G52</f>
        <v>0</v>
      </c>
    </row>
    <row r="53" customFormat="false" ht="16.5" hidden="false" customHeight="true" outlineLevel="0" collapsed="false">
      <c r="B53" s="19" t="s">
        <v>98</v>
      </c>
      <c r="C53" s="20" t="s">
        <v>99</v>
      </c>
      <c r="D53" s="21" t="s">
        <v>73</v>
      </c>
      <c r="E53" s="70" t="s">
        <v>9</v>
      </c>
      <c r="F53" s="71" t="n">
        <f aca="false">IFERROR(SUMPRODUCT((TEXT('General Journal'!$E$10:$E$1809,"@")=TEXT("6300","@"))*(MONTH('General Journal'!$C$10:$C$1809)&gt;=$D$6)*(MONTH('General Journal'!$C$10:$C$1809)&lt;=$H$6)*(ISNUMBER('General Journal'!$C$10:$C$1809))*'General Journal'!$H$10:$H$1809),0)</f>
        <v>0</v>
      </c>
      <c r="G53" s="71" t="n">
        <f aca="false">IFERROR(SUMPRODUCT((TEXT('General Journal'!$E$10:$E$1809,"@")=TEXT("6300","@"))*(MONTH('General Journal'!$C$10:$C$1809)&gt;=$D$6)*(MONTH('General Journal'!$C$10:$C$1809)&lt;=$H$6)*(ISNUMBER('General Journal'!$C$10:$C$1809))*'General Journal'!$I$10:$I$1809),0)</f>
        <v>0</v>
      </c>
      <c r="H53" s="60" t="n">
        <f aca="false">F53-G53</f>
        <v>0</v>
      </c>
    </row>
    <row r="54" customFormat="false" ht="16.5" hidden="false" customHeight="true" outlineLevel="0" collapsed="false">
      <c r="B54" s="19" t="s">
        <v>100</v>
      </c>
      <c r="C54" s="20" t="s">
        <v>101</v>
      </c>
      <c r="D54" s="21" t="s">
        <v>73</v>
      </c>
      <c r="E54" s="70" t="s">
        <v>9</v>
      </c>
      <c r="F54" s="71" t="n">
        <f aca="false">IFERROR(SUMPRODUCT((TEXT('General Journal'!$E$10:$E$1809,"@")=TEXT("6400","@"))*(MONTH('General Journal'!$C$10:$C$1809)&gt;=$D$6)*(MONTH('General Journal'!$C$10:$C$1809)&lt;=$H$6)*(ISNUMBER('General Journal'!$C$10:$C$1809))*'General Journal'!$H$10:$H$1809),0)</f>
        <v>0</v>
      </c>
      <c r="G54" s="71" t="n">
        <f aca="false">IFERROR(SUMPRODUCT((TEXT('General Journal'!$E$10:$E$1809,"@")=TEXT("6400","@"))*(MONTH('General Journal'!$C$10:$C$1809)&gt;=$D$6)*(MONTH('General Journal'!$C$10:$C$1809)&lt;=$H$6)*(ISNUMBER('General Journal'!$C$10:$C$1809))*'General Journal'!$I$10:$I$1809),0)</f>
        <v>0</v>
      </c>
      <c r="H54" s="60" t="n">
        <f aca="false">F54-G54</f>
        <v>0</v>
      </c>
    </row>
    <row r="55" customFormat="false" ht="16.5" hidden="false" customHeight="true" outlineLevel="0" collapsed="false"/>
    <row r="56" customFormat="false" ht="19.5" hidden="false" customHeight="true" outlineLevel="0" collapsed="false">
      <c r="B56" s="72" t="s">
        <v>134</v>
      </c>
      <c r="C56" s="72"/>
      <c r="D56" s="72"/>
      <c r="E56" s="72"/>
      <c r="F56" s="73" t="n">
        <f aca="false">SUM(F12:F54)</f>
        <v>0</v>
      </c>
      <c r="G56" s="73" t="n">
        <f aca="false">SUM(G12:G54)</f>
        <v>0</v>
      </c>
      <c r="H56" s="74" t="str">
        <f aca="false">IF(F56=G56,"✔ BALANCED","✖ CHECK JOURNAL")</f>
        <v>✔ BALANCED</v>
      </c>
    </row>
    <row r="57" customFormat="false" ht="16.5" hidden="false" customHeight="true" outlineLevel="0" collapsed="false"/>
    <row r="58" customFormat="false" ht="16.5" hidden="false" customHeight="true" outlineLevel="0" collapsed="false"/>
    <row r="59" customFormat="false" ht="16.5" hidden="false" customHeight="true" outlineLevel="0" collapsed="false"/>
    <row r="60" customFormat="false" ht="16.5" hidden="false" customHeight="true" outlineLevel="0" collapsed="false"/>
    <row r="61" customFormat="false" ht="16.5" hidden="false" customHeight="true" outlineLevel="0" collapsed="false"/>
    <row r="62" customFormat="false" ht="16.5" hidden="false" customHeight="true" outlineLevel="0" collapsed="false"/>
    <row r="63" customFormat="false" ht="16.5" hidden="false" customHeight="true" outlineLevel="0" collapsed="false"/>
    <row r="64" customFormat="false" ht="16.5" hidden="false" customHeight="true" outlineLevel="0" collapsed="false"/>
    <row r="65" customFormat="false" ht="16.5" hidden="false" customHeight="true" outlineLevel="0" collapsed="false"/>
    <row r="66" customFormat="false" ht="16.5" hidden="false" customHeight="true" outlineLevel="0" collapsed="false"/>
    <row r="67" customFormat="false" ht="16.5" hidden="false" customHeight="true" outlineLevel="0" collapsed="false"/>
    <row r="68" customFormat="false" ht="16.5" hidden="false" customHeight="true" outlineLevel="0" collapsed="false"/>
    <row r="69" customFormat="false" ht="16.5" hidden="false" customHeight="true" outlineLevel="0" collapsed="false"/>
  </sheetData>
  <mergeCells count="12">
    <mergeCell ref="B2:H2"/>
    <mergeCell ref="B3:C3"/>
    <mergeCell ref="D3:E3"/>
    <mergeCell ref="B4:C4"/>
    <mergeCell ref="D4:H4"/>
    <mergeCell ref="B5:C5"/>
    <mergeCell ref="D5:H5"/>
    <mergeCell ref="B6:C6"/>
    <mergeCell ref="E6:F6"/>
    <mergeCell ref="B8:H8"/>
    <mergeCell ref="B9:H9"/>
    <mergeCell ref="B56:E56"/>
  </mergeCells>
  <dataValidations count="2">
    <dataValidation allowBlank="false" errorStyle="stop" operator="between" showDropDown="false" showErrorMessage="false" showInputMessage="false" sqref="D3:E3" type="list">
      <formula1>"Monthly,Quarterly,Annually,Cumulative As Of"</formula1>
      <formula2>0</formula2>
    </dataValidation>
    <dataValidation allowBlank="false" errorStyle="stop" operator="between" showDropDown="false" showErrorMessage="false" showInputMessage="false" sqref="D4:H4" type="list">
      <formula1>"January,February,March,April,May,June,July,August,September,October,November,December,Q1 (Jan-Mar),Q2 (Apr-Jun),Q3 (Jul-Sep),Q4 (Oct-Dec),Full 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D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4" min="3" style="1" width="18"/>
    <col collapsed="false" customWidth="true" hidden="false" outlineLevel="0" max="5" min="5" style="1" width="3"/>
  </cols>
  <sheetData>
    <row r="1" customFormat="false" ht="6" hidden="false" customHeight="true" outlineLevel="0" collapsed="false"/>
    <row r="2" customFormat="false" ht="31.5" hidden="false" customHeight="true" outlineLevel="0" collapsed="false">
      <c r="B2" s="2" t="s">
        <v>135</v>
      </c>
      <c r="C2" s="2"/>
      <c r="D2" s="2"/>
    </row>
    <row r="3" customFormat="false" ht="19.5" hidden="false" customHeight="true" outlineLevel="0" collapsed="false">
      <c r="B3" s="3" t="s">
        <v>136</v>
      </c>
      <c r="C3" s="3"/>
      <c r="D3" s="3"/>
    </row>
    <row r="4" customFormat="false" ht="19.5" hidden="false" customHeight="true" outlineLevel="0" collapsed="false">
      <c r="B4" s="3" t="s">
        <v>137</v>
      </c>
      <c r="C4" s="75" t="n">
        <f aca="false">'General Ledger &amp; Trial Balance'!E5</f>
        <v>0</v>
      </c>
      <c r="D4" s="75"/>
    </row>
    <row r="5" customFormat="false" ht="7.5" hidden="false" customHeight="true" outlineLevel="0" collapsed="false"/>
    <row r="6" customFormat="false" ht="16.5" hidden="false" customHeight="true" outlineLevel="0" collapsed="false">
      <c r="B6" s="36" t="s">
        <v>138</v>
      </c>
      <c r="C6" s="36" t="s">
        <v>139</v>
      </c>
      <c r="D6" s="36" t="s">
        <v>140</v>
      </c>
    </row>
    <row r="7" customFormat="false" ht="16.5" hidden="false" customHeight="true" outlineLevel="0" collapsed="false">
      <c r="B7" s="76" t="s">
        <v>141</v>
      </c>
      <c r="C7" s="77"/>
      <c r="D7" s="78"/>
    </row>
    <row r="8" customFormat="false" ht="16.5" hidden="false" customHeight="true" outlineLevel="0" collapsed="false">
      <c r="B8" s="14" t="s">
        <v>142</v>
      </c>
      <c r="C8" s="79"/>
      <c r="D8" s="80" t="s">
        <v>143</v>
      </c>
    </row>
    <row r="9" customFormat="false" ht="16.5" hidden="false" customHeight="true" outlineLevel="0" collapsed="false">
      <c r="B9" s="14" t="s">
        <v>144</v>
      </c>
      <c r="C9" s="79"/>
      <c r="D9" s="80" t="s">
        <v>145</v>
      </c>
    </row>
    <row r="10" customFormat="false" ht="16.5" hidden="false" customHeight="true" outlineLevel="0" collapsed="false">
      <c r="B10" s="14" t="s">
        <v>146</v>
      </c>
      <c r="C10" s="79"/>
      <c r="D10" s="80" t="s">
        <v>147</v>
      </c>
    </row>
    <row r="11" customFormat="false" ht="16.5" hidden="false" customHeight="true" outlineLevel="0" collapsed="false">
      <c r="B11" s="14" t="s">
        <v>148</v>
      </c>
      <c r="C11" s="79"/>
      <c r="D11" s="80" t="s">
        <v>149</v>
      </c>
    </row>
    <row r="12" customFormat="false" ht="16.5" hidden="false" customHeight="true" outlineLevel="0" collapsed="false">
      <c r="B12" s="81" t="s">
        <v>150</v>
      </c>
      <c r="C12" s="60" t="n">
        <f aca="false">IFERROR(SUM(C8:C11),0)</f>
        <v>0</v>
      </c>
      <c r="D12" s="82"/>
    </row>
    <row r="13" customFormat="false" ht="16.5" hidden="false" customHeight="true" outlineLevel="0" collapsed="false">
      <c r="B13" s="83"/>
      <c r="C13" s="83"/>
      <c r="D13" s="83"/>
    </row>
    <row r="14" customFormat="false" ht="16.5" hidden="false" customHeight="true" outlineLevel="0" collapsed="false">
      <c r="B14" s="84" t="s">
        <v>151</v>
      </c>
      <c r="C14" s="85"/>
      <c r="D14" s="86"/>
    </row>
    <row r="15" customFormat="false" ht="16.5" hidden="false" customHeight="true" outlineLevel="0" collapsed="false">
      <c r="B15" s="11" t="s">
        <v>152</v>
      </c>
      <c r="C15" s="87"/>
      <c r="D15" s="86" t="s">
        <v>153</v>
      </c>
    </row>
    <row r="16" customFormat="false" ht="16.5" hidden="false" customHeight="true" outlineLevel="0" collapsed="false">
      <c r="B16" s="81" t="s">
        <v>154</v>
      </c>
      <c r="C16" s="60" t="n">
        <f aca="false">IFERROR(C12-C15,0)</f>
        <v>0</v>
      </c>
      <c r="D16" s="82"/>
    </row>
    <row r="17" customFormat="false" ht="16.5" hidden="false" customHeight="true" outlineLevel="0" collapsed="false">
      <c r="B17" s="83"/>
      <c r="C17" s="83"/>
      <c r="D17" s="83"/>
    </row>
    <row r="18" customFormat="false" ht="16.5" hidden="false" customHeight="true" outlineLevel="0" collapsed="false">
      <c r="B18" s="76" t="s">
        <v>155</v>
      </c>
      <c r="C18" s="77"/>
      <c r="D18" s="78"/>
    </row>
    <row r="19" customFormat="false" ht="16.5" hidden="false" customHeight="true" outlineLevel="0" collapsed="false">
      <c r="B19" s="88" t="s">
        <v>156</v>
      </c>
      <c r="C19" s="89"/>
      <c r="D19" s="90" t="s">
        <v>157</v>
      </c>
    </row>
    <row r="20" customFormat="false" ht="16.5" hidden="false" customHeight="true" outlineLevel="0" collapsed="false">
      <c r="B20" s="91" t="s">
        <v>158</v>
      </c>
      <c r="C20" s="92"/>
      <c r="D20" s="93" t="s">
        <v>159</v>
      </c>
    </row>
    <row r="21" customFormat="false" ht="16.5" hidden="false" customHeight="true" outlineLevel="0" collapsed="false">
      <c r="B21" s="88" t="s">
        <v>160</v>
      </c>
      <c r="C21" s="89"/>
      <c r="D21" s="90" t="s">
        <v>161</v>
      </c>
    </row>
    <row r="22" customFormat="false" ht="16.5" hidden="false" customHeight="true" outlineLevel="0" collapsed="false">
      <c r="B22" s="91" t="s">
        <v>162</v>
      </c>
      <c r="C22" s="92"/>
      <c r="D22" s="93" t="s">
        <v>163</v>
      </c>
    </row>
    <row r="23" customFormat="false" ht="16.5" hidden="false" customHeight="true" outlineLevel="0" collapsed="false">
      <c r="B23" s="88" t="s">
        <v>164</v>
      </c>
      <c r="C23" s="89"/>
      <c r="D23" s="90" t="s">
        <v>165</v>
      </c>
    </row>
    <row r="24" customFormat="false" ht="16.5" hidden="false" customHeight="true" outlineLevel="0" collapsed="false">
      <c r="B24" s="91" t="s">
        <v>166</v>
      </c>
      <c r="C24" s="92"/>
      <c r="D24" s="93" t="s">
        <v>167</v>
      </c>
    </row>
    <row r="25" customFormat="false" ht="16.5" hidden="false" customHeight="true" outlineLevel="0" collapsed="false">
      <c r="B25" s="88" t="s">
        <v>168</v>
      </c>
      <c r="C25" s="89"/>
      <c r="D25" s="90" t="s">
        <v>169</v>
      </c>
    </row>
    <row r="26" customFormat="false" ht="16.5" hidden="false" customHeight="true" outlineLevel="0" collapsed="false">
      <c r="B26" s="91" t="s">
        <v>170</v>
      </c>
      <c r="C26" s="92"/>
      <c r="D26" s="93" t="s">
        <v>171</v>
      </c>
    </row>
    <row r="27" customFormat="false" ht="16.5" hidden="false" customHeight="true" outlineLevel="0" collapsed="false">
      <c r="B27" s="88" t="s">
        <v>172</v>
      </c>
      <c r="C27" s="89"/>
      <c r="D27" s="90" t="s">
        <v>173</v>
      </c>
    </row>
    <row r="28" customFormat="false" ht="16.5" hidden="false" customHeight="true" outlineLevel="0" collapsed="false">
      <c r="B28" s="91" t="s">
        <v>174</v>
      </c>
      <c r="C28" s="92"/>
      <c r="D28" s="93" t="s">
        <v>175</v>
      </c>
    </row>
    <row r="29" customFormat="false" ht="16.5" hidden="false" customHeight="true" outlineLevel="0" collapsed="false">
      <c r="B29" s="88" t="s">
        <v>176</v>
      </c>
      <c r="C29" s="89"/>
      <c r="D29" s="90" t="s">
        <v>177</v>
      </c>
    </row>
    <row r="30" customFormat="false" ht="16.5" hidden="false" customHeight="true" outlineLevel="0" collapsed="false">
      <c r="B30" s="91" t="s">
        <v>178</v>
      </c>
      <c r="C30" s="92"/>
      <c r="D30" s="93" t="s">
        <v>179</v>
      </c>
    </row>
    <row r="31" customFormat="false" ht="16.5" hidden="false" customHeight="true" outlineLevel="0" collapsed="false">
      <c r="B31" s="81" t="s">
        <v>180</v>
      </c>
      <c r="C31" s="60" t="n">
        <f aca="false">IFERROR(SUM(C19:C30),0)</f>
        <v>0</v>
      </c>
      <c r="D31" s="82"/>
    </row>
    <row r="32" customFormat="false" ht="16.5" hidden="false" customHeight="true" outlineLevel="0" collapsed="false">
      <c r="B32" s="83"/>
      <c r="C32" s="83"/>
      <c r="D32" s="83"/>
    </row>
    <row r="33" customFormat="false" ht="16.5" hidden="false" customHeight="true" outlineLevel="0" collapsed="false">
      <c r="B33" s="94" t="s">
        <v>181</v>
      </c>
      <c r="C33" s="95" t="n">
        <f aca="false">IFERROR(C16-C31,0)</f>
        <v>0</v>
      </c>
      <c r="D33" s="96"/>
    </row>
    <row r="34" customFormat="false" ht="16.5" hidden="false" customHeight="true" outlineLevel="0" collapsed="false">
      <c r="B34" s="83"/>
      <c r="C34" s="83"/>
      <c r="D34" s="83"/>
    </row>
    <row r="35" customFormat="false" ht="16.5" hidden="false" customHeight="true" outlineLevel="0" collapsed="false">
      <c r="B35" s="76" t="s">
        <v>182</v>
      </c>
      <c r="C35" s="77"/>
      <c r="D35" s="78"/>
    </row>
    <row r="36" customFormat="false" ht="16.5" hidden="false" customHeight="true" outlineLevel="0" collapsed="false">
      <c r="B36" s="91" t="s">
        <v>183</v>
      </c>
      <c r="C36" s="92"/>
      <c r="D36" s="93" t="s">
        <v>184</v>
      </c>
    </row>
    <row r="37" customFormat="false" ht="16.5" hidden="false" customHeight="true" outlineLevel="0" collapsed="false">
      <c r="B37" s="81" t="s">
        <v>185</v>
      </c>
      <c r="C37" s="60" t="n">
        <f aca="false">IFERROR(-C36,0)</f>
        <v>-0</v>
      </c>
      <c r="D37" s="82"/>
    </row>
    <row r="38" customFormat="false" ht="16.5" hidden="false" customHeight="true" outlineLevel="0" collapsed="false">
      <c r="B38" s="83"/>
      <c r="C38" s="83"/>
      <c r="D38" s="83"/>
    </row>
    <row r="39" customFormat="false" ht="16.5" hidden="false" customHeight="true" outlineLevel="0" collapsed="false">
      <c r="B39" s="94" t="s">
        <v>186</v>
      </c>
      <c r="C39" s="95" t="n">
        <f aca="false">IFERROR(C33+C37,0)</f>
        <v>0</v>
      </c>
      <c r="D39" s="96"/>
    </row>
    <row r="40" customFormat="false" ht="16.5" hidden="false" customHeight="true" outlineLevel="0" collapsed="false">
      <c r="B40" s="11" t="s">
        <v>187</v>
      </c>
      <c r="C40" s="87"/>
      <c r="D40" s="86" t="s">
        <v>188</v>
      </c>
    </row>
    <row r="41" customFormat="false" ht="16.5" hidden="false" customHeight="true" outlineLevel="0" collapsed="false">
      <c r="B41" s="97" t="s">
        <v>189</v>
      </c>
      <c r="C41" s="98" t="n">
        <f aca="false">IFERROR(C39-C40,0)</f>
        <v>0</v>
      </c>
      <c r="D41" s="99"/>
    </row>
    <row r="42" customFormat="false" ht="16.5" hidden="false" customHeight="true" outlineLevel="0" collapsed="false"/>
    <row r="43" customFormat="false" ht="16.5" hidden="false" customHeight="true" outlineLevel="0" collapsed="false"/>
    <row r="44" customFormat="false" ht="16.5" hidden="false" customHeight="true" outlineLevel="0" collapsed="false"/>
    <row r="45" customFormat="false" ht="16.5" hidden="false" customHeight="true" outlineLevel="0" collapsed="false"/>
    <row r="46" customFormat="false" ht="16.5" hidden="false" customHeight="true" outlineLevel="0" collapsed="false"/>
    <row r="47" customFormat="false" ht="16.5" hidden="false" customHeight="true" outlineLevel="0" collapsed="false"/>
    <row r="48" customFormat="false" ht="16.5" hidden="false" customHeight="true" outlineLevel="0" collapsed="false"/>
    <row r="49" customFormat="false" ht="16.5" hidden="false" customHeight="true" outlineLevel="0" collapsed="false"/>
    <row r="50" customFormat="false" ht="16.5" hidden="false" customHeight="true" outlineLevel="0" collapsed="false"/>
    <row r="51" customFormat="false" ht="16.5" hidden="false" customHeight="true" outlineLevel="0" collapsed="false"/>
    <row r="52" customFormat="false" ht="16.5" hidden="false" customHeight="true" outlineLevel="0" collapsed="false"/>
    <row r="53" customFormat="false" ht="16.5" hidden="false" customHeight="true" outlineLevel="0" collapsed="false"/>
    <row r="54" customFormat="false" ht="16.5" hidden="false" customHeight="true" outlineLevel="0" collapsed="false"/>
    <row r="55" customFormat="false" ht="16.5" hidden="false" customHeight="true" outlineLevel="0" collapsed="false"/>
    <row r="56" customFormat="false" ht="16.5" hidden="false" customHeight="true" outlineLevel="0" collapsed="false"/>
    <row r="57" customFormat="false" ht="16.5" hidden="false" customHeight="true" outlineLevel="0" collapsed="false"/>
    <row r="58" customFormat="false" ht="16.5" hidden="false" customHeight="true" outlineLevel="0" collapsed="false"/>
    <row r="59" customFormat="false" ht="16.5" hidden="false" customHeight="true" outlineLevel="0" collapsed="false"/>
    <row r="60" customFormat="false" ht="16.5" hidden="false" customHeight="true" outlineLevel="0" collapsed="false"/>
    <row r="61" customFormat="false" ht="16.5" hidden="false" customHeight="true" outlineLevel="0" collapsed="false"/>
    <row r="62" customFormat="false" ht="16.5" hidden="false" customHeight="true" outlineLevel="0" collapsed="false"/>
    <row r="63" customFormat="false" ht="16.5" hidden="false" customHeight="true" outlineLevel="0" collapsed="false"/>
    <row r="64" customFormat="false" ht="16.5" hidden="false" customHeight="true" outlineLevel="0" collapsed="false"/>
    <row r="65" customFormat="false" ht="16.5" hidden="false" customHeight="true" outlineLevel="0" collapsed="false"/>
    <row r="66" customFormat="false" ht="16.5" hidden="false" customHeight="true" outlineLevel="0" collapsed="false"/>
    <row r="67" customFormat="false" ht="16.5" hidden="false" customHeight="true" outlineLevel="0" collapsed="false"/>
    <row r="68" customFormat="false" ht="16.5" hidden="false" customHeight="true" outlineLevel="0" collapsed="false"/>
    <row r="69" customFormat="false" ht="16.5" hidden="false" customHeight="true" outlineLevel="0" collapsed="false"/>
    <row r="70" customFormat="false" ht="16.5" hidden="false" customHeight="true" outlineLevel="0" collapsed="false"/>
    <row r="71" customFormat="false" ht="16.5" hidden="false" customHeight="true" outlineLevel="0" collapsed="false"/>
    <row r="72" customFormat="false" ht="16.5" hidden="false" customHeight="true" outlineLevel="0" collapsed="false"/>
    <row r="73" customFormat="false" ht="16.5" hidden="false" customHeight="true" outlineLevel="0" collapsed="false"/>
    <row r="74" customFormat="false" ht="16.5" hidden="false" customHeight="true" outlineLevel="0" collapsed="false"/>
    <row r="75" customFormat="false" ht="16.5" hidden="false" customHeight="true" outlineLevel="0" collapsed="false"/>
    <row r="76" customFormat="false" ht="16.5" hidden="false" customHeight="true" outlineLevel="0" collapsed="false"/>
    <row r="77" customFormat="false" ht="16.5" hidden="false" customHeight="true" outlineLevel="0" collapsed="false"/>
    <row r="78" customFormat="false" ht="16.5" hidden="false" customHeight="true" outlineLevel="0" collapsed="false"/>
    <row r="79" customFormat="false" ht="16.5" hidden="false" customHeight="true" outlineLevel="0" collapsed="false"/>
    <row r="80" customFormat="false" ht="16.5" hidden="false" customHeight="true" outlineLevel="0" collapsed="false"/>
    <row r="81" customFormat="false" ht="16.5" hidden="false" customHeight="true" outlineLevel="0" collapsed="false"/>
    <row r="82" customFormat="false" ht="16.5" hidden="false" customHeight="true" outlineLevel="0" collapsed="false"/>
    <row r="83" customFormat="false" ht="16.5" hidden="false" customHeight="true" outlineLevel="0" collapsed="false"/>
    <row r="84" customFormat="false" ht="16.5" hidden="false" customHeight="true" outlineLevel="0" collapsed="false"/>
    <row r="85" customFormat="false" ht="16.5" hidden="false" customHeight="true" outlineLevel="0" collapsed="false"/>
    <row r="86" customFormat="false" ht="16.5" hidden="false" customHeight="true" outlineLevel="0" collapsed="false"/>
    <row r="87" customFormat="false" ht="16.5" hidden="false" customHeight="true" outlineLevel="0" collapsed="false"/>
    <row r="88" customFormat="false" ht="16.5" hidden="false" customHeight="true" outlineLevel="0" collapsed="false"/>
    <row r="89" customFormat="false" ht="16.5" hidden="false" customHeight="true" outlineLevel="0" collapsed="false"/>
    <row r="90" customFormat="false" ht="16.5" hidden="false" customHeight="true" outlineLevel="0" collapsed="false"/>
    <row r="91" customFormat="false" ht="16.5" hidden="false" customHeight="true" outlineLevel="0" collapsed="false"/>
    <row r="92" customFormat="false" ht="16.5" hidden="false" customHeight="true" outlineLevel="0" collapsed="false"/>
    <row r="93" customFormat="false" ht="16.5" hidden="false" customHeight="true" outlineLevel="0" collapsed="false"/>
    <row r="94" customFormat="false" ht="16.5" hidden="false" customHeight="true" outlineLevel="0" collapsed="false"/>
    <row r="95" customFormat="false" ht="16.5" hidden="false" customHeight="true" outlineLevel="0" collapsed="false"/>
    <row r="96" customFormat="false" ht="16.5" hidden="false" customHeight="true" outlineLevel="0" collapsed="false"/>
    <row r="97" customFormat="false" ht="16.5" hidden="false" customHeight="true" outlineLevel="0" collapsed="false"/>
    <row r="98" customFormat="false" ht="16.5" hidden="false" customHeight="true" outlineLevel="0" collapsed="false"/>
    <row r="99" customFormat="false" ht="16.5" hidden="false" customHeight="true" outlineLevel="0" collapsed="false"/>
  </sheetData>
  <mergeCells count="3">
    <mergeCell ref="B2:D2"/>
    <mergeCell ref="B3:D3"/>
    <mergeCell ref="C4:D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D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4" min="3" style="1" width="18"/>
    <col collapsed="false" customWidth="true" hidden="false" outlineLevel="0" max="5" min="5" style="1" width="3"/>
  </cols>
  <sheetData>
    <row r="1" customFormat="false" ht="6" hidden="false" customHeight="true" outlineLevel="0" collapsed="false"/>
    <row r="2" customFormat="false" ht="31.5" hidden="false" customHeight="true" outlineLevel="0" collapsed="false">
      <c r="B2" s="2" t="s">
        <v>190</v>
      </c>
      <c r="C2" s="2"/>
      <c r="D2" s="2"/>
    </row>
    <row r="3" customFormat="false" ht="19.5" hidden="false" customHeight="true" outlineLevel="0" collapsed="false">
      <c r="B3" s="100" t="s">
        <v>191</v>
      </c>
      <c r="C3" s="100"/>
      <c r="D3" s="100"/>
    </row>
    <row r="4" customFormat="false" ht="19.5" hidden="false" customHeight="true" outlineLevel="0" collapsed="false">
      <c r="B4" s="3" t="s">
        <v>192</v>
      </c>
      <c r="C4" s="75" t="n">
        <f aca="false">'General Ledger &amp; Trial Balance'!E5</f>
        <v>0</v>
      </c>
      <c r="D4" s="75"/>
    </row>
    <row r="5" customFormat="false" ht="7.5" hidden="false" customHeight="true" outlineLevel="0" collapsed="false"/>
    <row r="6" customFormat="false" ht="16.5" hidden="false" customHeight="true" outlineLevel="0" collapsed="false">
      <c r="B6" s="36" t="s">
        <v>138</v>
      </c>
      <c r="C6" s="36" t="s">
        <v>139</v>
      </c>
      <c r="D6" s="36" t="s">
        <v>116</v>
      </c>
    </row>
    <row r="7" customFormat="false" ht="16.5" hidden="false" customHeight="true" outlineLevel="0" collapsed="false">
      <c r="B7" s="76" t="s">
        <v>193</v>
      </c>
      <c r="C7" s="77"/>
      <c r="D7" s="101"/>
    </row>
    <row r="8" customFormat="false" ht="16.5" hidden="false" customHeight="true" outlineLevel="0" collapsed="false">
      <c r="B8" s="102" t="s">
        <v>194</v>
      </c>
      <c r="C8" s="103"/>
      <c r="D8" s="104"/>
    </row>
    <row r="9" customFormat="false" ht="16.5" hidden="false" customHeight="true" outlineLevel="0" collapsed="false">
      <c r="B9" s="5" t="s">
        <v>195</v>
      </c>
      <c r="C9" s="105"/>
      <c r="D9" s="106" t="s">
        <v>196</v>
      </c>
    </row>
    <row r="10" customFormat="false" ht="16.5" hidden="false" customHeight="true" outlineLevel="0" collapsed="false">
      <c r="B10" s="5" t="s">
        <v>197</v>
      </c>
      <c r="C10" s="105"/>
      <c r="D10" s="106" t="s">
        <v>198</v>
      </c>
    </row>
    <row r="11" customFormat="false" ht="16.5" hidden="false" customHeight="true" outlineLevel="0" collapsed="false">
      <c r="B11" s="5" t="s">
        <v>199</v>
      </c>
      <c r="C11" s="105"/>
      <c r="D11" s="106" t="s">
        <v>200</v>
      </c>
    </row>
    <row r="12" customFormat="false" ht="16.5" hidden="false" customHeight="true" outlineLevel="0" collapsed="false">
      <c r="B12" s="5" t="s">
        <v>201</v>
      </c>
      <c r="C12" s="105"/>
      <c r="D12" s="106" t="s">
        <v>202</v>
      </c>
    </row>
    <row r="13" customFormat="false" ht="16.5" hidden="false" customHeight="true" outlineLevel="0" collapsed="false">
      <c r="B13" s="5" t="s">
        <v>203</v>
      </c>
      <c r="C13" s="105"/>
      <c r="D13" s="106" t="s">
        <v>204</v>
      </c>
    </row>
    <row r="14" customFormat="false" ht="16.5" hidden="false" customHeight="true" outlineLevel="0" collapsed="false">
      <c r="B14" s="5" t="s">
        <v>205</v>
      </c>
      <c r="C14" s="105"/>
      <c r="D14" s="106" t="s">
        <v>206</v>
      </c>
    </row>
    <row r="15" customFormat="false" ht="16.5" hidden="false" customHeight="true" outlineLevel="0" collapsed="false">
      <c r="B15" s="5" t="s">
        <v>207</v>
      </c>
      <c r="C15" s="105"/>
      <c r="D15" s="106" t="s">
        <v>208</v>
      </c>
    </row>
    <row r="16" customFormat="false" ht="16.5" hidden="false" customHeight="true" outlineLevel="0" collapsed="false">
      <c r="B16" s="107" t="s">
        <v>209</v>
      </c>
      <c r="C16" s="108" t="n">
        <f aca="false">IFERROR(SUM(C9:C15),0)</f>
        <v>0</v>
      </c>
      <c r="D16" s="109"/>
    </row>
    <row r="17" customFormat="false" ht="16.5" hidden="false" customHeight="true" outlineLevel="0" collapsed="false">
      <c r="B17" s="83"/>
      <c r="C17" s="83"/>
      <c r="D17" s="83"/>
    </row>
    <row r="18" customFormat="false" ht="16.5" hidden="false" customHeight="true" outlineLevel="0" collapsed="false">
      <c r="B18" s="102" t="s">
        <v>210</v>
      </c>
      <c r="C18" s="103"/>
      <c r="D18" s="104"/>
    </row>
    <row r="19" customFormat="false" ht="16.5" hidden="false" customHeight="true" outlineLevel="0" collapsed="false">
      <c r="B19" s="5" t="s">
        <v>211</v>
      </c>
      <c r="C19" s="105"/>
      <c r="D19" s="106" t="s">
        <v>212</v>
      </c>
    </row>
    <row r="20" customFormat="false" ht="16.5" hidden="false" customHeight="true" outlineLevel="0" collapsed="false">
      <c r="B20" s="5" t="s">
        <v>213</v>
      </c>
      <c r="C20" s="105"/>
      <c r="D20" s="106" t="s">
        <v>214</v>
      </c>
    </row>
    <row r="21" customFormat="false" ht="16.5" hidden="false" customHeight="true" outlineLevel="0" collapsed="false">
      <c r="B21" s="5" t="s">
        <v>215</v>
      </c>
      <c r="C21" s="105"/>
      <c r="D21" s="106" t="s">
        <v>216</v>
      </c>
    </row>
    <row r="22" customFormat="false" ht="16.5" hidden="false" customHeight="true" outlineLevel="0" collapsed="false">
      <c r="B22" s="5" t="s">
        <v>217</v>
      </c>
      <c r="C22" s="105"/>
      <c r="D22" s="106" t="s">
        <v>218</v>
      </c>
    </row>
    <row r="23" customFormat="false" ht="16.5" hidden="false" customHeight="true" outlineLevel="0" collapsed="false">
      <c r="B23" s="5" t="s">
        <v>219</v>
      </c>
      <c r="C23" s="105"/>
      <c r="D23" s="106" t="s">
        <v>220</v>
      </c>
    </row>
    <row r="24" customFormat="false" ht="16.5" hidden="false" customHeight="true" outlineLevel="0" collapsed="false">
      <c r="B24" s="107" t="s">
        <v>221</v>
      </c>
      <c r="C24" s="108" t="n">
        <f aca="false">IFERROR(SUM(C19:C23),0)</f>
        <v>0</v>
      </c>
      <c r="D24" s="109"/>
    </row>
    <row r="25" customFormat="false" ht="16.5" hidden="false" customHeight="true" outlineLevel="0" collapsed="false">
      <c r="B25" s="83"/>
      <c r="C25" s="83"/>
      <c r="D25" s="83"/>
    </row>
    <row r="26" customFormat="false" ht="16.5" hidden="false" customHeight="true" outlineLevel="0" collapsed="false">
      <c r="B26" s="110" t="s">
        <v>222</v>
      </c>
      <c r="C26" s="111" t="n">
        <f aca="false">IFERROR(C16+C24,0)</f>
        <v>0</v>
      </c>
      <c r="D26" s="112"/>
    </row>
    <row r="27" customFormat="false" ht="16.5" hidden="false" customHeight="true" outlineLevel="0" collapsed="false">
      <c r="B27" s="83"/>
      <c r="C27" s="83"/>
      <c r="D27" s="83"/>
    </row>
    <row r="28" customFormat="false" ht="16.5" hidden="false" customHeight="true" outlineLevel="0" collapsed="false">
      <c r="B28" s="76" t="s">
        <v>223</v>
      </c>
      <c r="C28" s="77"/>
      <c r="D28" s="101"/>
    </row>
    <row r="29" customFormat="false" ht="16.5" hidden="false" customHeight="true" outlineLevel="0" collapsed="false">
      <c r="B29" s="102" t="s">
        <v>224</v>
      </c>
      <c r="C29" s="103"/>
      <c r="D29" s="104"/>
    </row>
    <row r="30" customFormat="false" ht="16.5" hidden="false" customHeight="true" outlineLevel="0" collapsed="false">
      <c r="B30" s="11" t="s">
        <v>225</v>
      </c>
      <c r="C30" s="87"/>
      <c r="D30" s="113" t="s">
        <v>226</v>
      </c>
    </row>
    <row r="31" customFormat="false" ht="16.5" hidden="false" customHeight="true" outlineLevel="0" collapsed="false">
      <c r="B31" s="11" t="s">
        <v>227</v>
      </c>
      <c r="C31" s="87"/>
      <c r="D31" s="113" t="s">
        <v>228</v>
      </c>
    </row>
    <row r="32" customFormat="false" ht="16.5" hidden="false" customHeight="true" outlineLevel="0" collapsed="false">
      <c r="B32" s="11" t="s">
        <v>229</v>
      </c>
      <c r="C32" s="87"/>
      <c r="D32" s="113" t="s">
        <v>230</v>
      </c>
    </row>
    <row r="33" customFormat="false" ht="16.5" hidden="false" customHeight="true" outlineLevel="0" collapsed="false">
      <c r="B33" s="11" t="s">
        <v>231</v>
      </c>
      <c r="C33" s="87"/>
      <c r="D33" s="113" t="s">
        <v>232</v>
      </c>
    </row>
    <row r="34" customFormat="false" ht="16.5" hidden="false" customHeight="true" outlineLevel="0" collapsed="false">
      <c r="B34" s="11" t="s">
        <v>233</v>
      </c>
      <c r="C34" s="87"/>
      <c r="D34" s="113" t="s">
        <v>234</v>
      </c>
    </row>
    <row r="35" customFormat="false" ht="16.5" hidden="false" customHeight="true" outlineLevel="0" collapsed="false">
      <c r="B35" s="11" t="s">
        <v>235</v>
      </c>
      <c r="C35" s="87"/>
      <c r="D35" s="113" t="s">
        <v>236</v>
      </c>
    </row>
    <row r="36" customFormat="false" ht="16.5" hidden="false" customHeight="true" outlineLevel="0" collapsed="false">
      <c r="B36" s="81" t="s">
        <v>237</v>
      </c>
      <c r="C36" s="60" t="n">
        <f aca="false">IFERROR(SUM(C30:C35),0)</f>
        <v>0</v>
      </c>
      <c r="D36" s="114"/>
    </row>
    <row r="37" customFormat="false" ht="16.5" hidden="false" customHeight="true" outlineLevel="0" collapsed="false">
      <c r="B37" s="83"/>
      <c r="C37" s="83"/>
      <c r="D37" s="83"/>
    </row>
    <row r="38" customFormat="false" ht="16.5" hidden="false" customHeight="true" outlineLevel="0" collapsed="false">
      <c r="B38" s="102" t="s">
        <v>238</v>
      </c>
      <c r="C38" s="103"/>
      <c r="D38" s="104"/>
    </row>
    <row r="39" customFormat="false" ht="16.5" hidden="false" customHeight="true" outlineLevel="0" collapsed="false">
      <c r="B39" s="11" t="s">
        <v>239</v>
      </c>
      <c r="C39" s="87"/>
      <c r="D39" s="113" t="s">
        <v>240</v>
      </c>
    </row>
    <row r="40" customFormat="false" ht="16.5" hidden="false" customHeight="true" outlineLevel="0" collapsed="false">
      <c r="B40" s="11" t="s">
        <v>241</v>
      </c>
      <c r="C40" s="87"/>
      <c r="D40" s="113" t="s">
        <v>242</v>
      </c>
    </row>
    <row r="41" customFormat="false" ht="16.5" hidden="false" customHeight="true" outlineLevel="0" collapsed="false">
      <c r="B41" s="81" t="s">
        <v>243</v>
      </c>
      <c r="C41" s="60" t="n">
        <f aca="false">IFERROR(SUM(C39:C40),0)</f>
        <v>0</v>
      </c>
      <c r="D41" s="114"/>
    </row>
    <row r="42" customFormat="false" ht="16.5" hidden="false" customHeight="true" outlineLevel="0" collapsed="false">
      <c r="B42" s="83"/>
      <c r="C42" s="83"/>
      <c r="D42" s="83"/>
    </row>
    <row r="43" customFormat="false" ht="16.5" hidden="false" customHeight="true" outlineLevel="0" collapsed="false">
      <c r="B43" s="115" t="s">
        <v>244</v>
      </c>
      <c r="C43" s="116" t="n">
        <f aca="false">IFERROR(C36+C41,0)</f>
        <v>0</v>
      </c>
      <c r="D43" s="117"/>
    </row>
    <row r="44" customFormat="false" ht="16.5" hidden="false" customHeight="true" outlineLevel="0" collapsed="false">
      <c r="B44" s="83"/>
      <c r="C44" s="83"/>
      <c r="D44" s="83"/>
    </row>
    <row r="45" customFormat="false" ht="16.5" hidden="false" customHeight="true" outlineLevel="0" collapsed="false">
      <c r="B45" s="76" t="s">
        <v>245</v>
      </c>
      <c r="C45" s="77"/>
      <c r="D45" s="101"/>
    </row>
    <row r="46" customFormat="false" ht="16.5" hidden="false" customHeight="true" outlineLevel="0" collapsed="false">
      <c r="B46" s="14" t="s">
        <v>246</v>
      </c>
      <c r="C46" s="79"/>
      <c r="D46" s="118" t="s">
        <v>247</v>
      </c>
    </row>
    <row r="47" customFormat="false" ht="16.5" hidden="false" customHeight="true" outlineLevel="0" collapsed="false">
      <c r="B47" s="14" t="s">
        <v>248</v>
      </c>
      <c r="C47" s="79"/>
      <c r="D47" s="118" t="s">
        <v>249</v>
      </c>
    </row>
    <row r="48" customFormat="false" ht="16.5" hidden="false" customHeight="true" outlineLevel="0" collapsed="false">
      <c r="B48" s="14" t="s">
        <v>250</v>
      </c>
      <c r="C48" s="79"/>
      <c r="D48" s="118" t="s">
        <v>251</v>
      </c>
    </row>
    <row r="49" customFormat="false" ht="16.5" hidden="false" customHeight="true" outlineLevel="0" collapsed="false">
      <c r="B49" s="14" t="s">
        <v>252</v>
      </c>
      <c r="C49" s="79"/>
      <c r="D49" s="118" t="s">
        <v>253</v>
      </c>
    </row>
    <row r="50" customFormat="false" ht="16.5" hidden="false" customHeight="true" outlineLevel="0" collapsed="false">
      <c r="B50" s="14" t="s">
        <v>254</v>
      </c>
      <c r="C50" s="66" t="n">
        <f aca="false">'Income Statement'!C41</f>
        <v>0</v>
      </c>
      <c r="D50" s="118"/>
    </row>
    <row r="51" customFormat="false" ht="16.5" hidden="false" customHeight="true" outlineLevel="0" collapsed="false">
      <c r="B51" s="107" t="s">
        <v>255</v>
      </c>
      <c r="C51" s="108" t="n">
        <f aca="false">IFERROR(SUM(C46:C50),0)</f>
        <v>0</v>
      </c>
      <c r="D51" s="109"/>
    </row>
    <row r="52" customFormat="false" ht="16.5" hidden="false" customHeight="true" outlineLevel="0" collapsed="false">
      <c r="B52" s="83"/>
      <c r="C52" s="83"/>
      <c r="D52" s="83"/>
    </row>
    <row r="53" customFormat="false" ht="16.5" hidden="false" customHeight="true" outlineLevel="0" collapsed="false">
      <c r="B53" s="110" t="s">
        <v>256</v>
      </c>
      <c r="C53" s="111" t="n">
        <f aca="false">IFERROR(C43+C51,0)</f>
        <v>0</v>
      </c>
      <c r="D53" s="112"/>
    </row>
    <row r="54" customFormat="false" ht="16.5" hidden="false" customHeight="true" outlineLevel="0" collapsed="false">
      <c r="B54" s="83"/>
      <c r="C54" s="83"/>
      <c r="D54" s="83"/>
    </row>
    <row r="55" customFormat="false" ht="16.5" hidden="false" customHeight="true" outlineLevel="0" collapsed="false">
      <c r="B55" s="81" t="s">
        <v>257</v>
      </c>
      <c r="C55" s="119" t="str">
        <f aca="false">IF(C26=C53,"✔ BALANCED  (Assets = Liabilities + Equity)","✖ DOES NOT BALANCE — check journal entries")</f>
        <v>✔ BALANCED  (Assets = Liabilities + Equity)</v>
      </c>
      <c r="D55" s="114"/>
    </row>
    <row r="56" customFormat="false" ht="16.5" hidden="false" customHeight="true" outlineLevel="0" collapsed="false"/>
    <row r="57" customFormat="false" ht="16.5" hidden="false" customHeight="true" outlineLevel="0" collapsed="false"/>
    <row r="58" customFormat="false" ht="16.5" hidden="false" customHeight="true" outlineLevel="0" collapsed="false"/>
    <row r="59" customFormat="false" ht="16.5" hidden="false" customHeight="true" outlineLevel="0" collapsed="false"/>
    <row r="60" customFormat="false" ht="16.5" hidden="false" customHeight="true" outlineLevel="0" collapsed="false"/>
    <row r="61" customFormat="false" ht="16.5" hidden="false" customHeight="true" outlineLevel="0" collapsed="false"/>
    <row r="62" customFormat="false" ht="16.5" hidden="false" customHeight="true" outlineLevel="0" collapsed="false"/>
    <row r="63" customFormat="false" ht="16.5" hidden="false" customHeight="true" outlineLevel="0" collapsed="false"/>
    <row r="64" customFormat="false" ht="16.5" hidden="false" customHeight="true" outlineLevel="0" collapsed="false"/>
    <row r="65" customFormat="false" ht="16.5" hidden="false" customHeight="true" outlineLevel="0" collapsed="false"/>
    <row r="66" customFormat="false" ht="16.5" hidden="false" customHeight="true" outlineLevel="0" collapsed="false"/>
    <row r="67" customFormat="false" ht="16.5" hidden="false" customHeight="true" outlineLevel="0" collapsed="false"/>
    <row r="68" customFormat="false" ht="16.5" hidden="false" customHeight="true" outlineLevel="0" collapsed="false"/>
    <row r="69" customFormat="false" ht="16.5" hidden="false" customHeight="true" outlineLevel="0" collapsed="false"/>
    <row r="70" customFormat="false" ht="16.5" hidden="false" customHeight="true" outlineLevel="0" collapsed="false"/>
    <row r="71" customFormat="false" ht="16.5" hidden="false" customHeight="true" outlineLevel="0" collapsed="false"/>
    <row r="72" customFormat="false" ht="16.5" hidden="false" customHeight="true" outlineLevel="0" collapsed="false"/>
    <row r="73" customFormat="false" ht="16.5" hidden="false" customHeight="true" outlineLevel="0" collapsed="false"/>
    <row r="74" customFormat="false" ht="16.5" hidden="false" customHeight="true" outlineLevel="0" collapsed="false"/>
    <row r="75" customFormat="false" ht="16.5" hidden="false" customHeight="true" outlineLevel="0" collapsed="false"/>
    <row r="76" customFormat="false" ht="16.5" hidden="false" customHeight="true" outlineLevel="0" collapsed="false"/>
    <row r="77" customFormat="false" ht="16.5" hidden="false" customHeight="true" outlineLevel="0" collapsed="false"/>
    <row r="78" customFormat="false" ht="16.5" hidden="false" customHeight="true" outlineLevel="0" collapsed="false"/>
    <row r="79" customFormat="false" ht="16.5" hidden="false" customHeight="true" outlineLevel="0" collapsed="false"/>
    <row r="80" customFormat="false" ht="16.5" hidden="false" customHeight="true" outlineLevel="0" collapsed="false"/>
    <row r="81" customFormat="false" ht="16.5" hidden="false" customHeight="true" outlineLevel="0" collapsed="false"/>
    <row r="82" customFormat="false" ht="16.5" hidden="false" customHeight="true" outlineLevel="0" collapsed="false"/>
    <row r="83" customFormat="false" ht="16.5" hidden="false" customHeight="true" outlineLevel="0" collapsed="false"/>
    <row r="84" customFormat="false" ht="16.5" hidden="false" customHeight="true" outlineLevel="0" collapsed="false"/>
    <row r="85" customFormat="false" ht="16.5" hidden="false" customHeight="true" outlineLevel="0" collapsed="false"/>
    <row r="86" customFormat="false" ht="16.5" hidden="false" customHeight="true" outlineLevel="0" collapsed="false"/>
    <row r="87" customFormat="false" ht="16.5" hidden="false" customHeight="true" outlineLevel="0" collapsed="false"/>
    <row r="88" customFormat="false" ht="16.5" hidden="false" customHeight="true" outlineLevel="0" collapsed="false"/>
    <row r="89" customFormat="false" ht="16.5" hidden="false" customHeight="true" outlineLevel="0" collapsed="false"/>
    <row r="90" customFormat="false" ht="16.5" hidden="false" customHeight="true" outlineLevel="0" collapsed="false"/>
    <row r="91" customFormat="false" ht="16.5" hidden="false" customHeight="true" outlineLevel="0" collapsed="false"/>
    <row r="92" customFormat="false" ht="16.5" hidden="false" customHeight="true" outlineLevel="0" collapsed="false"/>
    <row r="93" customFormat="false" ht="16.5" hidden="false" customHeight="true" outlineLevel="0" collapsed="false"/>
    <row r="94" customFormat="false" ht="16.5" hidden="false" customHeight="true" outlineLevel="0" collapsed="false"/>
    <row r="95" customFormat="false" ht="16.5" hidden="false" customHeight="true" outlineLevel="0" collapsed="false"/>
    <row r="96" customFormat="false" ht="16.5" hidden="false" customHeight="true" outlineLevel="0" collapsed="false"/>
    <row r="97" customFormat="false" ht="16.5" hidden="false" customHeight="true" outlineLevel="0" collapsed="false"/>
    <row r="98" customFormat="false" ht="16.5" hidden="false" customHeight="true" outlineLevel="0" collapsed="false"/>
    <row r="99" customFormat="false" ht="16.5" hidden="false" customHeight="true" outlineLevel="0" collapsed="false"/>
  </sheetData>
  <mergeCells count="3">
    <mergeCell ref="B2:D2"/>
    <mergeCell ref="B3:D3"/>
    <mergeCell ref="C4:D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7F17"/>
    <pageSetUpPr fitToPage="false"/>
  </sheetPr>
  <dimension ref="B1:D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4" min="3" style="1" width="18"/>
    <col collapsed="false" customWidth="true" hidden="false" outlineLevel="0" max="5" min="5" style="1" width="3"/>
  </cols>
  <sheetData>
    <row r="1" customFormat="false" ht="6" hidden="false" customHeight="true" outlineLevel="0" collapsed="false"/>
    <row r="2" customFormat="false" ht="31.5" hidden="false" customHeight="true" outlineLevel="0" collapsed="false">
      <c r="B2" s="2" t="s">
        <v>258</v>
      </c>
      <c r="C2" s="2"/>
      <c r="D2" s="2"/>
    </row>
    <row r="3" customFormat="false" ht="19.5" hidden="false" customHeight="true" outlineLevel="0" collapsed="false">
      <c r="B3" s="3" t="s">
        <v>259</v>
      </c>
      <c r="C3" s="3"/>
      <c r="D3" s="3"/>
    </row>
    <row r="4" customFormat="false" ht="19.5" hidden="false" customHeight="true" outlineLevel="0" collapsed="false">
      <c r="B4" s="3" t="s">
        <v>137</v>
      </c>
      <c r="C4" s="75" t="n">
        <f aca="false">'General Ledger &amp; Trial Balance'!E5</f>
        <v>0</v>
      </c>
      <c r="D4" s="75"/>
    </row>
    <row r="5" customFormat="false" ht="7.5" hidden="false" customHeight="true" outlineLevel="0" collapsed="false"/>
    <row r="6" customFormat="false" ht="16.5" hidden="false" customHeight="true" outlineLevel="0" collapsed="false">
      <c r="B6" s="36" t="s">
        <v>260</v>
      </c>
      <c r="C6" s="36" t="s">
        <v>139</v>
      </c>
      <c r="D6" s="36" t="s">
        <v>261</v>
      </c>
    </row>
    <row r="7" customFormat="false" ht="16.5" hidden="false" customHeight="true" outlineLevel="0" collapsed="false">
      <c r="B7" s="76" t="s">
        <v>262</v>
      </c>
      <c r="C7" s="77"/>
      <c r="D7" s="120"/>
    </row>
    <row r="8" customFormat="false" ht="16.5" hidden="false" customHeight="true" outlineLevel="0" collapsed="false">
      <c r="B8" s="5" t="s">
        <v>263</v>
      </c>
      <c r="C8" s="59" t="n">
        <f aca="false">'Income Statement'!C41</f>
        <v>0</v>
      </c>
      <c r="D8" s="106"/>
    </row>
    <row r="9" customFormat="false" ht="16.5" hidden="false" customHeight="true" outlineLevel="0" collapsed="false">
      <c r="B9" s="121" t="s">
        <v>264</v>
      </c>
      <c r="C9" s="122"/>
      <c r="D9" s="123"/>
    </row>
    <row r="10" customFormat="false" ht="16.5" hidden="false" customHeight="true" outlineLevel="0" collapsed="false">
      <c r="B10" s="88" t="s">
        <v>265</v>
      </c>
      <c r="C10" s="89"/>
      <c r="D10" s="124" t="s">
        <v>266</v>
      </c>
    </row>
    <row r="11" customFormat="false" ht="16.5" hidden="false" customHeight="true" outlineLevel="0" collapsed="false">
      <c r="B11" s="88" t="s">
        <v>267</v>
      </c>
      <c r="C11" s="89"/>
      <c r="D11" s="124"/>
    </row>
    <row r="12" customFormat="false" ht="16.5" hidden="false" customHeight="true" outlineLevel="0" collapsed="false">
      <c r="B12" s="91" t="s">
        <v>268</v>
      </c>
      <c r="C12" s="92"/>
      <c r="D12" s="125" t="s">
        <v>200</v>
      </c>
    </row>
    <row r="13" customFormat="false" ht="16.5" hidden="false" customHeight="true" outlineLevel="0" collapsed="false">
      <c r="B13" s="91" t="s">
        <v>269</v>
      </c>
      <c r="C13" s="92"/>
      <c r="D13" s="125" t="s">
        <v>204</v>
      </c>
    </row>
    <row r="14" customFormat="false" ht="16.5" hidden="false" customHeight="true" outlineLevel="0" collapsed="false">
      <c r="B14" s="91" t="s">
        <v>270</v>
      </c>
      <c r="C14" s="92"/>
      <c r="D14" s="125" t="s">
        <v>206</v>
      </c>
    </row>
    <row r="15" customFormat="false" ht="16.5" hidden="false" customHeight="true" outlineLevel="0" collapsed="false">
      <c r="B15" s="91" t="s">
        <v>271</v>
      </c>
      <c r="C15" s="92"/>
      <c r="D15" s="125" t="s">
        <v>226</v>
      </c>
    </row>
    <row r="16" customFormat="false" ht="16.5" hidden="false" customHeight="true" outlineLevel="0" collapsed="false">
      <c r="B16" s="91" t="s">
        <v>272</v>
      </c>
      <c r="C16" s="92"/>
      <c r="D16" s="125" t="s">
        <v>228</v>
      </c>
    </row>
    <row r="17" customFormat="false" ht="16.5" hidden="false" customHeight="true" outlineLevel="0" collapsed="false">
      <c r="B17" s="91" t="s">
        <v>273</v>
      </c>
      <c r="C17" s="92"/>
      <c r="D17" s="125" t="s">
        <v>234</v>
      </c>
    </row>
    <row r="18" customFormat="false" ht="16.5" hidden="false" customHeight="true" outlineLevel="0" collapsed="false">
      <c r="B18" s="107" t="s">
        <v>274</v>
      </c>
      <c r="C18" s="108" t="n">
        <f aca="false">IFERROR(SUM(C8:C17),0)</f>
        <v>0</v>
      </c>
      <c r="D18" s="118"/>
    </row>
    <row r="19" customFormat="false" ht="16.5" hidden="false" customHeight="true" outlineLevel="0" collapsed="false">
      <c r="B19" s="83"/>
      <c r="C19" s="83"/>
      <c r="D19" s="83"/>
    </row>
    <row r="20" customFormat="false" ht="16.5" hidden="false" customHeight="true" outlineLevel="0" collapsed="false">
      <c r="B20" s="76" t="s">
        <v>275</v>
      </c>
      <c r="C20" s="77"/>
      <c r="D20" s="120"/>
    </row>
    <row r="21" customFormat="false" ht="16.5" hidden="false" customHeight="true" outlineLevel="0" collapsed="false">
      <c r="B21" s="88" t="s">
        <v>276</v>
      </c>
      <c r="C21" s="89"/>
      <c r="D21" s="124" t="s">
        <v>212</v>
      </c>
    </row>
    <row r="22" customFormat="false" ht="16.5" hidden="false" customHeight="true" outlineLevel="0" collapsed="false">
      <c r="B22" s="91" t="s">
        <v>277</v>
      </c>
      <c r="C22" s="92"/>
      <c r="D22" s="125" t="s">
        <v>208</v>
      </c>
    </row>
    <row r="23" customFormat="false" ht="16.5" hidden="false" customHeight="true" outlineLevel="0" collapsed="false">
      <c r="B23" s="91" t="s">
        <v>278</v>
      </c>
      <c r="C23" s="92"/>
      <c r="D23" s="125"/>
    </row>
    <row r="24" customFormat="false" ht="16.5" hidden="false" customHeight="true" outlineLevel="0" collapsed="false">
      <c r="B24" s="81" t="s">
        <v>279</v>
      </c>
      <c r="C24" s="60" t="n">
        <f aca="false">IFERROR(SUM(C21:C23),0)</f>
        <v>0</v>
      </c>
      <c r="D24" s="126"/>
    </row>
    <row r="25" customFormat="false" ht="16.5" hidden="false" customHeight="true" outlineLevel="0" collapsed="false">
      <c r="B25" s="83"/>
      <c r="C25" s="83"/>
      <c r="D25" s="83"/>
    </row>
    <row r="26" customFormat="false" ht="16.5" hidden="false" customHeight="true" outlineLevel="0" collapsed="false">
      <c r="B26" s="76" t="s">
        <v>280</v>
      </c>
      <c r="C26" s="77"/>
      <c r="D26" s="120"/>
    </row>
    <row r="27" customFormat="false" ht="16.5" hidden="false" customHeight="true" outlineLevel="0" collapsed="false">
      <c r="B27" s="88" t="s">
        <v>281</v>
      </c>
      <c r="C27" s="89"/>
      <c r="D27" s="124" t="s">
        <v>240</v>
      </c>
    </row>
    <row r="28" customFormat="false" ht="16.5" hidden="false" customHeight="true" outlineLevel="0" collapsed="false">
      <c r="B28" s="91" t="s">
        <v>282</v>
      </c>
      <c r="C28" s="92"/>
      <c r="D28" s="125" t="s">
        <v>240</v>
      </c>
    </row>
    <row r="29" customFormat="false" ht="16.5" hidden="false" customHeight="true" outlineLevel="0" collapsed="false">
      <c r="B29" s="88" t="s">
        <v>283</v>
      </c>
      <c r="C29" s="89"/>
      <c r="D29" s="124" t="s">
        <v>247</v>
      </c>
    </row>
    <row r="30" customFormat="false" ht="16.5" hidden="false" customHeight="true" outlineLevel="0" collapsed="false">
      <c r="B30" s="91" t="s">
        <v>284</v>
      </c>
      <c r="C30" s="92"/>
      <c r="D30" s="125" t="s">
        <v>253</v>
      </c>
    </row>
    <row r="31" customFormat="false" ht="16.5" hidden="false" customHeight="true" outlineLevel="0" collapsed="false">
      <c r="B31" s="81" t="s">
        <v>285</v>
      </c>
      <c r="C31" s="60" t="n">
        <f aca="false">IFERROR(SUM(C27:C30),0)</f>
        <v>0</v>
      </c>
      <c r="D31" s="126"/>
    </row>
    <row r="32" customFormat="false" ht="16.5" hidden="false" customHeight="true" outlineLevel="0" collapsed="false">
      <c r="B32" s="83"/>
      <c r="C32" s="83"/>
      <c r="D32" s="83"/>
    </row>
    <row r="33" customFormat="false" ht="16.5" hidden="false" customHeight="true" outlineLevel="0" collapsed="false">
      <c r="B33" s="94" t="s">
        <v>286</v>
      </c>
      <c r="C33" s="95" t="n">
        <f aca="false">IFERROR(C18+C24+C31,0)</f>
        <v>0</v>
      </c>
      <c r="D33" s="106"/>
    </row>
    <row r="34" customFormat="false" ht="16.5" hidden="false" customHeight="true" outlineLevel="0" collapsed="false">
      <c r="B34" s="91" t="s">
        <v>287</v>
      </c>
      <c r="C34" s="92"/>
      <c r="D34" s="125"/>
    </row>
    <row r="35" customFormat="false" ht="16.5" hidden="false" customHeight="true" outlineLevel="0" collapsed="false">
      <c r="B35" s="97" t="s">
        <v>288</v>
      </c>
      <c r="C35" s="98" t="n">
        <f aca="false">IFERROR(C34+C33,0)</f>
        <v>0</v>
      </c>
      <c r="D35" s="127"/>
    </row>
    <row r="36" customFormat="false" ht="16.5" hidden="false" customHeight="true" outlineLevel="0" collapsed="false"/>
    <row r="37" customFormat="false" ht="16.5" hidden="false" customHeight="true" outlineLevel="0" collapsed="false"/>
    <row r="38" customFormat="false" ht="16.5" hidden="false" customHeight="true" outlineLevel="0" collapsed="false"/>
    <row r="39" customFormat="false" ht="16.5" hidden="false" customHeight="true" outlineLevel="0" collapsed="false"/>
    <row r="40" customFormat="false" ht="16.5" hidden="false" customHeight="true" outlineLevel="0" collapsed="false"/>
    <row r="41" customFormat="false" ht="16.5" hidden="false" customHeight="true" outlineLevel="0" collapsed="false"/>
    <row r="42" customFormat="false" ht="16.5" hidden="false" customHeight="true" outlineLevel="0" collapsed="false"/>
    <row r="43" customFormat="false" ht="16.5" hidden="false" customHeight="true" outlineLevel="0" collapsed="false"/>
    <row r="44" customFormat="false" ht="16.5" hidden="false" customHeight="true" outlineLevel="0" collapsed="false"/>
    <row r="45" customFormat="false" ht="16.5" hidden="false" customHeight="true" outlineLevel="0" collapsed="false"/>
    <row r="46" customFormat="false" ht="16.5" hidden="false" customHeight="true" outlineLevel="0" collapsed="false"/>
    <row r="47" customFormat="false" ht="16.5" hidden="false" customHeight="true" outlineLevel="0" collapsed="false"/>
    <row r="48" customFormat="false" ht="16.5" hidden="false" customHeight="true" outlineLevel="0" collapsed="false"/>
    <row r="49" customFormat="false" ht="16.5" hidden="false" customHeight="true" outlineLevel="0" collapsed="false"/>
    <row r="50" customFormat="false" ht="16.5" hidden="false" customHeight="true" outlineLevel="0" collapsed="false"/>
    <row r="51" customFormat="false" ht="16.5" hidden="false" customHeight="true" outlineLevel="0" collapsed="false"/>
    <row r="52" customFormat="false" ht="16.5" hidden="false" customHeight="true" outlineLevel="0" collapsed="false"/>
    <row r="53" customFormat="false" ht="16.5" hidden="false" customHeight="true" outlineLevel="0" collapsed="false"/>
    <row r="54" customFormat="false" ht="16.5" hidden="false" customHeight="true" outlineLevel="0" collapsed="false"/>
    <row r="55" customFormat="false" ht="16.5" hidden="false" customHeight="true" outlineLevel="0" collapsed="false"/>
    <row r="56" customFormat="false" ht="16.5" hidden="false" customHeight="true" outlineLevel="0" collapsed="false"/>
    <row r="57" customFormat="false" ht="16.5" hidden="false" customHeight="true" outlineLevel="0" collapsed="false"/>
    <row r="58" customFormat="false" ht="16.5" hidden="false" customHeight="true" outlineLevel="0" collapsed="false"/>
    <row r="59" customFormat="false" ht="16.5" hidden="false" customHeight="true" outlineLevel="0" collapsed="false"/>
    <row r="60" customFormat="false" ht="16.5" hidden="false" customHeight="true" outlineLevel="0" collapsed="false"/>
    <row r="61" customFormat="false" ht="16.5" hidden="false" customHeight="true" outlineLevel="0" collapsed="false"/>
    <row r="62" customFormat="false" ht="16.5" hidden="false" customHeight="true" outlineLevel="0" collapsed="false"/>
    <row r="63" customFormat="false" ht="16.5" hidden="false" customHeight="true" outlineLevel="0" collapsed="false"/>
    <row r="64" customFormat="false" ht="16.5" hidden="false" customHeight="true" outlineLevel="0" collapsed="false"/>
    <row r="65" customFormat="false" ht="16.5" hidden="false" customHeight="true" outlineLevel="0" collapsed="false"/>
    <row r="66" customFormat="false" ht="16.5" hidden="false" customHeight="true" outlineLevel="0" collapsed="false"/>
    <row r="67" customFormat="false" ht="16.5" hidden="false" customHeight="true" outlineLevel="0" collapsed="false"/>
    <row r="68" customFormat="false" ht="16.5" hidden="false" customHeight="true" outlineLevel="0" collapsed="false"/>
    <row r="69" customFormat="false" ht="16.5" hidden="false" customHeight="true" outlineLevel="0" collapsed="false"/>
    <row r="70" customFormat="false" ht="16.5" hidden="false" customHeight="true" outlineLevel="0" collapsed="false"/>
    <row r="71" customFormat="false" ht="16.5" hidden="false" customHeight="true" outlineLevel="0" collapsed="false"/>
    <row r="72" customFormat="false" ht="16.5" hidden="false" customHeight="true" outlineLevel="0" collapsed="false"/>
    <row r="73" customFormat="false" ht="16.5" hidden="false" customHeight="true" outlineLevel="0" collapsed="false"/>
    <row r="74" customFormat="false" ht="16.5" hidden="false" customHeight="true" outlineLevel="0" collapsed="false"/>
    <row r="75" customFormat="false" ht="16.5" hidden="false" customHeight="true" outlineLevel="0" collapsed="false"/>
    <row r="76" customFormat="false" ht="16.5" hidden="false" customHeight="true" outlineLevel="0" collapsed="false"/>
    <row r="77" customFormat="false" ht="16.5" hidden="false" customHeight="true" outlineLevel="0" collapsed="false"/>
    <row r="78" customFormat="false" ht="16.5" hidden="false" customHeight="true" outlineLevel="0" collapsed="false"/>
    <row r="79" customFormat="false" ht="16.5" hidden="false" customHeight="true" outlineLevel="0" collapsed="false"/>
    <row r="80" customFormat="false" ht="16.5" hidden="false" customHeight="true" outlineLevel="0" collapsed="false"/>
    <row r="81" customFormat="false" ht="16.5" hidden="false" customHeight="true" outlineLevel="0" collapsed="false"/>
    <row r="82" customFormat="false" ht="16.5" hidden="false" customHeight="true" outlineLevel="0" collapsed="false"/>
    <row r="83" customFormat="false" ht="16.5" hidden="false" customHeight="true" outlineLevel="0" collapsed="false"/>
    <row r="84" customFormat="false" ht="16.5" hidden="false" customHeight="true" outlineLevel="0" collapsed="false"/>
    <row r="85" customFormat="false" ht="16.5" hidden="false" customHeight="true" outlineLevel="0" collapsed="false"/>
    <row r="86" customFormat="false" ht="16.5" hidden="false" customHeight="true" outlineLevel="0" collapsed="false"/>
    <row r="87" customFormat="false" ht="16.5" hidden="false" customHeight="true" outlineLevel="0" collapsed="false"/>
    <row r="88" customFormat="false" ht="16.5" hidden="false" customHeight="true" outlineLevel="0" collapsed="false"/>
    <row r="89" customFormat="false" ht="16.5" hidden="false" customHeight="true" outlineLevel="0" collapsed="false"/>
    <row r="90" customFormat="false" ht="16.5" hidden="false" customHeight="true" outlineLevel="0" collapsed="false"/>
    <row r="91" customFormat="false" ht="16.5" hidden="false" customHeight="true" outlineLevel="0" collapsed="false"/>
    <row r="92" customFormat="false" ht="16.5" hidden="false" customHeight="true" outlineLevel="0" collapsed="false"/>
    <row r="93" customFormat="false" ht="16.5" hidden="false" customHeight="true" outlineLevel="0" collapsed="false"/>
    <row r="94" customFormat="false" ht="16.5" hidden="false" customHeight="true" outlineLevel="0" collapsed="false"/>
    <row r="95" customFormat="false" ht="16.5" hidden="false" customHeight="true" outlineLevel="0" collapsed="false"/>
    <row r="96" customFormat="false" ht="16.5" hidden="false" customHeight="true" outlineLevel="0" collapsed="false"/>
    <row r="97" customFormat="false" ht="16.5" hidden="false" customHeight="true" outlineLevel="0" collapsed="false"/>
    <row r="98" customFormat="false" ht="16.5" hidden="false" customHeight="true" outlineLevel="0" collapsed="false"/>
    <row r="99" customFormat="false" ht="16.5" hidden="false" customHeight="true" outlineLevel="0" collapsed="false"/>
  </sheetData>
  <mergeCells count="3">
    <mergeCell ref="B2:D2"/>
    <mergeCell ref="B3:D3"/>
    <mergeCell ref="C4:D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84C"/>
    <pageSetUpPr fitToPage="false"/>
  </sheetPr>
  <dimension ref="B1:H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4" min="3" style="1" width="18"/>
    <col collapsed="false" customWidth="true" hidden="false" outlineLevel="0" max="6" min="5" style="1" width="3"/>
    <col collapsed="false" customWidth="true" hidden="false" outlineLevel="0" max="7" min="7" style="1" width="28"/>
    <col collapsed="false" customWidth="true" hidden="false" outlineLevel="0" max="8" min="8" style="1" width="18"/>
    <col collapsed="false" customWidth="true" hidden="false" outlineLevel="0" max="9" min="9" style="1" width="3"/>
  </cols>
  <sheetData>
    <row r="1" customFormat="false" ht="6" hidden="false" customHeight="true" outlineLevel="0" collapsed="false"/>
    <row r="2" customFormat="false" ht="36" hidden="false" customHeight="true" outlineLevel="0" collapsed="false">
      <c r="B2" s="23" t="s">
        <v>289</v>
      </c>
      <c r="C2" s="23"/>
      <c r="D2" s="23"/>
      <c r="E2" s="23"/>
      <c r="F2" s="23"/>
      <c r="G2" s="23"/>
      <c r="H2" s="23"/>
    </row>
    <row r="3" customFormat="false" ht="21.75" hidden="false" customHeight="true" outlineLevel="0" collapsed="false">
      <c r="B3" s="3" t="s">
        <v>290</v>
      </c>
      <c r="C3" s="3"/>
      <c r="D3" s="3"/>
      <c r="E3" s="3"/>
      <c r="F3" s="3"/>
      <c r="G3" s="3"/>
      <c r="H3" s="3"/>
    </row>
    <row r="4" customFormat="false" ht="19.5" hidden="false" customHeight="true" outlineLevel="0" collapsed="false">
      <c r="B4" s="128" t="s">
        <v>291</v>
      </c>
      <c r="C4" s="128"/>
      <c r="D4" s="128"/>
      <c r="E4" s="129" t="n">
        <f aca="false">'General Ledger &amp; Trial Balance'!E5</f>
        <v>0</v>
      </c>
      <c r="F4" s="129"/>
      <c r="G4" s="129"/>
      <c r="H4" s="129"/>
    </row>
    <row r="5" customFormat="false" ht="7.5" hidden="false" customHeight="true" outlineLevel="0" collapsed="false"/>
    <row r="6" customFormat="false" ht="16.5" hidden="false" customHeight="true" outlineLevel="0" collapsed="false">
      <c r="B6" s="22" t="s">
        <v>292</v>
      </c>
      <c r="C6" s="22"/>
      <c r="D6" s="22"/>
      <c r="G6" s="3" t="s">
        <v>293</v>
      </c>
      <c r="H6" s="3"/>
    </row>
    <row r="7" customFormat="false" ht="16.5" hidden="false" customHeight="true" outlineLevel="0" collapsed="false">
      <c r="B7" s="107" t="s">
        <v>294</v>
      </c>
      <c r="C7" s="130" t="n">
        <f aca="false">'Income Statement'!C12</f>
        <v>0</v>
      </c>
      <c r="D7" s="130"/>
      <c r="G7" s="91" t="s">
        <v>295</v>
      </c>
      <c r="H7" s="91"/>
    </row>
    <row r="8" customFormat="false" ht="16.5" hidden="false" customHeight="true" outlineLevel="0" collapsed="false">
      <c r="B8" s="84" t="s">
        <v>296</v>
      </c>
      <c r="C8" s="131" t="n">
        <f aca="false">'Income Statement'!C31</f>
        <v>0</v>
      </c>
      <c r="D8" s="131"/>
      <c r="G8" s="88" t="s">
        <v>297</v>
      </c>
      <c r="H8" s="88"/>
    </row>
    <row r="9" customFormat="false" ht="16.5" hidden="false" customHeight="true" outlineLevel="0" collapsed="false">
      <c r="B9" s="97" t="s">
        <v>298</v>
      </c>
      <c r="C9" s="132" t="n">
        <f aca="false">'Income Statement'!C41</f>
        <v>0</v>
      </c>
      <c r="D9" s="132"/>
      <c r="G9" s="91" t="s">
        <v>299</v>
      </c>
      <c r="H9" s="91"/>
    </row>
    <row r="10" customFormat="false" ht="16.5" hidden="false" customHeight="true" outlineLevel="0" collapsed="false">
      <c r="B10" s="94" t="s">
        <v>300</v>
      </c>
      <c r="C10" s="133" t="n">
        <f aca="false">'Balance Sheet'!C26</f>
        <v>0</v>
      </c>
      <c r="D10" s="133"/>
      <c r="G10" s="88" t="s">
        <v>301</v>
      </c>
      <c r="H10" s="88"/>
    </row>
    <row r="11" customFormat="false" ht="16.5" hidden="false" customHeight="true" outlineLevel="0" collapsed="false">
      <c r="B11" s="84" t="s">
        <v>302</v>
      </c>
      <c r="C11" s="131" t="n">
        <f aca="false">'Balance Sheet'!C43</f>
        <v>0</v>
      </c>
      <c r="D11" s="131"/>
      <c r="G11" s="91" t="s">
        <v>303</v>
      </c>
      <c r="H11" s="91"/>
    </row>
    <row r="12" customFormat="false" ht="16.5" hidden="false" customHeight="true" outlineLevel="0" collapsed="false">
      <c r="B12" s="107" t="s">
        <v>304</v>
      </c>
      <c r="C12" s="130" t="n">
        <f aca="false">'Balance Sheet'!C51</f>
        <v>0</v>
      </c>
      <c r="D12" s="130"/>
      <c r="G12" s="88" t="s">
        <v>305</v>
      </c>
      <c r="H12" s="88"/>
    </row>
    <row r="13" customFormat="false" ht="16.5" hidden="false" customHeight="true" outlineLevel="0" collapsed="false">
      <c r="B13" s="94" t="s">
        <v>306</v>
      </c>
      <c r="C13" s="133" t="n">
        <f aca="false">'Cash Flow Statement'!C18</f>
        <v>0</v>
      </c>
      <c r="D13" s="133"/>
      <c r="G13" s="91" t="s">
        <v>307</v>
      </c>
      <c r="H13" s="91"/>
    </row>
    <row r="14" customFormat="false" ht="16.5" hidden="false" customHeight="true" outlineLevel="0" collapsed="false">
      <c r="B14" s="81" t="s">
        <v>308</v>
      </c>
      <c r="C14" s="134" t="n">
        <f aca="false">'General Ledger &amp; Trial Balance'!H53</f>
        <v>0</v>
      </c>
      <c r="D14" s="134"/>
      <c r="G14" s="88" t="s">
        <v>309</v>
      </c>
      <c r="H14" s="88"/>
    </row>
    <row r="15" customFormat="false" ht="16.5" hidden="false" customHeight="true" outlineLevel="0" collapsed="false"/>
    <row r="16" customFormat="false" ht="21.75" hidden="false" customHeight="true" outlineLevel="0" collapsed="false">
      <c r="B16" s="135" t="s">
        <v>310</v>
      </c>
      <c r="C16" s="135"/>
      <c r="D16" s="135"/>
      <c r="E16" s="135"/>
      <c r="F16" s="135"/>
      <c r="G16" s="135"/>
      <c r="H16" s="135"/>
    </row>
    <row r="17" customFormat="false" ht="16.5" hidden="false" customHeight="true" outlineLevel="0" collapsed="false"/>
    <row r="18" customFormat="false" ht="16.5" hidden="false" customHeight="true" outlineLevel="0" collapsed="false"/>
    <row r="19" customFormat="false" ht="16.5" hidden="false" customHeight="true" outlineLevel="0" collapsed="false"/>
    <row r="20" customFormat="false" ht="16.5" hidden="false" customHeight="true" outlineLevel="0" collapsed="false"/>
    <row r="21" customFormat="false" ht="16.5" hidden="false" customHeight="true" outlineLevel="0" collapsed="false"/>
    <row r="22" customFormat="false" ht="16.5" hidden="false" customHeight="true" outlineLevel="0" collapsed="false"/>
    <row r="23" customFormat="false" ht="16.5" hidden="false" customHeight="true" outlineLevel="0" collapsed="false"/>
    <row r="24" customFormat="false" ht="16.5" hidden="false" customHeight="true" outlineLevel="0" collapsed="false"/>
    <row r="25" customFormat="false" ht="16.5" hidden="false" customHeight="true" outlineLevel="0" collapsed="false"/>
    <row r="26" customFormat="false" ht="16.5" hidden="false" customHeight="true" outlineLevel="0" collapsed="false"/>
    <row r="27" customFormat="false" ht="16.5" hidden="false" customHeight="true" outlineLevel="0" collapsed="false"/>
    <row r="28" customFormat="false" ht="16.5" hidden="false" customHeight="true" outlineLevel="0" collapsed="false"/>
    <row r="29" customFormat="false" ht="16.5" hidden="false" customHeight="true" outlineLevel="0" collapsed="false"/>
    <row r="30" customFormat="false" ht="16.5" hidden="false" customHeight="true" outlineLevel="0" collapsed="false"/>
    <row r="31" customFormat="false" ht="16.5" hidden="false" customHeight="true" outlineLevel="0" collapsed="false"/>
    <row r="32" customFormat="false" ht="16.5" hidden="false" customHeight="true" outlineLevel="0" collapsed="false"/>
    <row r="33" customFormat="false" ht="16.5" hidden="false" customHeight="true" outlineLevel="0" collapsed="false"/>
    <row r="34" customFormat="false" ht="16.5" hidden="false" customHeight="true" outlineLevel="0" collapsed="false"/>
    <row r="35" customFormat="false" ht="16.5" hidden="false" customHeight="true" outlineLevel="0" collapsed="false"/>
    <row r="36" customFormat="false" ht="16.5" hidden="false" customHeight="true" outlineLevel="0" collapsed="false"/>
    <row r="37" customFormat="false" ht="16.5" hidden="false" customHeight="true" outlineLevel="0" collapsed="false"/>
    <row r="38" customFormat="false" ht="16.5" hidden="false" customHeight="true" outlineLevel="0" collapsed="false"/>
    <row r="39" customFormat="false" ht="16.5" hidden="false" customHeight="true" outlineLevel="0" collapsed="false"/>
    <row r="40" customFormat="false" ht="16.5" hidden="false" customHeight="true" outlineLevel="0" collapsed="false"/>
    <row r="41" customFormat="false" ht="16.5" hidden="false" customHeight="true" outlineLevel="0" collapsed="false"/>
    <row r="42" customFormat="false" ht="16.5" hidden="false" customHeight="true" outlineLevel="0" collapsed="false"/>
    <row r="43" customFormat="false" ht="16.5" hidden="false" customHeight="true" outlineLevel="0" collapsed="false"/>
    <row r="44" customFormat="false" ht="16.5" hidden="false" customHeight="true" outlineLevel="0" collapsed="false"/>
    <row r="45" customFormat="false" ht="16.5" hidden="false" customHeight="true" outlineLevel="0" collapsed="false"/>
    <row r="46" customFormat="false" ht="16.5" hidden="false" customHeight="true" outlineLevel="0" collapsed="false"/>
    <row r="47" customFormat="false" ht="16.5" hidden="false" customHeight="true" outlineLevel="0" collapsed="false"/>
    <row r="48" customFormat="false" ht="16.5" hidden="false" customHeight="true" outlineLevel="0" collapsed="false"/>
    <row r="49" customFormat="false" ht="16.5" hidden="false" customHeight="true" outlineLevel="0" collapsed="false"/>
    <row r="50" customFormat="false" ht="16.5" hidden="false" customHeight="true" outlineLevel="0" collapsed="false"/>
    <row r="51" customFormat="false" ht="16.5" hidden="false" customHeight="true" outlineLevel="0" collapsed="false"/>
    <row r="52" customFormat="false" ht="16.5" hidden="false" customHeight="true" outlineLevel="0" collapsed="false"/>
    <row r="53" customFormat="false" ht="16.5" hidden="false" customHeight="true" outlineLevel="0" collapsed="false"/>
    <row r="54" customFormat="false" ht="16.5" hidden="false" customHeight="true" outlineLevel="0" collapsed="false"/>
    <row r="55" customFormat="false" ht="16.5" hidden="false" customHeight="true" outlineLevel="0" collapsed="false"/>
    <row r="56" customFormat="false" ht="16.5" hidden="false" customHeight="true" outlineLevel="0" collapsed="false"/>
    <row r="57" customFormat="false" ht="16.5" hidden="false" customHeight="true" outlineLevel="0" collapsed="false"/>
    <row r="58" customFormat="false" ht="16.5" hidden="false" customHeight="true" outlineLevel="0" collapsed="false"/>
    <row r="59" customFormat="false" ht="16.5" hidden="false" customHeight="true" outlineLevel="0" collapsed="false"/>
    <row r="60" customFormat="false" ht="16.5" hidden="false" customHeight="true" outlineLevel="0" collapsed="false"/>
    <row r="61" customFormat="false" ht="16.5" hidden="false" customHeight="true" outlineLevel="0" collapsed="false"/>
    <row r="62" customFormat="false" ht="16.5" hidden="false" customHeight="true" outlineLevel="0" collapsed="false"/>
    <row r="63" customFormat="false" ht="16.5" hidden="false" customHeight="true" outlineLevel="0" collapsed="false"/>
    <row r="64" customFormat="false" ht="16.5" hidden="false" customHeight="true" outlineLevel="0" collapsed="false"/>
    <row r="65" customFormat="false" ht="16.5" hidden="false" customHeight="true" outlineLevel="0" collapsed="false"/>
    <row r="66" customFormat="false" ht="16.5" hidden="false" customHeight="true" outlineLevel="0" collapsed="false"/>
    <row r="67" customFormat="false" ht="16.5" hidden="false" customHeight="true" outlineLevel="0" collapsed="false"/>
    <row r="68" customFormat="false" ht="16.5" hidden="false" customHeight="true" outlineLevel="0" collapsed="false"/>
    <row r="69" customFormat="false" ht="16.5" hidden="false" customHeight="true" outlineLevel="0" collapsed="false"/>
    <row r="70" customFormat="false" ht="16.5" hidden="false" customHeight="true" outlineLevel="0" collapsed="false"/>
    <row r="71" customFormat="false" ht="16.5" hidden="false" customHeight="true" outlineLevel="0" collapsed="false"/>
    <row r="72" customFormat="false" ht="16.5" hidden="false" customHeight="true" outlineLevel="0" collapsed="false"/>
    <row r="73" customFormat="false" ht="16.5" hidden="false" customHeight="true" outlineLevel="0" collapsed="false"/>
    <row r="74" customFormat="false" ht="16.5" hidden="false" customHeight="true" outlineLevel="0" collapsed="false"/>
    <row r="75" customFormat="false" ht="16.5" hidden="false" customHeight="true" outlineLevel="0" collapsed="false"/>
    <row r="76" customFormat="false" ht="16.5" hidden="false" customHeight="true" outlineLevel="0" collapsed="false"/>
    <row r="77" customFormat="false" ht="16.5" hidden="false" customHeight="true" outlineLevel="0" collapsed="false"/>
    <row r="78" customFormat="false" ht="16.5" hidden="false" customHeight="true" outlineLevel="0" collapsed="false"/>
    <row r="79" customFormat="false" ht="16.5" hidden="false" customHeight="true" outlineLevel="0" collapsed="false"/>
    <row r="80" customFormat="false" ht="16.5" hidden="false" customHeight="true" outlineLevel="0" collapsed="false"/>
    <row r="81" customFormat="false" ht="16.5" hidden="false" customHeight="true" outlineLevel="0" collapsed="false"/>
    <row r="82" customFormat="false" ht="16.5" hidden="false" customHeight="true" outlineLevel="0" collapsed="false"/>
    <row r="83" customFormat="false" ht="16.5" hidden="false" customHeight="true" outlineLevel="0" collapsed="false"/>
    <row r="84" customFormat="false" ht="16.5" hidden="false" customHeight="true" outlineLevel="0" collapsed="false"/>
    <row r="85" customFormat="false" ht="16.5" hidden="false" customHeight="true" outlineLevel="0" collapsed="false"/>
    <row r="86" customFormat="false" ht="16.5" hidden="false" customHeight="true" outlineLevel="0" collapsed="false"/>
    <row r="87" customFormat="false" ht="16.5" hidden="false" customHeight="true" outlineLevel="0" collapsed="false"/>
    <row r="88" customFormat="false" ht="16.5" hidden="false" customHeight="true" outlineLevel="0" collapsed="false"/>
    <row r="89" customFormat="false" ht="16.5" hidden="false" customHeight="true" outlineLevel="0" collapsed="false"/>
    <row r="90" customFormat="false" ht="16.5" hidden="false" customHeight="true" outlineLevel="0" collapsed="false"/>
    <row r="91" customFormat="false" ht="16.5" hidden="false" customHeight="true" outlineLevel="0" collapsed="false"/>
    <row r="92" customFormat="false" ht="16.5" hidden="false" customHeight="true" outlineLevel="0" collapsed="false"/>
    <row r="93" customFormat="false" ht="16.5" hidden="false" customHeight="true" outlineLevel="0" collapsed="false"/>
    <row r="94" customFormat="false" ht="16.5" hidden="false" customHeight="true" outlineLevel="0" collapsed="false"/>
    <row r="95" customFormat="false" ht="16.5" hidden="false" customHeight="true" outlineLevel="0" collapsed="false"/>
    <row r="96" customFormat="false" ht="16.5" hidden="false" customHeight="true" outlineLevel="0" collapsed="false"/>
    <row r="97" customFormat="false" ht="16.5" hidden="false" customHeight="true" outlineLevel="0" collapsed="false"/>
    <row r="98" customFormat="false" ht="16.5" hidden="false" customHeight="true" outlineLevel="0" collapsed="false"/>
    <row r="99" customFormat="false" ht="16.5" hidden="false" customHeight="true" outlineLevel="0" collapsed="false"/>
  </sheetData>
  <mergeCells count="23">
    <mergeCell ref="B2:H2"/>
    <mergeCell ref="B3:H3"/>
    <mergeCell ref="B4:D4"/>
    <mergeCell ref="E4:H4"/>
    <mergeCell ref="B6:D6"/>
    <mergeCell ref="G6:H6"/>
    <mergeCell ref="C7:D7"/>
    <mergeCell ref="G7:H7"/>
    <mergeCell ref="C8:D8"/>
    <mergeCell ref="G8:H8"/>
    <mergeCell ref="C9:D9"/>
    <mergeCell ref="G9:H9"/>
    <mergeCell ref="C10:D10"/>
    <mergeCell ref="G10:H10"/>
    <mergeCell ref="C11:D11"/>
    <mergeCell ref="G11:H11"/>
    <mergeCell ref="C12:D12"/>
    <mergeCell ref="G12:H12"/>
    <mergeCell ref="C13:D13"/>
    <mergeCell ref="G13:H13"/>
    <mergeCell ref="C14:D14"/>
    <mergeCell ref="G14:H14"/>
    <mergeCell ref="B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F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4" min="3" style="1" width="18"/>
    <col collapsed="false" customWidth="true" hidden="false" outlineLevel="0" max="5" min="5" style="1" width="16"/>
    <col collapsed="false" customWidth="true" hidden="false" outlineLevel="0" max="6" min="6" style="1" width="22"/>
    <col collapsed="false" customWidth="true" hidden="false" outlineLevel="0" max="7" min="7" style="1" width="3"/>
  </cols>
  <sheetData>
    <row r="1" customFormat="false" ht="6" hidden="false" customHeight="true" outlineLevel="0" collapsed="false"/>
    <row r="2" customFormat="false" ht="33.75" hidden="false" customHeight="true" outlineLevel="0" collapsed="false">
      <c r="B2" s="136" t="s">
        <v>311</v>
      </c>
      <c r="C2" s="136"/>
      <c r="D2" s="136"/>
      <c r="E2" s="136"/>
      <c r="F2" s="136"/>
    </row>
    <row r="3" customFormat="false" ht="19.5" hidden="false" customHeight="true" outlineLevel="0" collapsed="false">
      <c r="B3" s="3" t="s">
        <v>312</v>
      </c>
      <c r="C3" s="3"/>
      <c r="D3" s="3"/>
      <c r="E3" s="3"/>
      <c r="F3" s="3"/>
    </row>
    <row r="4" customFormat="false" ht="16.5" hidden="false" customHeight="true" outlineLevel="0" collapsed="false"/>
    <row r="5" customFormat="false" ht="19.5" hidden="false" customHeight="true" outlineLevel="0" collapsed="false">
      <c r="B5" s="22" t="s">
        <v>313</v>
      </c>
      <c r="C5" s="22"/>
      <c r="D5" s="22"/>
      <c r="E5" s="22"/>
      <c r="F5" s="22"/>
    </row>
    <row r="6" customFormat="false" ht="16.5" hidden="false" customHeight="true" outlineLevel="0" collapsed="false">
      <c r="B6" s="3" t="s">
        <v>314</v>
      </c>
      <c r="C6" s="3"/>
      <c r="D6" s="3"/>
      <c r="E6" s="3"/>
      <c r="F6" s="3"/>
    </row>
    <row r="7" customFormat="false" ht="16.5" hidden="false" customHeight="true" outlineLevel="0" collapsed="false">
      <c r="B7" s="36" t="s">
        <v>315</v>
      </c>
      <c r="C7" s="36" t="s">
        <v>316</v>
      </c>
      <c r="D7" s="36" t="s">
        <v>317</v>
      </c>
      <c r="E7" s="36" t="s">
        <v>318</v>
      </c>
      <c r="F7" s="36" t="s">
        <v>140</v>
      </c>
    </row>
    <row r="8" customFormat="false" ht="16.5" hidden="false" customHeight="true" outlineLevel="0" collapsed="false">
      <c r="B8" s="137" t="s">
        <v>319</v>
      </c>
      <c r="C8" s="138" t="s">
        <v>320</v>
      </c>
      <c r="D8" s="67" t="s">
        <v>321</v>
      </c>
      <c r="E8" s="138" t="s">
        <v>320</v>
      </c>
      <c r="F8" s="139" t="s">
        <v>322</v>
      </c>
    </row>
    <row r="9" customFormat="false" ht="16.5" hidden="false" customHeight="true" outlineLevel="0" collapsed="false">
      <c r="B9" s="88" t="s">
        <v>323</v>
      </c>
      <c r="C9" s="140" t="s">
        <v>324</v>
      </c>
      <c r="D9" s="141" t="s">
        <v>325</v>
      </c>
      <c r="E9" s="140" t="s">
        <v>326</v>
      </c>
      <c r="F9" s="142" t="s">
        <v>327</v>
      </c>
    </row>
    <row r="10" customFormat="false" ht="16.5" hidden="false" customHeight="true" outlineLevel="0" collapsed="false">
      <c r="B10" s="91" t="s">
        <v>328</v>
      </c>
      <c r="C10" s="143" t="s">
        <v>326</v>
      </c>
      <c r="D10" s="144" t="s">
        <v>329</v>
      </c>
      <c r="E10" s="143" t="s">
        <v>330</v>
      </c>
      <c r="F10" s="145" t="s">
        <v>331</v>
      </c>
    </row>
    <row r="11" customFormat="false" ht="16.5" hidden="false" customHeight="true" outlineLevel="0" collapsed="false">
      <c r="B11" s="88" t="s">
        <v>332</v>
      </c>
      <c r="C11" s="140" t="s">
        <v>330</v>
      </c>
      <c r="D11" s="141" t="s">
        <v>333</v>
      </c>
      <c r="E11" s="140" t="s">
        <v>334</v>
      </c>
      <c r="F11" s="142" t="s">
        <v>335</v>
      </c>
    </row>
    <row r="12" customFormat="false" ht="16.5" hidden="false" customHeight="true" outlineLevel="0" collapsed="false">
      <c r="B12" s="91" t="s">
        <v>336</v>
      </c>
      <c r="C12" s="143" t="s">
        <v>334</v>
      </c>
      <c r="D12" s="144" t="s">
        <v>337</v>
      </c>
      <c r="E12" s="143" t="s">
        <v>338</v>
      </c>
      <c r="F12" s="145" t="s">
        <v>339</v>
      </c>
    </row>
    <row r="13" customFormat="false" ht="16.5" hidden="false" customHeight="true" outlineLevel="0" collapsed="false">
      <c r="B13" s="88" t="s">
        <v>340</v>
      </c>
      <c r="C13" s="140" t="s">
        <v>338</v>
      </c>
      <c r="D13" s="141" t="s">
        <v>341</v>
      </c>
      <c r="E13" s="140" t="s">
        <v>342</v>
      </c>
      <c r="F13" s="142" t="s">
        <v>343</v>
      </c>
    </row>
    <row r="14" customFormat="false" ht="7.5" hidden="false" customHeight="true" outlineLevel="0" collapsed="false"/>
    <row r="15" customFormat="false" ht="19.5" hidden="false" customHeight="true" outlineLevel="0" collapsed="false">
      <c r="B15" s="22" t="s">
        <v>344</v>
      </c>
      <c r="C15" s="22"/>
      <c r="D15" s="22"/>
      <c r="E15" s="22"/>
      <c r="F15" s="22"/>
    </row>
    <row r="16" customFormat="false" ht="16.5" hidden="false" customHeight="true" outlineLevel="0" collapsed="false">
      <c r="B16" s="3" t="s">
        <v>345</v>
      </c>
      <c r="C16" s="3"/>
      <c r="D16" s="3"/>
      <c r="E16" s="3"/>
      <c r="F16" s="3"/>
    </row>
    <row r="17" customFormat="false" ht="16.5" hidden="false" customHeight="true" outlineLevel="0" collapsed="false">
      <c r="B17" s="36" t="s">
        <v>346</v>
      </c>
      <c r="C17" s="36" t="s">
        <v>347</v>
      </c>
      <c r="D17" s="36" t="s">
        <v>348</v>
      </c>
      <c r="E17" s="36" t="s">
        <v>349</v>
      </c>
      <c r="F17" s="36" t="s">
        <v>350</v>
      </c>
    </row>
    <row r="18" customFormat="false" ht="16.5" hidden="false" customHeight="true" outlineLevel="0" collapsed="false">
      <c r="B18" s="91" t="s">
        <v>351</v>
      </c>
      <c r="C18" s="146" t="s">
        <v>352</v>
      </c>
      <c r="D18" s="91" t="s">
        <v>353</v>
      </c>
      <c r="E18" s="147" t="s">
        <v>354</v>
      </c>
      <c r="F18" s="145" t="s">
        <v>355</v>
      </c>
    </row>
    <row r="19" customFormat="false" ht="16.5" hidden="false" customHeight="true" outlineLevel="0" collapsed="false">
      <c r="B19" s="88" t="s">
        <v>356</v>
      </c>
      <c r="C19" s="148" t="s">
        <v>357</v>
      </c>
      <c r="D19" s="88" t="s">
        <v>358</v>
      </c>
      <c r="E19" s="149" t="s">
        <v>359</v>
      </c>
      <c r="F19" s="142" t="s">
        <v>360</v>
      </c>
    </row>
    <row r="20" customFormat="false" ht="16.5" hidden="false" customHeight="true" outlineLevel="0" collapsed="false">
      <c r="B20" s="91" t="s">
        <v>361</v>
      </c>
      <c r="C20" s="146" t="s">
        <v>362</v>
      </c>
      <c r="D20" s="91" t="s">
        <v>363</v>
      </c>
      <c r="E20" s="147" t="s">
        <v>354</v>
      </c>
      <c r="F20" s="145" t="s">
        <v>364</v>
      </c>
    </row>
    <row r="21" customFormat="false" ht="16.5" hidden="false" customHeight="true" outlineLevel="0" collapsed="false">
      <c r="B21" s="88" t="s">
        <v>365</v>
      </c>
      <c r="C21" s="148" t="s">
        <v>366</v>
      </c>
      <c r="D21" s="88" t="s">
        <v>367</v>
      </c>
      <c r="E21" s="149" t="s">
        <v>359</v>
      </c>
      <c r="F21" s="142" t="s">
        <v>368</v>
      </c>
    </row>
    <row r="22" customFormat="false" ht="7.5" hidden="false" customHeight="true" outlineLevel="0" collapsed="false"/>
    <row r="23" customFormat="false" ht="19.5" hidden="false" customHeight="true" outlineLevel="0" collapsed="false">
      <c r="B23" s="22" t="s">
        <v>369</v>
      </c>
      <c r="C23" s="22"/>
      <c r="D23" s="22"/>
      <c r="E23" s="22"/>
      <c r="F23" s="22"/>
    </row>
    <row r="24" customFormat="false" ht="16.5" hidden="false" customHeight="true" outlineLevel="0" collapsed="false">
      <c r="B24" s="36" t="s">
        <v>370</v>
      </c>
      <c r="C24" s="36" t="s">
        <v>371</v>
      </c>
      <c r="D24" s="36" t="s">
        <v>372</v>
      </c>
      <c r="E24" s="36" t="s">
        <v>373</v>
      </c>
      <c r="F24" s="36" t="s">
        <v>350</v>
      </c>
    </row>
    <row r="25" customFormat="false" ht="16.5" hidden="false" customHeight="true" outlineLevel="0" collapsed="false">
      <c r="B25" s="150" t="s">
        <v>374</v>
      </c>
      <c r="C25" s="151" t="s">
        <v>333</v>
      </c>
      <c r="D25" s="91" t="s">
        <v>375</v>
      </c>
      <c r="E25" s="147" t="s">
        <v>376</v>
      </c>
      <c r="F25" s="145" t="s">
        <v>377</v>
      </c>
    </row>
    <row r="26" customFormat="false" ht="16.5" hidden="false" customHeight="true" outlineLevel="0" collapsed="false">
      <c r="B26" s="137" t="s">
        <v>378</v>
      </c>
      <c r="C26" s="65" t="s">
        <v>329</v>
      </c>
      <c r="D26" s="14" t="s">
        <v>375</v>
      </c>
      <c r="E26" s="15" t="s">
        <v>379</v>
      </c>
      <c r="F26" s="139" t="s">
        <v>380</v>
      </c>
    </row>
    <row r="27" customFormat="false" ht="16.5" hidden="false" customHeight="true" outlineLevel="0" collapsed="false">
      <c r="B27" s="152" t="s">
        <v>381</v>
      </c>
      <c r="C27" s="153" t="s">
        <v>382</v>
      </c>
      <c r="D27" s="5" t="s">
        <v>375</v>
      </c>
      <c r="E27" s="6" t="s">
        <v>359</v>
      </c>
      <c r="F27" s="154" t="s">
        <v>383</v>
      </c>
    </row>
    <row r="28" customFormat="false" ht="16.5" hidden="false" customHeight="true" outlineLevel="0" collapsed="false">
      <c r="B28" s="155" t="s">
        <v>384</v>
      </c>
      <c r="C28" s="156" t="s">
        <v>385</v>
      </c>
      <c r="D28" s="88" t="s">
        <v>386</v>
      </c>
      <c r="E28" s="149" t="s">
        <v>359</v>
      </c>
      <c r="F28" s="142" t="s">
        <v>387</v>
      </c>
    </row>
    <row r="29" customFormat="false" ht="16.5" hidden="false" customHeight="true" outlineLevel="0" collapsed="false">
      <c r="B29" s="150" t="s">
        <v>388</v>
      </c>
      <c r="C29" s="151" t="s">
        <v>333</v>
      </c>
      <c r="D29" s="91" t="s">
        <v>389</v>
      </c>
      <c r="E29" s="147" t="s">
        <v>390</v>
      </c>
      <c r="F29" s="145" t="s">
        <v>391</v>
      </c>
    </row>
    <row r="30" customFormat="false" ht="16.5" hidden="false" customHeight="true" outlineLevel="0" collapsed="false">
      <c r="B30" s="155" t="s">
        <v>392</v>
      </c>
      <c r="C30" s="156" t="s">
        <v>333</v>
      </c>
      <c r="D30" s="88" t="s">
        <v>393</v>
      </c>
      <c r="E30" s="149" t="s">
        <v>394</v>
      </c>
      <c r="F30" s="142" t="s">
        <v>395</v>
      </c>
    </row>
    <row r="31" customFormat="false" ht="16.5" hidden="false" customHeight="true" outlineLevel="0" collapsed="false">
      <c r="B31" s="157" t="s">
        <v>396</v>
      </c>
      <c r="C31" s="158" t="s">
        <v>329</v>
      </c>
      <c r="D31" s="20" t="s">
        <v>397</v>
      </c>
      <c r="E31" s="21" t="s">
        <v>359</v>
      </c>
      <c r="F31" s="159" t="s">
        <v>398</v>
      </c>
    </row>
    <row r="32" customFormat="false" ht="16.5" hidden="false" customHeight="true" outlineLevel="0" collapsed="false">
      <c r="B32" s="160" t="s">
        <v>399</v>
      </c>
      <c r="C32" s="63" t="s">
        <v>325</v>
      </c>
      <c r="D32" s="11" t="s">
        <v>400</v>
      </c>
      <c r="E32" s="12" t="s">
        <v>359</v>
      </c>
      <c r="F32" s="161" t="s">
        <v>401</v>
      </c>
    </row>
    <row r="33" customFormat="false" ht="7.5" hidden="false" customHeight="true" outlineLevel="0" collapsed="false"/>
    <row r="34" customFormat="false" ht="19.5" hidden="false" customHeight="true" outlineLevel="0" collapsed="false">
      <c r="B34" s="22" t="s">
        <v>402</v>
      </c>
      <c r="C34" s="22"/>
      <c r="D34" s="22"/>
      <c r="E34" s="22"/>
      <c r="F34" s="22"/>
    </row>
    <row r="35" customFormat="false" ht="16.5" hidden="false" customHeight="true" outlineLevel="0" collapsed="false">
      <c r="B35" s="36" t="s">
        <v>403</v>
      </c>
      <c r="C35" s="36" t="s">
        <v>347</v>
      </c>
      <c r="D35" s="36" t="s">
        <v>404</v>
      </c>
      <c r="E35" s="36" t="s">
        <v>405</v>
      </c>
      <c r="F35" s="36" t="s">
        <v>350</v>
      </c>
    </row>
    <row r="36" customFormat="false" ht="16.5" hidden="false" customHeight="true" outlineLevel="0" collapsed="false">
      <c r="B36" s="150" t="s">
        <v>406</v>
      </c>
      <c r="C36" s="151" t="s">
        <v>407</v>
      </c>
      <c r="D36" s="91" t="s">
        <v>408</v>
      </c>
      <c r="E36" s="91" t="s">
        <v>409</v>
      </c>
      <c r="F36" s="145" t="s">
        <v>410</v>
      </c>
    </row>
    <row r="37" customFormat="false" ht="16.5" hidden="false" customHeight="true" outlineLevel="0" collapsed="false">
      <c r="B37" s="137" t="s">
        <v>411</v>
      </c>
      <c r="C37" s="65" t="s">
        <v>412</v>
      </c>
      <c r="D37" s="14" t="s">
        <v>413</v>
      </c>
      <c r="E37" s="14" t="s">
        <v>414</v>
      </c>
      <c r="F37" s="139" t="s">
        <v>415</v>
      </c>
    </row>
    <row r="38" customFormat="false" ht="16.5" hidden="false" customHeight="true" outlineLevel="0" collapsed="false">
      <c r="B38" s="155" t="s">
        <v>416</v>
      </c>
      <c r="C38" s="156" t="s">
        <v>385</v>
      </c>
      <c r="D38" s="88" t="s">
        <v>417</v>
      </c>
      <c r="E38" s="88" t="s">
        <v>418</v>
      </c>
      <c r="F38" s="142" t="s">
        <v>419</v>
      </c>
    </row>
    <row r="39" customFormat="false" ht="16.5" hidden="false" customHeight="true" outlineLevel="0" collapsed="false">
      <c r="B39" s="152" t="s">
        <v>420</v>
      </c>
      <c r="C39" s="153" t="s">
        <v>421</v>
      </c>
      <c r="D39" s="5" t="s">
        <v>422</v>
      </c>
      <c r="E39" s="5" t="s">
        <v>423</v>
      </c>
      <c r="F39" s="154" t="s">
        <v>424</v>
      </c>
    </row>
    <row r="40" customFormat="false" ht="16.5" hidden="false" customHeight="true" outlineLevel="0" collapsed="false">
      <c r="B40" s="157" t="s">
        <v>425</v>
      </c>
      <c r="C40" s="158" t="s">
        <v>407</v>
      </c>
      <c r="D40" s="20" t="s">
        <v>426</v>
      </c>
      <c r="E40" s="20" t="s">
        <v>427</v>
      </c>
      <c r="F40" s="159" t="s">
        <v>428</v>
      </c>
    </row>
    <row r="41" customFormat="false" ht="7.5" hidden="false" customHeight="true" outlineLevel="0" collapsed="false"/>
    <row r="42" customFormat="false" ht="19.5" hidden="false" customHeight="true" outlineLevel="0" collapsed="false">
      <c r="B42" s="22" t="s">
        <v>429</v>
      </c>
      <c r="C42" s="22"/>
      <c r="D42" s="22"/>
      <c r="E42" s="22"/>
      <c r="F42" s="22"/>
    </row>
    <row r="43" customFormat="false" ht="16.5" hidden="false" customHeight="true" outlineLevel="0" collapsed="false">
      <c r="B43" s="36" t="s">
        <v>430</v>
      </c>
      <c r="C43" s="36" t="s">
        <v>431</v>
      </c>
      <c r="D43" s="36" t="s">
        <v>432</v>
      </c>
      <c r="E43" s="36" t="s">
        <v>433</v>
      </c>
      <c r="F43" s="36" t="s">
        <v>350</v>
      </c>
    </row>
    <row r="44" customFormat="false" ht="16.5" hidden="false" customHeight="true" outlineLevel="0" collapsed="false">
      <c r="B44" s="91" t="s">
        <v>434</v>
      </c>
      <c r="C44" s="146" t="s">
        <v>435</v>
      </c>
      <c r="D44" s="162" t="s">
        <v>436</v>
      </c>
      <c r="E44" s="147" t="s">
        <v>437</v>
      </c>
      <c r="F44" s="145" t="s">
        <v>438</v>
      </c>
    </row>
    <row r="45" customFormat="false" ht="16.5" hidden="false" customHeight="true" outlineLevel="0" collapsed="false">
      <c r="B45" s="88" t="s">
        <v>439</v>
      </c>
      <c r="C45" s="148" t="s">
        <v>325</v>
      </c>
      <c r="D45" s="163" t="s">
        <v>436</v>
      </c>
      <c r="E45" s="149" t="s">
        <v>437</v>
      </c>
      <c r="F45" s="142" t="s">
        <v>440</v>
      </c>
    </row>
    <row r="46" customFormat="false" ht="16.5" hidden="false" customHeight="true" outlineLevel="0" collapsed="false">
      <c r="B46" s="91" t="s">
        <v>441</v>
      </c>
      <c r="C46" s="146" t="s">
        <v>442</v>
      </c>
      <c r="D46" s="162" t="s">
        <v>436</v>
      </c>
      <c r="E46" s="147" t="s">
        <v>437</v>
      </c>
      <c r="F46" s="145" t="s">
        <v>443</v>
      </c>
    </row>
    <row r="47" customFormat="false" ht="16.5" hidden="false" customHeight="true" outlineLevel="0" collapsed="false">
      <c r="B47" s="88" t="s">
        <v>444</v>
      </c>
      <c r="C47" s="148" t="s">
        <v>329</v>
      </c>
      <c r="D47" s="156" t="s">
        <v>445</v>
      </c>
      <c r="E47" s="149" t="s">
        <v>446</v>
      </c>
      <c r="F47" s="142" t="s">
        <v>447</v>
      </c>
    </row>
    <row r="48" customFormat="false" ht="16.5" hidden="false" customHeight="true" outlineLevel="0" collapsed="false">
      <c r="B48" s="91" t="s">
        <v>448</v>
      </c>
      <c r="C48" s="146" t="s">
        <v>325</v>
      </c>
      <c r="D48" s="151" t="s">
        <v>445</v>
      </c>
      <c r="E48" s="147" t="s">
        <v>446</v>
      </c>
      <c r="F48" s="145" t="s">
        <v>449</v>
      </c>
    </row>
    <row r="49" customFormat="false" ht="16.5" hidden="false" customHeight="true" outlineLevel="0" collapsed="false">
      <c r="B49" s="88" t="s">
        <v>450</v>
      </c>
      <c r="C49" s="148" t="s">
        <v>382</v>
      </c>
      <c r="D49" s="156" t="s">
        <v>445</v>
      </c>
      <c r="E49" s="149" t="s">
        <v>446</v>
      </c>
      <c r="F49" s="142" t="s">
        <v>451</v>
      </c>
    </row>
    <row r="50" customFormat="false" ht="16.5" hidden="false" customHeight="true" outlineLevel="0" collapsed="false">
      <c r="B50" s="91" t="s">
        <v>452</v>
      </c>
      <c r="C50" s="146" t="s">
        <v>333</v>
      </c>
      <c r="D50" s="151" t="s">
        <v>445</v>
      </c>
      <c r="E50" s="147" t="s">
        <v>446</v>
      </c>
      <c r="F50" s="145" t="s">
        <v>453</v>
      </c>
    </row>
    <row r="51" customFormat="false" ht="16.5" hidden="false" customHeight="true" outlineLevel="0" collapsed="false">
      <c r="B51" s="88" t="s">
        <v>454</v>
      </c>
      <c r="C51" s="148" t="s">
        <v>382</v>
      </c>
      <c r="D51" s="156" t="s">
        <v>445</v>
      </c>
      <c r="E51" s="149" t="s">
        <v>446</v>
      </c>
      <c r="F51" s="142" t="s">
        <v>455</v>
      </c>
    </row>
    <row r="52" customFormat="false" ht="16.5" hidden="false" customHeight="true" outlineLevel="0" collapsed="false">
      <c r="B52" s="91" t="s">
        <v>456</v>
      </c>
      <c r="C52" s="146" t="s">
        <v>329</v>
      </c>
      <c r="D52" s="151" t="s">
        <v>445</v>
      </c>
      <c r="E52" s="147" t="s">
        <v>446</v>
      </c>
      <c r="F52" s="145" t="s">
        <v>457</v>
      </c>
    </row>
    <row r="53" customFormat="false" ht="16.5" hidden="false" customHeight="true" outlineLevel="0" collapsed="false">
      <c r="B53" s="88" t="s">
        <v>458</v>
      </c>
      <c r="C53" s="148" t="s">
        <v>329</v>
      </c>
      <c r="D53" s="156" t="s">
        <v>445</v>
      </c>
      <c r="E53" s="149" t="s">
        <v>446</v>
      </c>
      <c r="F53" s="142" t="s">
        <v>459</v>
      </c>
    </row>
    <row r="54" customFormat="false" ht="16.5" hidden="false" customHeight="true" outlineLevel="0" collapsed="false">
      <c r="B54" s="91" t="s">
        <v>460</v>
      </c>
      <c r="C54" s="146" t="s">
        <v>461</v>
      </c>
      <c r="D54" s="151" t="s">
        <v>445</v>
      </c>
      <c r="E54" s="147" t="s">
        <v>462</v>
      </c>
      <c r="F54" s="145" t="s">
        <v>463</v>
      </c>
    </row>
    <row r="55" customFormat="false" ht="16.5" hidden="false" customHeight="true" outlineLevel="0" collapsed="false">
      <c r="B55" s="88" t="s">
        <v>464</v>
      </c>
      <c r="C55" s="148" t="s">
        <v>325</v>
      </c>
      <c r="D55" s="156" t="s">
        <v>445</v>
      </c>
      <c r="E55" s="149" t="s">
        <v>465</v>
      </c>
      <c r="F55" s="142" t="s">
        <v>466</v>
      </c>
    </row>
    <row r="56" customFormat="false" ht="16.5" hidden="false" customHeight="true" outlineLevel="0" collapsed="false">
      <c r="B56" s="91" t="s">
        <v>467</v>
      </c>
      <c r="C56" s="146" t="s">
        <v>468</v>
      </c>
      <c r="D56" s="151" t="s">
        <v>445</v>
      </c>
      <c r="E56" s="147" t="s">
        <v>469</v>
      </c>
      <c r="F56" s="145" t="s">
        <v>470</v>
      </c>
    </row>
    <row r="57" customFormat="false" ht="16.5" hidden="false" customHeight="true" outlineLevel="0" collapsed="false">
      <c r="B57" s="88" t="s">
        <v>471</v>
      </c>
      <c r="C57" s="148" t="s">
        <v>341</v>
      </c>
      <c r="D57" s="156" t="s">
        <v>445</v>
      </c>
      <c r="E57" s="149" t="s">
        <v>472</v>
      </c>
      <c r="F57" s="142" t="s">
        <v>473</v>
      </c>
    </row>
    <row r="58" customFormat="false" ht="16.5" hidden="false" customHeight="true" outlineLevel="0" collapsed="false">
      <c r="B58" s="14" t="s">
        <v>474</v>
      </c>
      <c r="C58" s="164" t="s">
        <v>321</v>
      </c>
      <c r="D58" s="165" t="s">
        <v>320</v>
      </c>
      <c r="E58" s="15" t="s">
        <v>475</v>
      </c>
      <c r="F58" s="139" t="s">
        <v>476</v>
      </c>
    </row>
    <row r="59" customFormat="false" ht="7.5" hidden="false" customHeight="true" outlineLevel="0" collapsed="false"/>
    <row r="60" customFormat="false" ht="19.5" hidden="false" customHeight="true" outlineLevel="0" collapsed="false">
      <c r="B60" s="22" t="s">
        <v>477</v>
      </c>
      <c r="C60" s="22"/>
      <c r="D60" s="22"/>
      <c r="E60" s="22"/>
      <c r="F60" s="22"/>
    </row>
    <row r="61" customFormat="false" ht="16.5" hidden="false" customHeight="true" outlineLevel="0" collapsed="false">
      <c r="B61" s="36" t="s">
        <v>478</v>
      </c>
      <c r="C61" s="36" t="s">
        <v>479</v>
      </c>
      <c r="D61" s="36" t="s">
        <v>372</v>
      </c>
      <c r="E61" s="36" t="s">
        <v>433</v>
      </c>
      <c r="F61" s="36" t="s">
        <v>140</v>
      </c>
    </row>
    <row r="62" customFormat="false" ht="16.5" hidden="false" customHeight="true" outlineLevel="0" collapsed="false">
      <c r="B62" s="91" t="s">
        <v>480</v>
      </c>
      <c r="C62" s="146" t="s">
        <v>481</v>
      </c>
      <c r="D62" s="91" t="s">
        <v>482</v>
      </c>
      <c r="E62" s="147" t="s">
        <v>483</v>
      </c>
      <c r="F62" s="145" t="s">
        <v>484</v>
      </c>
    </row>
    <row r="63" customFormat="false" ht="16.5" hidden="false" customHeight="true" outlineLevel="0" collapsed="false">
      <c r="B63" s="88" t="s">
        <v>485</v>
      </c>
      <c r="C63" s="148" t="s">
        <v>486</v>
      </c>
      <c r="D63" s="88" t="s">
        <v>487</v>
      </c>
      <c r="E63" s="149" t="s">
        <v>483</v>
      </c>
      <c r="F63" s="142" t="s">
        <v>488</v>
      </c>
    </row>
    <row r="64" customFormat="false" ht="16.5" hidden="false" customHeight="true" outlineLevel="0" collapsed="false">
      <c r="B64" s="91" t="s">
        <v>489</v>
      </c>
      <c r="C64" s="146" t="s">
        <v>490</v>
      </c>
      <c r="D64" s="91" t="s">
        <v>491</v>
      </c>
      <c r="E64" s="147" t="s">
        <v>483</v>
      </c>
      <c r="F64" s="145" t="s">
        <v>492</v>
      </c>
    </row>
    <row r="65" customFormat="false" ht="16.5" hidden="false" customHeight="true" outlineLevel="0" collapsed="false">
      <c r="B65" s="88" t="s">
        <v>493</v>
      </c>
      <c r="C65" s="148" t="s">
        <v>494</v>
      </c>
      <c r="D65" s="88" t="s">
        <v>495</v>
      </c>
      <c r="E65" s="149" t="s">
        <v>483</v>
      </c>
      <c r="F65" s="142" t="s">
        <v>496</v>
      </c>
    </row>
    <row r="66" customFormat="false" ht="16.5" hidden="false" customHeight="true" outlineLevel="0" collapsed="false">
      <c r="B66" s="91" t="s">
        <v>497</v>
      </c>
      <c r="C66" s="146" t="s">
        <v>498</v>
      </c>
      <c r="D66" s="91" t="s">
        <v>499</v>
      </c>
      <c r="E66" s="147" t="s">
        <v>483</v>
      </c>
      <c r="F66" s="145" t="s">
        <v>500</v>
      </c>
    </row>
    <row r="67" customFormat="false" ht="16.5" hidden="false" customHeight="true" outlineLevel="0" collapsed="false">
      <c r="B67" s="88" t="s">
        <v>501</v>
      </c>
      <c r="C67" s="148" t="s">
        <v>502</v>
      </c>
      <c r="D67" s="88" t="s">
        <v>503</v>
      </c>
      <c r="E67" s="149" t="s">
        <v>483</v>
      </c>
      <c r="F67" s="142" t="s">
        <v>504</v>
      </c>
    </row>
    <row r="68" customFormat="false" ht="16.5" hidden="false" customHeight="true" outlineLevel="0" collapsed="false">
      <c r="B68" s="91" t="s">
        <v>505</v>
      </c>
      <c r="C68" s="146" t="s">
        <v>506</v>
      </c>
      <c r="D68" s="91" t="s">
        <v>507</v>
      </c>
      <c r="E68" s="147" t="s">
        <v>483</v>
      </c>
      <c r="F68" s="145" t="s">
        <v>508</v>
      </c>
    </row>
    <row r="69" customFormat="false" ht="7.5" hidden="false" customHeight="true" outlineLevel="0" collapsed="false"/>
    <row r="70" customFormat="false" ht="19.5" hidden="false" customHeight="true" outlineLevel="0" collapsed="false">
      <c r="B70" s="22" t="s">
        <v>509</v>
      </c>
      <c r="C70" s="22"/>
      <c r="D70" s="22"/>
      <c r="E70" s="22"/>
      <c r="F70" s="22"/>
    </row>
    <row r="71" customFormat="false" ht="16.5" hidden="false" customHeight="true" outlineLevel="0" collapsed="false">
      <c r="B71" s="36" t="s">
        <v>510</v>
      </c>
      <c r="C71" s="36" t="s">
        <v>433</v>
      </c>
      <c r="D71" s="36" t="s">
        <v>511</v>
      </c>
      <c r="E71" s="36" t="s">
        <v>512</v>
      </c>
      <c r="F71" s="36" t="s">
        <v>513</v>
      </c>
    </row>
    <row r="72" customFormat="false" ht="16.5" hidden="false" customHeight="true" outlineLevel="0" collapsed="false">
      <c r="B72" s="91" t="s">
        <v>514</v>
      </c>
      <c r="C72" s="146" t="s">
        <v>515</v>
      </c>
      <c r="D72" s="147" t="s">
        <v>516</v>
      </c>
      <c r="E72" s="91" t="s">
        <v>517</v>
      </c>
      <c r="F72" s="166" t="s">
        <v>518</v>
      </c>
    </row>
    <row r="73" customFormat="false" ht="16.5" hidden="false" customHeight="true" outlineLevel="0" collapsed="false">
      <c r="B73" s="88" t="s">
        <v>519</v>
      </c>
      <c r="C73" s="148" t="s">
        <v>520</v>
      </c>
      <c r="D73" s="149" t="s">
        <v>516</v>
      </c>
      <c r="E73" s="88" t="s">
        <v>517</v>
      </c>
      <c r="F73" s="167" t="s">
        <v>521</v>
      </c>
    </row>
    <row r="74" customFormat="false" ht="16.5" hidden="false" customHeight="true" outlineLevel="0" collapsed="false">
      <c r="B74" s="91" t="s">
        <v>522</v>
      </c>
      <c r="C74" s="146" t="s">
        <v>523</v>
      </c>
      <c r="D74" s="147" t="s">
        <v>516</v>
      </c>
      <c r="E74" s="91" t="s">
        <v>524</v>
      </c>
      <c r="F74" s="166" t="s">
        <v>525</v>
      </c>
    </row>
    <row r="75" customFormat="false" ht="16.5" hidden="false" customHeight="true" outlineLevel="0" collapsed="false">
      <c r="B75" s="88" t="s">
        <v>526</v>
      </c>
      <c r="C75" s="148" t="s">
        <v>527</v>
      </c>
      <c r="D75" s="149" t="s">
        <v>528</v>
      </c>
      <c r="E75" s="88" t="s">
        <v>529</v>
      </c>
      <c r="F75" s="167" t="s">
        <v>525</v>
      </c>
    </row>
    <row r="76" customFormat="false" ht="16.5" hidden="false" customHeight="true" outlineLevel="0" collapsed="false">
      <c r="B76" s="91" t="s">
        <v>530</v>
      </c>
      <c r="C76" s="146" t="s">
        <v>531</v>
      </c>
      <c r="D76" s="147" t="s">
        <v>528</v>
      </c>
      <c r="E76" s="91" t="s">
        <v>532</v>
      </c>
      <c r="F76" s="166" t="s">
        <v>521</v>
      </c>
    </row>
    <row r="77" customFormat="false" ht="16.5" hidden="false" customHeight="true" outlineLevel="0" collapsed="false">
      <c r="B77" s="88" t="s">
        <v>533</v>
      </c>
      <c r="C77" s="148" t="s">
        <v>534</v>
      </c>
      <c r="D77" s="149" t="s">
        <v>122</v>
      </c>
      <c r="E77" s="88" t="s">
        <v>535</v>
      </c>
      <c r="F77" s="167" t="s">
        <v>525</v>
      </c>
    </row>
    <row r="78" customFormat="false" ht="16.5" hidden="false" customHeight="true" outlineLevel="0" collapsed="false">
      <c r="B78" s="91" t="s">
        <v>536</v>
      </c>
      <c r="C78" s="146" t="s">
        <v>537</v>
      </c>
      <c r="D78" s="147" t="s">
        <v>528</v>
      </c>
      <c r="E78" s="91" t="s">
        <v>538</v>
      </c>
      <c r="F78" s="166" t="s">
        <v>539</v>
      </c>
    </row>
    <row r="79" customFormat="false" ht="16.5" hidden="false" customHeight="true" outlineLevel="0" collapsed="false">
      <c r="B79" s="88" t="s">
        <v>540</v>
      </c>
      <c r="C79" s="148" t="s">
        <v>541</v>
      </c>
      <c r="D79" s="149" t="s">
        <v>528</v>
      </c>
      <c r="E79" s="88" t="s">
        <v>538</v>
      </c>
      <c r="F79" s="167" t="s">
        <v>542</v>
      </c>
    </row>
    <row r="80" customFormat="false" ht="16.5" hidden="false" customHeight="true" outlineLevel="0" collapsed="false">
      <c r="B80" s="91" t="s">
        <v>543</v>
      </c>
      <c r="C80" s="146" t="s">
        <v>544</v>
      </c>
      <c r="D80" s="147" t="s">
        <v>122</v>
      </c>
      <c r="E80" s="91" t="s">
        <v>545</v>
      </c>
      <c r="F80" s="166" t="s">
        <v>542</v>
      </c>
    </row>
    <row r="81" customFormat="false" ht="16.5" hidden="false" customHeight="true" outlineLevel="0" collapsed="false">
      <c r="B81" s="88" t="s">
        <v>546</v>
      </c>
      <c r="C81" s="148" t="s">
        <v>547</v>
      </c>
      <c r="D81" s="149" t="s">
        <v>528</v>
      </c>
      <c r="E81" s="88" t="s">
        <v>548</v>
      </c>
      <c r="F81" s="167" t="s">
        <v>542</v>
      </c>
    </row>
    <row r="82" customFormat="false" ht="16.5" hidden="false" customHeight="true" outlineLevel="0" collapsed="false">
      <c r="B82" s="91" t="s">
        <v>549</v>
      </c>
      <c r="C82" s="146" t="s">
        <v>550</v>
      </c>
      <c r="D82" s="147" t="s">
        <v>516</v>
      </c>
      <c r="E82" s="91" t="s">
        <v>551</v>
      </c>
      <c r="F82" s="166" t="s">
        <v>552</v>
      </c>
    </row>
    <row r="83" customFormat="false" ht="16.5" hidden="false" customHeight="true" outlineLevel="0" collapsed="false">
      <c r="B83" s="88" t="s">
        <v>553</v>
      </c>
      <c r="C83" s="148" t="s">
        <v>475</v>
      </c>
      <c r="D83" s="149" t="s">
        <v>554</v>
      </c>
      <c r="E83" s="88" t="s">
        <v>555</v>
      </c>
      <c r="F83" s="167" t="s">
        <v>556</v>
      </c>
    </row>
    <row r="84" customFormat="false" ht="7.5" hidden="false" customHeight="true" outlineLevel="0" collapsed="false"/>
    <row r="85" customFormat="false" ht="19.5" hidden="false" customHeight="true" outlineLevel="0" collapsed="false">
      <c r="B85" s="128" t="s">
        <v>557</v>
      </c>
      <c r="C85" s="128"/>
      <c r="D85" s="128"/>
      <c r="E85" s="128"/>
      <c r="F85" s="128"/>
    </row>
    <row r="86" customFormat="false" ht="18" hidden="false" customHeight="true" outlineLevel="0" collapsed="false">
      <c r="B86" s="168" t="s">
        <v>558</v>
      </c>
      <c r="C86" s="168"/>
      <c r="D86" s="168"/>
      <c r="E86" s="168"/>
      <c r="F86" s="168"/>
    </row>
    <row r="87" customFormat="false" ht="18" hidden="false" customHeight="true" outlineLevel="0" collapsed="false">
      <c r="B87" s="169" t="s">
        <v>559</v>
      </c>
      <c r="C87" s="169"/>
      <c r="D87" s="169"/>
      <c r="E87" s="169"/>
      <c r="F87" s="169"/>
    </row>
    <row r="88" customFormat="false" ht="18" hidden="false" customHeight="true" outlineLevel="0" collapsed="false">
      <c r="B88" s="169" t="s">
        <v>560</v>
      </c>
      <c r="C88" s="169"/>
      <c r="D88" s="169"/>
      <c r="E88" s="169"/>
      <c r="F88" s="169"/>
    </row>
    <row r="89" customFormat="false" ht="7.5" hidden="false" customHeight="true" outlineLevel="0" collapsed="false"/>
    <row r="90" customFormat="false" ht="43.5" hidden="false" customHeight="true" outlineLevel="0" collapsed="false">
      <c r="B90" s="170" t="s">
        <v>561</v>
      </c>
      <c r="C90" s="170"/>
      <c r="D90" s="170"/>
      <c r="E90" s="170"/>
      <c r="F90" s="170"/>
    </row>
    <row r="91" customFormat="false" ht="16.5" hidden="false" customHeight="true" outlineLevel="0" collapsed="false"/>
    <row r="92" customFormat="false" ht="16.5" hidden="false" customHeight="true" outlineLevel="0" collapsed="false"/>
    <row r="93" customFormat="false" ht="16.5" hidden="false" customHeight="true" outlineLevel="0" collapsed="false"/>
    <row r="94" customFormat="false" ht="16.5" hidden="false" customHeight="true" outlineLevel="0" collapsed="false"/>
    <row r="95" customFormat="false" ht="16.5" hidden="false" customHeight="true" outlineLevel="0" collapsed="false"/>
    <row r="96" customFormat="false" ht="16.5" hidden="false" customHeight="true" outlineLevel="0" collapsed="false"/>
    <row r="97" customFormat="false" ht="16.5" hidden="false" customHeight="true" outlineLevel="0" collapsed="false"/>
    <row r="98" customFormat="false" ht="16.5" hidden="false" customHeight="true" outlineLevel="0" collapsed="false"/>
    <row r="99" customFormat="false" ht="16.5" hidden="false" customHeight="true" outlineLevel="0" collapsed="false"/>
    <row r="100" customFormat="false" ht="16.5" hidden="false" customHeight="true" outlineLevel="0" collapsed="false"/>
    <row r="101" customFormat="false" ht="16.5" hidden="false" customHeight="true" outlineLevel="0" collapsed="false"/>
    <row r="102" customFormat="false" ht="16.5" hidden="false" customHeight="true" outlineLevel="0" collapsed="false"/>
    <row r="103" customFormat="false" ht="16.5" hidden="false" customHeight="true" outlineLevel="0" collapsed="false"/>
    <row r="104" customFormat="false" ht="16.5" hidden="false" customHeight="true" outlineLevel="0" collapsed="false"/>
    <row r="105" customFormat="false" ht="16.5" hidden="false" customHeight="true" outlineLevel="0" collapsed="false"/>
    <row r="106" customFormat="false" ht="16.5" hidden="false" customHeight="true" outlineLevel="0" collapsed="false"/>
    <row r="107" customFormat="false" ht="16.5" hidden="false" customHeight="true" outlineLevel="0" collapsed="false"/>
    <row r="108" customFormat="false" ht="16.5" hidden="false" customHeight="true" outlineLevel="0" collapsed="false"/>
    <row r="109" customFormat="false" ht="16.5" hidden="false" customHeight="true" outlineLevel="0" collapsed="false"/>
    <row r="110" customFormat="false" ht="16.5" hidden="false" customHeight="true" outlineLevel="0" collapsed="false"/>
    <row r="111" customFormat="false" ht="16.5" hidden="false" customHeight="true" outlineLevel="0" collapsed="false"/>
    <row r="112" customFormat="false" ht="16.5" hidden="false" customHeight="true" outlineLevel="0" collapsed="false"/>
    <row r="113" customFormat="false" ht="16.5" hidden="false" customHeight="true" outlineLevel="0" collapsed="false"/>
    <row r="114" customFormat="false" ht="16.5" hidden="false" customHeight="true" outlineLevel="0" collapsed="false"/>
    <row r="115" customFormat="false" ht="16.5" hidden="false" customHeight="true" outlineLevel="0" collapsed="false"/>
    <row r="116" customFormat="false" ht="16.5" hidden="false" customHeight="true" outlineLevel="0" collapsed="false"/>
    <row r="117" customFormat="false" ht="16.5" hidden="false" customHeight="true" outlineLevel="0" collapsed="false"/>
    <row r="118" customFormat="false" ht="16.5" hidden="false" customHeight="true" outlineLevel="0" collapsed="false"/>
    <row r="119" customFormat="false" ht="16.5" hidden="false" customHeight="true" outlineLevel="0" collapsed="false"/>
    <row r="120" customFormat="false" ht="16.5" hidden="false" customHeight="true" outlineLevel="0" collapsed="false"/>
    <row r="121" customFormat="false" ht="16.5" hidden="false" customHeight="true" outlineLevel="0" collapsed="false"/>
    <row r="122" customFormat="false" ht="16.5" hidden="false" customHeight="true" outlineLevel="0" collapsed="false"/>
    <row r="123" customFormat="false" ht="16.5" hidden="false" customHeight="true" outlineLevel="0" collapsed="false"/>
    <row r="124" customFormat="false" ht="16.5" hidden="false" customHeight="true" outlineLevel="0" collapsed="false"/>
    <row r="125" customFormat="false" ht="16.5" hidden="false" customHeight="true" outlineLevel="0" collapsed="false"/>
    <row r="126" customFormat="false" ht="16.5" hidden="false" customHeight="true" outlineLevel="0" collapsed="false"/>
    <row r="127" customFormat="false" ht="16.5" hidden="false" customHeight="true" outlineLevel="0" collapsed="false"/>
    <row r="128" customFormat="false" ht="16.5" hidden="false" customHeight="true" outlineLevel="0" collapsed="false"/>
    <row r="129" customFormat="false" ht="16.5" hidden="false" customHeight="true" outlineLevel="0" collapsed="false"/>
  </sheetData>
  <mergeCells count="16">
    <mergeCell ref="B2:F2"/>
    <mergeCell ref="B3:F3"/>
    <mergeCell ref="B5:F5"/>
    <mergeCell ref="B6:F6"/>
    <mergeCell ref="B15:F15"/>
    <mergeCell ref="B16:F16"/>
    <mergeCell ref="B23:F23"/>
    <mergeCell ref="B34:F34"/>
    <mergeCell ref="B42:F42"/>
    <mergeCell ref="B60:F60"/>
    <mergeCell ref="B70:F70"/>
    <mergeCell ref="B85:F85"/>
    <mergeCell ref="B86:F86"/>
    <mergeCell ref="B87:F87"/>
    <mergeCell ref="B88:F88"/>
    <mergeCell ref="B90:F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148C"/>
    <pageSetUpPr fitToPage="false"/>
  </sheetPr>
  <dimension ref="B1:F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6" min="3" style="1" width="18"/>
    <col collapsed="false" customWidth="true" hidden="false" outlineLevel="0" max="7" min="7" style="1" width="3"/>
  </cols>
  <sheetData>
    <row r="1" customFormat="false" ht="6" hidden="false" customHeight="true" outlineLevel="0" collapsed="false"/>
    <row r="2" customFormat="false" ht="36" hidden="false" customHeight="true" outlineLevel="0" collapsed="false">
      <c r="B2" s="171" t="s">
        <v>562</v>
      </c>
      <c r="C2" s="171"/>
      <c r="D2" s="171"/>
      <c r="E2" s="171"/>
      <c r="F2" s="171"/>
    </row>
    <row r="3" customFormat="false" ht="19.5" hidden="false" customHeight="true" outlineLevel="0" collapsed="false">
      <c r="B3" s="172" t="s">
        <v>563</v>
      </c>
      <c r="C3" s="172"/>
      <c r="D3" s="172"/>
      <c r="E3" s="172"/>
      <c r="F3" s="172"/>
    </row>
    <row r="4" customFormat="false" ht="7.5" hidden="false" customHeight="true" outlineLevel="0" collapsed="false"/>
    <row r="5" customFormat="false" ht="21.75" hidden="false" customHeight="true" outlineLevel="0" collapsed="false">
      <c r="B5" s="173" t="s">
        <v>564</v>
      </c>
      <c r="C5" s="173"/>
      <c r="D5" s="25" t="s">
        <v>565</v>
      </c>
      <c r="E5" s="25"/>
      <c r="F5" s="25"/>
    </row>
    <row r="6" customFormat="false" ht="21.75" hidden="false" customHeight="true" outlineLevel="0" collapsed="false">
      <c r="B6" s="102" t="s">
        <v>566</v>
      </c>
      <c r="C6" s="102"/>
      <c r="D6" s="152" t="s">
        <v>567</v>
      </c>
      <c r="E6" s="152"/>
      <c r="F6" s="152"/>
    </row>
    <row r="7" customFormat="false" ht="18" hidden="false" customHeight="true" outlineLevel="0" collapsed="false">
      <c r="B7" s="174" t="str">
        <f aca="false">IF(OR(D5="Individual (Self-Employed / Professional)",D5="Individual (Mixed Income)"),"ℹ  8% option available — requires gross receipts ≤ ₱3,000,000. If elected, it replaces graduated rates AND percentage tax.","ℹ  8% flat tax option is only available to Self-Employed / Professional or Mixed Income individuals.")</f>
        <v>ℹ  8% flat tax option is only available to Self-Employed / Professional or Mixed Income individuals.</v>
      </c>
      <c r="C7" s="174"/>
      <c r="D7" s="174"/>
      <c r="E7" s="174"/>
      <c r="F7" s="174"/>
    </row>
    <row r="8" customFormat="false" ht="7.5" hidden="false" customHeight="true" outlineLevel="0" collapsed="false"/>
    <row r="9" customFormat="false" ht="19.5" hidden="false" customHeight="true" outlineLevel="0" collapsed="false">
      <c r="B9" s="175" t="s">
        <v>568</v>
      </c>
      <c r="C9" s="175"/>
      <c r="D9" s="175"/>
      <c r="E9" s="175"/>
      <c r="F9" s="175"/>
    </row>
    <row r="10" customFormat="false" ht="16.5" hidden="false" customHeight="true" outlineLevel="0" collapsed="false">
      <c r="B10" s="176" t="s">
        <v>569</v>
      </c>
      <c r="C10" s="176"/>
      <c r="D10" s="176"/>
      <c r="E10" s="176"/>
      <c r="F10" s="176"/>
    </row>
    <row r="11" customFormat="false" ht="18" hidden="false" customHeight="true" outlineLevel="0" collapsed="false">
      <c r="B11" s="88" t="s">
        <v>570</v>
      </c>
      <c r="C11" s="88"/>
      <c r="D11" s="177"/>
      <c r="E11" s="177"/>
      <c r="F11" s="178" t="s">
        <v>571</v>
      </c>
    </row>
    <row r="12" customFormat="false" ht="18" hidden="false" customHeight="true" outlineLevel="0" collapsed="false">
      <c r="B12" s="88" t="s">
        <v>572</v>
      </c>
      <c r="C12" s="88"/>
      <c r="D12" s="177"/>
      <c r="E12" s="177"/>
      <c r="F12" s="178" t="s">
        <v>573</v>
      </c>
    </row>
    <row r="13" customFormat="false" ht="18" hidden="false" customHeight="true" outlineLevel="0" collapsed="false">
      <c r="B13" s="88" t="s">
        <v>574</v>
      </c>
      <c r="C13" s="88"/>
      <c r="D13" s="177"/>
      <c r="E13" s="177"/>
      <c r="F13" s="178" t="s">
        <v>573</v>
      </c>
    </row>
    <row r="14" customFormat="false" ht="18" hidden="false" customHeight="true" outlineLevel="0" collapsed="false">
      <c r="B14" s="88" t="s">
        <v>575</v>
      </c>
      <c r="C14" s="88"/>
      <c r="D14" s="177"/>
      <c r="E14" s="177"/>
      <c r="F14" s="178" t="s">
        <v>573</v>
      </c>
    </row>
    <row r="15" customFormat="false" ht="18" hidden="false" customHeight="true" outlineLevel="0" collapsed="false">
      <c r="B15" s="88" t="s">
        <v>576</v>
      </c>
      <c r="C15" s="88"/>
      <c r="D15" s="177"/>
      <c r="E15" s="177"/>
      <c r="F15" s="178" t="s">
        <v>577</v>
      </c>
    </row>
    <row r="16" customFormat="false" ht="18" hidden="false" customHeight="true" outlineLevel="0" collapsed="false">
      <c r="B16" s="88" t="s">
        <v>578</v>
      </c>
      <c r="C16" s="88"/>
      <c r="D16" s="177"/>
      <c r="E16" s="177"/>
      <c r="F16" s="178" t="s">
        <v>579</v>
      </c>
    </row>
    <row r="17" customFormat="false" ht="18" hidden="false" customHeight="true" outlineLevel="0" collapsed="false">
      <c r="B17" s="157" t="s">
        <v>580</v>
      </c>
      <c r="C17" s="157"/>
      <c r="D17" s="179" t="n">
        <f aca="false">MAX(0,C11-C12-C13-C14-C15-C16)</f>
        <v>0</v>
      </c>
      <c r="E17" s="179"/>
      <c r="F17" s="178" t="s">
        <v>581</v>
      </c>
    </row>
    <row r="18" customFormat="false" ht="6" hidden="false" customHeight="true" outlineLevel="0" collapsed="false"/>
    <row r="19" customFormat="false" ht="16.5" hidden="false" customHeight="true" outlineLevel="0" collapsed="false">
      <c r="B19" s="176" t="s">
        <v>582</v>
      </c>
      <c r="C19" s="176"/>
      <c r="D19" s="176"/>
      <c r="E19" s="176"/>
      <c r="F19" s="176"/>
    </row>
    <row r="20" customFormat="false" ht="18" hidden="false" customHeight="true" outlineLevel="0" collapsed="false">
      <c r="B20" s="88" t="s">
        <v>583</v>
      </c>
      <c r="C20" s="88"/>
      <c r="D20" s="177"/>
      <c r="E20" s="177"/>
      <c r="F20" s="178" t="s">
        <v>584</v>
      </c>
    </row>
    <row r="21" customFormat="false" ht="18" hidden="false" customHeight="true" outlineLevel="0" collapsed="false">
      <c r="B21" s="88" t="s">
        <v>585</v>
      </c>
      <c r="C21" s="88"/>
      <c r="D21" s="177"/>
      <c r="E21" s="177"/>
      <c r="F21" s="178" t="s">
        <v>586</v>
      </c>
    </row>
    <row r="22" customFormat="false" ht="18" hidden="false" customHeight="true" outlineLevel="0" collapsed="false">
      <c r="B22" s="88" t="s">
        <v>587</v>
      </c>
      <c r="C22" s="88"/>
      <c r="D22" s="177"/>
      <c r="E22" s="177"/>
      <c r="F22" s="178" t="s">
        <v>588</v>
      </c>
    </row>
    <row r="23" customFormat="false" ht="18" hidden="false" customHeight="true" outlineLevel="0" collapsed="false">
      <c r="B23" s="157" t="s">
        <v>589</v>
      </c>
      <c r="C23" s="157"/>
      <c r="D23" s="179" t="n">
        <f aca="false">MAX(0,C20-C21-C22)</f>
        <v>0</v>
      </c>
      <c r="E23" s="179"/>
      <c r="F23" s="178" t="s">
        <v>590</v>
      </c>
    </row>
    <row r="24" customFormat="false" ht="6" hidden="false" customHeight="true" outlineLevel="0" collapsed="false"/>
    <row r="25" customFormat="false" ht="16.5" hidden="false" customHeight="true" outlineLevel="0" collapsed="false">
      <c r="B25" s="176" t="s">
        <v>591</v>
      </c>
      <c r="C25" s="176"/>
      <c r="D25" s="176"/>
      <c r="E25" s="176"/>
      <c r="F25" s="176"/>
    </row>
    <row r="26" customFormat="false" ht="18" hidden="false" customHeight="true" outlineLevel="0" collapsed="false">
      <c r="B26" s="88" t="s">
        <v>592</v>
      </c>
      <c r="C26" s="88"/>
      <c r="D26" s="177"/>
      <c r="E26" s="177"/>
      <c r="F26" s="178" t="s">
        <v>593</v>
      </c>
    </row>
    <row r="27" customFormat="false" ht="18" hidden="false" customHeight="true" outlineLevel="0" collapsed="false">
      <c r="B27" s="88" t="s">
        <v>594</v>
      </c>
      <c r="C27" s="88"/>
      <c r="D27" s="177"/>
      <c r="E27" s="177"/>
      <c r="F27" s="178" t="s">
        <v>595</v>
      </c>
    </row>
    <row r="28" customFormat="false" ht="18" hidden="false" customHeight="true" outlineLevel="0" collapsed="false">
      <c r="B28" s="88" t="s">
        <v>596</v>
      </c>
      <c r="C28" s="88"/>
      <c r="D28" s="177"/>
      <c r="E28" s="177"/>
      <c r="F28" s="178" t="s">
        <v>588</v>
      </c>
    </row>
    <row r="29" customFormat="false" ht="18" hidden="false" customHeight="true" outlineLevel="0" collapsed="false">
      <c r="B29" s="157" t="s">
        <v>597</v>
      </c>
      <c r="C29" s="157"/>
      <c r="D29" s="179" t="n">
        <f aca="false">MAX(0,C26-C27-C28)</f>
        <v>0</v>
      </c>
      <c r="E29" s="179"/>
      <c r="F29" s="178" t="s">
        <v>581</v>
      </c>
    </row>
    <row r="30" customFormat="false" ht="18" hidden="false" customHeight="true" outlineLevel="0" collapsed="false">
      <c r="B30" s="88" t="s">
        <v>598</v>
      </c>
      <c r="C30" s="88"/>
      <c r="D30" s="177"/>
      <c r="E30" s="177"/>
      <c r="F30" s="178" t="s">
        <v>599</v>
      </c>
    </row>
    <row r="31" customFormat="false" ht="6" hidden="false" customHeight="true" outlineLevel="0" collapsed="false"/>
    <row r="32" customFormat="false" ht="19.5" hidden="false" customHeight="true" outlineLevel="0" collapsed="false">
      <c r="B32" s="175" t="s">
        <v>600</v>
      </c>
      <c r="C32" s="175"/>
      <c r="D32" s="175"/>
      <c r="E32" s="175"/>
      <c r="F32" s="175"/>
    </row>
    <row r="33" customFormat="false" ht="18" hidden="false" customHeight="true" outlineLevel="0" collapsed="false">
      <c r="B33" s="152" t="s">
        <v>601</v>
      </c>
      <c r="C33" s="152"/>
      <c r="D33" s="180" t="n">
        <f aca="false">IF(D5="Individual (Compensation)",C17,IF(OR(D5="Individual (Self-Employed / Professional)",D5="Individual (Mixed Income)"),IF(D6="Yes (Avail 8% Flat Tax)",C20,C23),C29))</f>
        <v>0</v>
      </c>
      <c r="E33" s="180"/>
      <c r="F33" s="181" t="s">
        <v>602</v>
      </c>
    </row>
    <row r="34" customFormat="false" ht="19.5" hidden="false" customHeight="true" outlineLevel="0" collapsed="false">
      <c r="B34" s="176" t="s">
        <v>603</v>
      </c>
      <c r="C34" s="176"/>
      <c r="D34" s="176"/>
      <c r="E34" s="176"/>
      <c r="F34" s="176"/>
    </row>
    <row r="35" customFormat="false" ht="16.5" hidden="false" customHeight="true" outlineLevel="0" collapsed="false">
      <c r="B35" s="182" t="s">
        <v>604</v>
      </c>
      <c r="C35" s="182" t="s">
        <v>605</v>
      </c>
      <c r="D35" s="182" t="s">
        <v>606</v>
      </c>
      <c r="E35" s="182" t="s">
        <v>347</v>
      </c>
      <c r="F35" s="182" t="s">
        <v>607</v>
      </c>
    </row>
    <row r="36" customFormat="false" ht="16.5" hidden="false" customHeight="true" outlineLevel="0" collapsed="false">
      <c r="B36" s="14" t="s">
        <v>608</v>
      </c>
      <c r="C36" s="183" t="n">
        <v>0</v>
      </c>
      <c r="D36" s="183" t="n">
        <v>0</v>
      </c>
      <c r="E36" s="184" t="n">
        <v>0</v>
      </c>
      <c r="F36" s="79" t="n">
        <f aca="false">IF(D33&gt;0,0,0)</f>
        <v>0</v>
      </c>
    </row>
    <row r="37" customFormat="false" ht="16.5" hidden="false" customHeight="true" outlineLevel="0" collapsed="false">
      <c r="B37" s="88" t="s">
        <v>609</v>
      </c>
      <c r="C37" s="185" t="n">
        <v>250000</v>
      </c>
      <c r="D37" s="185" t="n">
        <v>0</v>
      </c>
      <c r="E37" s="186" t="n">
        <v>0.15</v>
      </c>
      <c r="F37" s="89" t="n">
        <f aca="false">IF(D33&lt;=250000,0,IF(D33&gt;=400000,(400000-250000)*0.15,(D33-250000)*0.15))</f>
        <v>0</v>
      </c>
    </row>
    <row r="38" customFormat="false" ht="16.5" hidden="false" customHeight="true" outlineLevel="0" collapsed="false">
      <c r="B38" s="91" t="s">
        <v>610</v>
      </c>
      <c r="C38" s="187" t="n">
        <v>400000</v>
      </c>
      <c r="D38" s="187" t="n">
        <v>22500</v>
      </c>
      <c r="E38" s="188" t="n">
        <v>0.2</v>
      </c>
      <c r="F38" s="92" t="n">
        <f aca="false">IF(D33&lt;=400000,0,IF(D33&gt;=800000,(800000-400000)*0.2,(D33-400000)*0.2))</f>
        <v>0</v>
      </c>
    </row>
    <row r="39" customFormat="false" ht="16.5" hidden="false" customHeight="true" outlineLevel="0" collapsed="false">
      <c r="B39" s="88" t="s">
        <v>611</v>
      </c>
      <c r="C39" s="185" t="n">
        <v>800000</v>
      </c>
      <c r="D39" s="185" t="n">
        <v>102500</v>
      </c>
      <c r="E39" s="186" t="n">
        <v>0.25</v>
      </c>
      <c r="F39" s="89" t="n">
        <f aca="false">IF(D33&lt;=800000,0,IF(D33&gt;=2000000,(2000000-800000)*0.25,(D33-800000)*0.25))</f>
        <v>0</v>
      </c>
    </row>
    <row r="40" customFormat="false" ht="16.5" hidden="false" customHeight="true" outlineLevel="0" collapsed="false">
      <c r="B40" s="91" t="s">
        <v>612</v>
      </c>
      <c r="C40" s="187" t="n">
        <v>2000000</v>
      </c>
      <c r="D40" s="187" t="n">
        <v>402500</v>
      </c>
      <c r="E40" s="188" t="n">
        <v>0.3</v>
      </c>
      <c r="F40" s="92" t="n">
        <f aca="false">IF(D33&lt;=2000000,0,IF(D33&gt;=8000000,(8000000-2000000)*0.3,(D33-2000000)*0.3))</f>
        <v>0</v>
      </c>
    </row>
    <row r="41" customFormat="false" ht="16.5" hidden="false" customHeight="true" outlineLevel="0" collapsed="false">
      <c r="B41" s="88" t="s">
        <v>613</v>
      </c>
      <c r="C41" s="185" t="n">
        <v>8000000</v>
      </c>
      <c r="D41" s="185" t="n">
        <v>2202500</v>
      </c>
      <c r="E41" s="186" t="n">
        <v>0.35</v>
      </c>
      <c r="F41" s="89" t="n">
        <f aca="false">IF(D33&lt;=8000000,0,(D33-8000000)*0.35)</f>
        <v>0</v>
      </c>
    </row>
    <row r="42" customFormat="false" ht="19.5" hidden="false" customHeight="true" outlineLevel="0" collapsed="false">
      <c r="B42" s="173" t="s">
        <v>614</v>
      </c>
      <c r="C42" s="173"/>
      <c r="D42" s="173"/>
      <c r="E42" s="173"/>
      <c r="F42" s="189" t="n">
        <f aca="false">SUM(F36:F41)</f>
        <v>0</v>
      </c>
    </row>
    <row r="43" customFormat="false" ht="6" hidden="false" customHeight="true" outlineLevel="0" collapsed="false"/>
    <row r="44" customFormat="false" ht="19.5" hidden="false" customHeight="true" outlineLevel="0" collapsed="false">
      <c r="B44" s="176" t="s">
        <v>615</v>
      </c>
      <c r="C44" s="176"/>
      <c r="D44" s="176"/>
      <c r="E44" s="176"/>
      <c r="F44" s="176"/>
    </row>
    <row r="45" customFormat="false" ht="16.5" hidden="false" customHeight="true" outlineLevel="0" collapsed="false">
      <c r="B45" s="91" t="s">
        <v>583</v>
      </c>
      <c r="C45" s="91"/>
      <c r="D45" s="92" t="n">
        <f aca="false">C20</f>
        <v>0</v>
      </c>
      <c r="E45" s="92"/>
      <c r="F45" s="181" t="s">
        <v>616</v>
      </c>
    </row>
    <row r="46" customFormat="false" ht="16.5" hidden="false" customHeight="true" outlineLevel="0" collapsed="false">
      <c r="B46" s="91" t="s">
        <v>617</v>
      </c>
      <c r="C46" s="91"/>
      <c r="D46" s="190" t="n">
        <v>250000</v>
      </c>
      <c r="E46" s="190"/>
      <c r="F46" s="181" t="s">
        <v>618</v>
      </c>
    </row>
    <row r="47" customFormat="false" ht="16.5" hidden="false" customHeight="true" outlineLevel="0" collapsed="false">
      <c r="B47" s="157" t="s">
        <v>619</v>
      </c>
      <c r="C47" s="157"/>
      <c r="D47" s="60" t="n">
        <f aca="false">MAX(0,D45-D46)</f>
        <v>0</v>
      </c>
      <c r="E47" s="60"/>
    </row>
    <row r="48" customFormat="false" ht="16.5" hidden="false" customHeight="true" outlineLevel="0" collapsed="false">
      <c r="B48" s="91" t="s">
        <v>620</v>
      </c>
      <c r="C48" s="91"/>
      <c r="D48" s="191" t="n">
        <v>0.08</v>
      </c>
      <c r="E48" s="191"/>
    </row>
    <row r="49" customFormat="false" ht="19.5" hidden="false" customHeight="true" outlineLevel="0" collapsed="false">
      <c r="B49" s="173" t="s">
        <v>621</v>
      </c>
      <c r="C49" s="173"/>
      <c r="D49" s="173"/>
      <c r="E49" s="173"/>
      <c r="F49" s="189" t="n">
        <f aca="false">D47*D48</f>
        <v>0</v>
      </c>
    </row>
    <row r="50" customFormat="false" ht="6" hidden="false" customHeight="true" outlineLevel="0" collapsed="false"/>
    <row r="51" customFormat="false" ht="19.5" hidden="false" customHeight="true" outlineLevel="0" collapsed="false">
      <c r="B51" s="176" t="s">
        <v>622</v>
      </c>
      <c r="C51" s="176"/>
      <c r="D51" s="176"/>
      <c r="E51" s="176"/>
      <c r="F51" s="176"/>
    </row>
    <row r="52" customFormat="false" ht="16.5" hidden="false" customHeight="true" outlineLevel="0" collapsed="false">
      <c r="B52" s="88" t="s">
        <v>623</v>
      </c>
      <c r="C52" s="88"/>
      <c r="D52" s="192" t="n">
        <f aca="false">IF(D5="Corporation (MSME - 20%)",0.2,IF(D5="Corporation (Proprietary School/Hospital - 10%)",0.1,IF(D5="Corporation (CREATE MORE - 20%)",0.2,IF(D5="Partnership",0.25,0.25))))</f>
        <v>0.25</v>
      </c>
      <c r="E52" s="192"/>
      <c r="F52" s="181" t="s">
        <v>624</v>
      </c>
    </row>
    <row r="53" customFormat="false" ht="16.5" hidden="false" customHeight="true" outlineLevel="0" collapsed="false">
      <c r="B53" s="91" t="s">
        <v>625</v>
      </c>
      <c r="C53" s="91"/>
      <c r="D53" s="92" t="n">
        <f aca="false">C29*D52</f>
        <v>0</v>
      </c>
      <c r="E53" s="92"/>
      <c r="F53" s="181" t="s">
        <v>626</v>
      </c>
    </row>
    <row r="54" customFormat="false" ht="16.5" hidden="false" customHeight="true" outlineLevel="0" collapsed="false">
      <c r="B54" s="91" t="s">
        <v>627</v>
      </c>
      <c r="C54" s="91"/>
      <c r="D54" s="92" t="n">
        <f aca="false">C30*0.02</f>
        <v>0</v>
      </c>
      <c r="E54" s="92"/>
      <c r="F54" s="181" t="s">
        <v>628</v>
      </c>
    </row>
    <row r="55" customFormat="false" ht="16.5" hidden="false" customHeight="true" outlineLevel="0" collapsed="false">
      <c r="B55" s="88" t="s">
        <v>629</v>
      </c>
      <c r="C55" s="88"/>
      <c r="D55" s="152" t="s">
        <v>630</v>
      </c>
      <c r="E55" s="152"/>
      <c r="F55" s="181" t="s">
        <v>631</v>
      </c>
    </row>
    <row r="56" customFormat="false" ht="19.5" hidden="false" customHeight="true" outlineLevel="0" collapsed="false">
      <c r="B56" s="173" t="s">
        <v>632</v>
      </c>
      <c r="C56" s="173"/>
      <c r="D56" s="173"/>
      <c r="E56" s="173"/>
      <c r="F56" s="189" t="n">
        <f aca="false">IF(D55="Yes",MAX(D53,D54),D53)</f>
        <v>0</v>
      </c>
    </row>
    <row r="57" customFormat="false" ht="6" hidden="false" customHeight="true" outlineLevel="0" collapsed="false"/>
    <row r="58" customFormat="false" ht="19.5" hidden="false" customHeight="true" outlineLevel="0" collapsed="false">
      <c r="B58" s="193" t="s">
        <v>633</v>
      </c>
      <c r="C58" s="193"/>
      <c r="D58" s="193"/>
      <c r="E58" s="193"/>
      <c r="F58" s="193"/>
    </row>
    <row r="59" customFormat="false" ht="18" hidden="false" customHeight="true" outlineLevel="0" collapsed="false">
      <c r="B59" s="194" t="s">
        <v>634</v>
      </c>
      <c r="C59" s="194"/>
      <c r="D59" s="195" t="str">
        <f aca="false">D5</f>
        <v>Individual (Compensation)</v>
      </c>
      <c r="E59" s="195"/>
      <c r="F59" s="195"/>
    </row>
    <row r="60" customFormat="false" ht="18" hidden="false" customHeight="true" outlineLevel="0" collapsed="false">
      <c r="B60" s="194" t="s">
        <v>635</v>
      </c>
      <c r="C60" s="194"/>
      <c r="D60" s="195" t="str">
        <f aca="false">D6</f>
        <v>No (Use Graduated Rates)</v>
      </c>
      <c r="E60" s="195"/>
      <c r="F60" s="195"/>
    </row>
    <row r="61" customFormat="false" ht="18" hidden="false" customHeight="true" outlineLevel="0" collapsed="false">
      <c r="B61" s="194" t="s">
        <v>636</v>
      </c>
      <c r="C61" s="194"/>
      <c r="D61" s="180" t="n">
        <f aca="false">D33</f>
        <v>0</v>
      </c>
      <c r="E61" s="180"/>
      <c r="F61" s="181" t="s">
        <v>637</v>
      </c>
    </row>
    <row r="62" customFormat="false" ht="6" hidden="false" customHeight="true" outlineLevel="0" collapsed="false"/>
    <row r="63" customFormat="false" ht="25.5" hidden="false" customHeight="true" outlineLevel="0" collapsed="false">
      <c r="B63" s="196" t="s">
        <v>638</v>
      </c>
      <c r="C63" s="196"/>
      <c r="D63" s="197" t="n">
        <f aca="false">IF(OR(D5="Partnership",D5="Corporation (Regular - 25%)",D5="Corporation (MSME - 20%)",D5="Corporation (Proprietary School/Hospital - 10%)",D5="Corporation (CREATE MORE - 20%)"),F56,IF(D6="Yes (Avail 8% Flat Tax)",F49,IF(D5="Individual (Compensation)",F42,IF(D5="Individual (Mixed Income)",F42+F49,F42))))</f>
        <v>0</v>
      </c>
      <c r="E63" s="197"/>
      <c r="F63" s="198" t="s">
        <v>639</v>
      </c>
    </row>
    <row r="64" customFormat="false" ht="6" hidden="false" customHeight="true" outlineLevel="0" collapsed="false"/>
    <row r="65" customFormat="false" ht="18" hidden="false" customHeight="true" outlineLevel="0" collapsed="false">
      <c r="B65" s="81" t="s">
        <v>640</v>
      </c>
      <c r="C65" s="81"/>
      <c r="D65" s="199" t="n">
        <f aca="false">IFERROR(D63/IF(D61=0,1,D61),0)</f>
        <v>0</v>
      </c>
      <c r="E65" s="199"/>
      <c r="F65" s="181" t="s">
        <v>641</v>
      </c>
    </row>
    <row r="66" customFormat="false" ht="18" hidden="false" customHeight="true" outlineLevel="0" collapsed="false">
      <c r="B66" s="91" t="s">
        <v>642</v>
      </c>
      <c r="C66" s="91"/>
      <c r="D66" s="177"/>
      <c r="E66" s="177"/>
      <c r="F66" s="181" t="s">
        <v>643</v>
      </c>
    </row>
    <row r="67" customFormat="false" ht="18" hidden="false" customHeight="true" outlineLevel="0" collapsed="false">
      <c r="B67" s="91" t="s">
        <v>644</v>
      </c>
      <c r="C67" s="91"/>
      <c r="D67" s="177"/>
      <c r="E67" s="177"/>
      <c r="F67" s="181" t="s">
        <v>645</v>
      </c>
    </row>
    <row r="68" customFormat="false" ht="25.5" hidden="false" customHeight="true" outlineLevel="0" collapsed="false">
      <c r="B68" s="200" t="s">
        <v>646</v>
      </c>
      <c r="C68" s="200"/>
      <c r="D68" s="201" t="n">
        <f aca="false">D63-IF(D66="",0,D66)-IF(D67="",0,D67)</f>
        <v>0</v>
      </c>
      <c r="E68" s="201"/>
      <c r="F68" s="202" t="s">
        <v>647</v>
      </c>
    </row>
    <row r="69" customFormat="false" ht="6" hidden="false" customHeight="true" outlineLevel="0" collapsed="false"/>
    <row r="70" customFormat="false" ht="18" hidden="false" customHeight="true" outlineLevel="0" collapsed="false">
      <c r="B70" s="203" t="str">
        <f aca="false">IF(D6="Yes (Avail 8% Flat Tax)","✔  8% Flat Tax elected — Percentage Tax (3%) is WAIVED. No need to file BIR 2551Q for business income.",IF(OR(D5="Individual (Self-Employed / Professional)",D5="Individual (Mixed Income)"),"⚠  Graduated rates used — you must also pay 3% Percentage Tax on gross receipts (BIR Form 2551Q) quarterly.",""))</f>
        <v/>
      </c>
      <c r="C70" s="203"/>
      <c r="D70" s="203"/>
      <c r="E70" s="203"/>
      <c r="F70" s="203"/>
    </row>
    <row r="71" customFormat="false" ht="6" hidden="false" customHeight="true" outlineLevel="0" collapsed="false"/>
    <row r="72" customFormat="false" ht="18" hidden="false" customHeight="true" outlineLevel="0" collapsed="false">
      <c r="B72" s="204" t="str">
        <f aca="false">IF(D5="Individual (Compensation)","BIR Form: 1701A (Compensation) — Annual ITR due April 15",IF(D5="Individual (Self-Employed / Professional)","BIR Form: 1701 (Self-Employed) — Annual ITR due April 15  |  Quarterly: 1701Q",IF(D5="Individual (Mixed Income)","BIR Form: 1701 (Mixed Income) — Annual ITR due April 15  |  Quarterly: 1701Q",IF(OR(D5="Corporation (Regular - 25%)",D5="Corporation (MSME - 20%)",D5="Corporation (CREATE MORE - 20%)",D5="Corporation (Proprietary School/Hospital - 10%)"),"BIR Form: 1702 (Corporation) — Annual ITR  |  Quarterly: 1702Q due 60 days after each quarter","BIR Form: 1702 (Partnership) — Annual ITR due April 15  |  Quarterly: 1702Q"))))</f>
        <v>BIR Form: 1701A (Compensation) — Annual ITR due April 15</v>
      </c>
      <c r="C72" s="204"/>
      <c r="D72" s="204"/>
      <c r="E72" s="204"/>
      <c r="F72" s="204"/>
    </row>
    <row r="73" customFormat="false" ht="6" hidden="false" customHeight="true" outlineLevel="0" collapsed="false"/>
    <row r="74" customFormat="false" ht="36" hidden="false" customHeight="true" outlineLevel="0" collapsed="false">
      <c r="B74" s="170" t="s">
        <v>648</v>
      </c>
      <c r="C74" s="170"/>
      <c r="D74" s="170"/>
      <c r="E74" s="170"/>
      <c r="F74" s="170"/>
    </row>
    <row r="75" customFormat="false" ht="16.5" hidden="false" customHeight="true" outlineLevel="0" collapsed="false"/>
    <row r="76" customFormat="false" ht="16.5" hidden="false" customHeight="true" outlineLevel="0" collapsed="false"/>
    <row r="77" customFormat="false" ht="16.5" hidden="false" customHeight="true" outlineLevel="0" collapsed="false"/>
    <row r="78" customFormat="false" ht="16.5" hidden="false" customHeight="true" outlineLevel="0" collapsed="false"/>
    <row r="79" customFormat="false" ht="16.5" hidden="false" customHeight="true" outlineLevel="0" collapsed="false"/>
    <row r="80" customFormat="false" ht="16.5" hidden="false" customHeight="true" outlineLevel="0" collapsed="false"/>
    <row r="81" customFormat="false" ht="16.5" hidden="false" customHeight="true" outlineLevel="0" collapsed="false"/>
    <row r="82" customFormat="false" ht="16.5" hidden="false" customHeight="true" outlineLevel="0" collapsed="false"/>
    <row r="83" customFormat="false" ht="16.5" hidden="false" customHeight="true" outlineLevel="0" collapsed="false"/>
    <row r="84" customFormat="false" ht="16.5" hidden="false" customHeight="true" outlineLevel="0" collapsed="false"/>
    <row r="85" customFormat="false" ht="16.5" hidden="false" customHeight="true" outlineLevel="0" collapsed="false"/>
    <row r="86" customFormat="false" ht="16.5" hidden="false" customHeight="true" outlineLevel="0" collapsed="false"/>
    <row r="87" customFormat="false" ht="16.5" hidden="false" customHeight="true" outlineLevel="0" collapsed="false"/>
    <row r="88" customFormat="false" ht="16.5" hidden="false" customHeight="true" outlineLevel="0" collapsed="false"/>
    <row r="89" customFormat="false" ht="16.5" hidden="false" customHeight="true" outlineLevel="0" collapsed="false"/>
    <row r="90" customFormat="false" ht="16.5" hidden="false" customHeight="true" outlineLevel="0" collapsed="false"/>
    <row r="91" customFormat="false" ht="16.5" hidden="false" customHeight="true" outlineLevel="0" collapsed="false"/>
    <row r="92" customFormat="false" ht="16.5" hidden="false" customHeight="true" outlineLevel="0" collapsed="false"/>
    <row r="93" customFormat="false" ht="16.5" hidden="false" customHeight="true" outlineLevel="0" collapsed="false"/>
    <row r="94" customFormat="false" ht="16.5" hidden="false" customHeight="true" outlineLevel="0" collapsed="false"/>
    <row r="95" customFormat="false" ht="16.5" hidden="false" customHeight="true" outlineLevel="0" collapsed="false"/>
    <row r="96" customFormat="false" ht="16.5" hidden="false" customHeight="true" outlineLevel="0" collapsed="false"/>
    <row r="97" customFormat="false" ht="16.5" hidden="false" customHeight="true" outlineLevel="0" collapsed="false"/>
    <row r="98" customFormat="false" ht="16.5" hidden="false" customHeight="true" outlineLevel="0" collapsed="false"/>
    <row r="99" customFormat="false" ht="16.5" hidden="false" customHeight="true" outlineLevel="0" collapsed="false"/>
  </sheetData>
  <mergeCells count="88">
    <mergeCell ref="B2:F2"/>
    <mergeCell ref="B3:F3"/>
    <mergeCell ref="B5:C5"/>
    <mergeCell ref="D5:F5"/>
    <mergeCell ref="B6:C6"/>
    <mergeCell ref="D6:F6"/>
    <mergeCell ref="B7:F7"/>
    <mergeCell ref="B9:F9"/>
    <mergeCell ref="B10:F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9:F19"/>
    <mergeCell ref="B20:C20"/>
    <mergeCell ref="D20:E20"/>
    <mergeCell ref="B21:C21"/>
    <mergeCell ref="D21:E21"/>
    <mergeCell ref="B22:C22"/>
    <mergeCell ref="D22:E22"/>
    <mergeCell ref="B23:C23"/>
    <mergeCell ref="D23:E23"/>
    <mergeCell ref="B25:F25"/>
    <mergeCell ref="B26:C26"/>
    <mergeCell ref="D26:E26"/>
    <mergeCell ref="B27:C27"/>
    <mergeCell ref="D27:E27"/>
    <mergeCell ref="B28:C28"/>
    <mergeCell ref="D28:E28"/>
    <mergeCell ref="B29:C29"/>
    <mergeCell ref="D29:E29"/>
    <mergeCell ref="B30:C30"/>
    <mergeCell ref="D30:E30"/>
    <mergeCell ref="B32:F32"/>
    <mergeCell ref="B33:C33"/>
    <mergeCell ref="D33:E33"/>
    <mergeCell ref="B34:F34"/>
    <mergeCell ref="B42:E42"/>
    <mergeCell ref="B44:F44"/>
    <mergeCell ref="B45:C45"/>
    <mergeCell ref="D45:E45"/>
    <mergeCell ref="B46:C46"/>
    <mergeCell ref="D46:E46"/>
    <mergeCell ref="B47:C47"/>
    <mergeCell ref="D47:E47"/>
    <mergeCell ref="B48:C48"/>
    <mergeCell ref="D48:E48"/>
    <mergeCell ref="B49:E49"/>
    <mergeCell ref="B51:F51"/>
    <mergeCell ref="B52:C52"/>
    <mergeCell ref="D52:E52"/>
    <mergeCell ref="B53:C53"/>
    <mergeCell ref="D53:E53"/>
    <mergeCell ref="B54:C54"/>
    <mergeCell ref="D54:E54"/>
    <mergeCell ref="B55:C55"/>
    <mergeCell ref="D55:E55"/>
    <mergeCell ref="B56:E56"/>
    <mergeCell ref="B58:F58"/>
    <mergeCell ref="B59:C59"/>
    <mergeCell ref="D59:F59"/>
    <mergeCell ref="B60:C60"/>
    <mergeCell ref="D60:F60"/>
    <mergeCell ref="B61:C61"/>
    <mergeCell ref="D61:E61"/>
    <mergeCell ref="B63:C63"/>
    <mergeCell ref="D63:E63"/>
    <mergeCell ref="B65:C65"/>
    <mergeCell ref="D65:E65"/>
    <mergeCell ref="B66:C66"/>
    <mergeCell ref="D66:E66"/>
    <mergeCell ref="B67:C67"/>
    <mergeCell ref="D67:E67"/>
    <mergeCell ref="B68:C68"/>
    <mergeCell ref="D68:E68"/>
    <mergeCell ref="B70:F70"/>
    <mergeCell ref="B72:F72"/>
    <mergeCell ref="B74:F74"/>
  </mergeCells>
  <dataValidations count="3">
    <dataValidation allowBlank="false" errorStyle="stop" operator="between" showDropDown="false" showErrorMessage="false" showInputMessage="false" sqref="D5:F5" type="list">
      <formula1>"Individual (Compensation),Individual (Self-Employed / Professional),Individual (Mixed Income),Partnership,Corporation (Regular - 25%),Corporation (MSME - 20%),Corporation (Proprietary School/Hospital - 10%),Corporation (CREATE MORE - 20%)"</formula1>
      <formula2>0</formula2>
    </dataValidation>
    <dataValidation allowBlank="false" errorStyle="stop" operator="between" showDropDown="false" showErrorMessage="false" showInputMessage="false" sqref="D6:F6" type="list">
      <formula1>"No (Use Graduated Rates),Yes (Avail 8% Flat Tax)"</formula1>
      <formula2>0</formula2>
    </dataValidation>
    <dataValidation allowBlank="false" errorStyle="stop" operator="between" showDropDown="false" showErrorMessage="false" showInputMessage="false" sqref="D55" type="list">
      <formula1>"No,Yes"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2026-05-22T08:16:40Z</dcterms:created>
  <dc:creator>openpyxl</dc:creator>
  <dc:description/>
  <dc:language>en-US</dc:language>
  <cp:lastModifiedBy/>
  <dcterms:modified xsi:type="dcterms:W3CDTF">2026-06-28T03:38:47Z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